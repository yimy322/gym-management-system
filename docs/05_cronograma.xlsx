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trlProps/ctrlProps2.xml" ContentType="application/vnd.ms-excel.controlproperties+xml"/>
  <Override PartName="/xl/ctrlProps/ctrlProps3.xml" ContentType="application/vnd.ms-excel.control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llerdata.com" sheetId="1" state="visible" r:id="rId3"/>
    <sheet name="Configuracion" sheetId="2" state="visible" r:id="rId4"/>
    <sheet name="Resultados" sheetId="3" state="hidden" r:id="rId5"/>
    <sheet name="Fechas" sheetId="4" state="hidden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admin</author>
  </authors>
  <commentList>
    <comment ref="H16" authorId="0">
      <text>
        <r>
          <rPr>
            <sz val="10"/>
            <rFont val="Arial"/>
            <family val="2"/>
          </rPr>
          <t xml:space="preserve">No Borrar 
</t>
        </r>
      </text>
    </comment>
    <comment ref="X4" authorId="0">
      <text>
        <r>
          <rPr>
            <sz val="10"/>
            <rFont val="Arial"/>
            <family val="2"/>
          </rPr>
          <t xml:space="preserve">-No Ingresar Datos
-AutoCalculable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admin</author>
  </authors>
  <commentList>
    <comment ref="J3" authorId="0">
      <text>
        <r>
          <rPr>
            <sz val="10"/>
            <rFont val="Arial"/>
            <family val="2"/>
          </rPr>
          <t xml:space="preserve">Excluir solo los dias que se encuentren dentro del rango del Proyecto</t>
        </r>
      </text>
    </comment>
  </commentList>
</comments>
</file>

<file path=xl/sharedStrings.xml><?xml version="1.0" encoding="utf-8"?>
<sst xmlns="http://schemas.openxmlformats.org/spreadsheetml/2006/main" count="100" uniqueCount="69">
  <si>
    <t xml:space="preserve">CRONOGRAMA DE ACTIVIDADES</t>
  </si>
  <si>
    <t xml:space="preserve">PROYECTO</t>
  </si>
  <si>
    <t xml:space="preserve">Sistema Web STRKE </t>
  </si>
  <si>
    <t xml:space="preserve">FECHA ACTUAL</t>
  </si>
  <si>
    <t xml:space="preserve">FECHA INICIO</t>
  </si>
  <si>
    <t xml:space="preserve">FECHA FIN</t>
  </si>
  <si>
    <t xml:space="preserve">CROMOGRAMA</t>
  </si>
  <si>
    <t xml:space="preserve">ACTIVIDADES</t>
  </si>
  <si>
    <t xml:space="preserve">RESPONSABLE</t>
  </si>
  <si>
    <t xml:space="preserve">FECHA INI</t>
  </si>
  <si>
    <t xml:space="preserve">Nº DÍAS</t>
  </si>
  <si>
    <t xml:space="preserve">AVANCE</t>
  </si>
  <si>
    <t xml:space="preserve">ESTADO</t>
  </si>
  <si>
    <t xml:space="preserve">FASE 1</t>
  </si>
  <si>
    <t xml:space="preserve">Proyecto Spring boot base</t>
  </si>
  <si>
    <t xml:space="preserve">Yimy Flores</t>
  </si>
  <si>
    <t xml:space="preserve">Completado</t>
  </si>
  <si>
    <t xml:space="preserve">Repositorio y su estructura</t>
  </si>
  <si>
    <t xml:space="preserve">Docs Justifcación</t>
  </si>
  <si>
    <t xml:space="preserve">Edson Alabrin</t>
  </si>
  <si>
    <t xml:space="preserve">Docs Objetivos</t>
  </si>
  <si>
    <t xml:space="preserve">Hector Montes</t>
  </si>
  <si>
    <t xml:space="preserve">Docs Marco teórico</t>
  </si>
  <si>
    <t xml:space="preserve">Yadhira Saavedra</t>
  </si>
  <si>
    <t xml:space="preserve">Readme: Informe general</t>
  </si>
  <si>
    <t xml:space="preserve">Readme: agredicimientos</t>
  </si>
  <si>
    <t xml:space="preserve">Readme: Resumen y Abstract</t>
  </si>
  <si>
    <t xml:space="preserve">Readme: Realidad problemática</t>
  </si>
  <si>
    <t xml:space="preserve">Readme: Justificación</t>
  </si>
  <si>
    <t xml:space="preserve">Readme: Objetivos</t>
  </si>
  <si>
    <t xml:space="preserve">Readme: Marco teorico y metodología</t>
  </si>
  <si>
    <t xml:space="preserve">FASE 2</t>
  </si>
  <si>
    <t xml:space="preserve">FASE 3</t>
  </si>
  <si>
    <t xml:space="preserve">FASE 4</t>
  </si>
  <si>
    <t xml:space="preserve">* Se puede Excluir hasta 30 Dias</t>
  </si>
  <si>
    <t xml:space="preserve">Ingresar Datos</t>
  </si>
  <si>
    <t xml:space="preserve">N°</t>
  </si>
  <si>
    <t xml:space="preserve">Responsables</t>
  </si>
  <si>
    <t xml:space="preserve">Estados</t>
  </si>
  <si>
    <t xml:space="preserve">Fechas No consideradas</t>
  </si>
  <si>
    <t xml:space="preserve">Excluir Fechas</t>
  </si>
  <si>
    <t xml:space="preserve">Sin Empezar</t>
  </si>
  <si>
    <t xml:space="preserve">En Proceso</t>
  </si>
  <si>
    <t xml:space="preserve">Atrasado</t>
  </si>
  <si>
    <t xml:space="preserve">Avance</t>
  </si>
  <si>
    <t xml:space="preserve">Actividades</t>
  </si>
  <si>
    <t xml:space="preserve">Total de Avance</t>
  </si>
  <si>
    <t xml:space="preserve">* Tenga en consideracion esta Hoja  Evitar de Realizar cambios</t>
  </si>
  <si>
    <t xml:space="preserve">Total dias Excluidos</t>
  </si>
  <si>
    <t xml:space="preserve">Fechas Excluidas</t>
  </si>
  <si>
    <t xml:space="preserve">Excluir</t>
  </si>
  <si>
    <t xml:space="preserve">Resultado</t>
  </si>
  <si>
    <t xml:space="preserve">Exclusiones</t>
  </si>
  <si>
    <t xml:space="preserve">Texto Dia</t>
  </si>
  <si>
    <t xml:space="preserve">Fecha Cronograma</t>
  </si>
  <si>
    <t xml:space="preserve">Excluir Sab-Dom</t>
  </si>
  <si>
    <t xml:space="preserve">Indice</t>
  </si>
  <si>
    <t xml:space="preserve">Cronograma </t>
  </si>
  <si>
    <t xml:space="preserve">Cronograma Final</t>
  </si>
  <si>
    <t xml:space="preserve">Sábado</t>
  </si>
  <si>
    <t xml:space="preserve">Domingo</t>
  </si>
  <si>
    <t xml:space="preserve">Fecha Ini</t>
  </si>
  <si>
    <t xml:space="preserve">Fecha Fin</t>
  </si>
  <si>
    <t xml:space="preserve">Sin Exclusion</t>
  </si>
  <si>
    <t xml:space="preserve">Meses</t>
  </si>
  <si>
    <t xml:space="preserve">Dias</t>
  </si>
  <si>
    <t xml:space="preserve">Dias Excluidos</t>
  </si>
  <si>
    <t xml:space="preserve">Fecha Fin Nueva</t>
  </si>
  <si>
    <t xml:space="preserve">Con Exclusion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</si>
</sst>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m/d/yyyy"/>
    <numFmt numFmtId="166" formatCode="0"/>
    <numFmt numFmtId="167" formatCode="mmmm"/>
    <numFmt numFmtId="168" formatCode="dd"/>
    <numFmt numFmtId="169" formatCode="d\-m;@"/>
    <numFmt numFmtId="170" formatCode="@"/>
    <numFmt numFmtId="171" formatCode="d\-m\-yy;@"/>
    <numFmt numFmtId="172" formatCode="#,##0"/>
    <numFmt numFmtId="173" formatCode="0%"/>
    <numFmt numFmtId="174" formatCode="0.00"/>
  </numFmts>
  <fonts count="4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Calibri"/>
      <family val="2"/>
      <charset val="1"/>
    </font>
    <font>
      <sz val="10"/>
      <color theme="0"/>
      <name val="Arial Black"/>
      <family val="2"/>
      <charset val="1"/>
    </font>
    <font>
      <sz val="10"/>
      <color theme="1"/>
      <name val="Calibri"/>
      <family val="2"/>
      <charset val="1"/>
    </font>
    <font>
      <b val="true"/>
      <sz val="10"/>
      <color theme="1"/>
      <name val="Segoe UI"/>
      <family val="2"/>
      <charset val="1"/>
    </font>
    <font>
      <b val="true"/>
      <sz val="11"/>
      <color rgb="FF000081"/>
      <name val="Segoe UI"/>
      <family val="2"/>
      <charset val="1"/>
    </font>
    <font>
      <b val="true"/>
      <sz val="10"/>
      <name val="Segoe UI"/>
      <family val="2"/>
      <charset val="1"/>
    </font>
    <font>
      <b val="true"/>
      <sz val="10"/>
      <color rgb="FF000081"/>
      <name val="Segoe UI"/>
      <family val="2"/>
      <charset val="1"/>
    </font>
    <font>
      <b val="true"/>
      <sz val="11"/>
      <color theme="1"/>
      <name val="Calibri"/>
      <family val="2"/>
      <charset val="1"/>
    </font>
    <font>
      <sz val="12"/>
      <color rgb="FFFFFFFF"/>
      <name val="Segoe UI"/>
      <family val="2"/>
      <charset val="1"/>
    </font>
    <font>
      <sz val="12"/>
      <color theme="8" tint="-0.5"/>
      <name val="Segoe UI"/>
      <family val="2"/>
      <charset val="1"/>
    </font>
    <font>
      <b val="true"/>
      <sz val="10"/>
      <color rgb="FFFFFFFF"/>
      <name val="Segoe UI"/>
      <family val="2"/>
      <charset val="1"/>
    </font>
    <font>
      <b val="true"/>
      <sz val="11"/>
      <color rgb="FFFF0000"/>
      <name val="Segoe UI"/>
      <family val="2"/>
      <charset val="1"/>
    </font>
    <font>
      <b val="true"/>
      <sz val="9"/>
      <color rgb="FFFFFFFF"/>
      <name val="Segoe UI"/>
      <family val="2"/>
      <charset val="1"/>
    </font>
    <font>
      <sz val="7"/>
      <color theme="1"/>
      <name val="Segoe UI"/>
      <family val="2"/>
      <charset val="1"/>
    </font>
    <font>
      <b val="true"/>
      <sz val="14"/>
      <color rgb="FFFFFFCC"/>
      <name val="Segoe UI"/>
      <family val="2"/>
      <charset val="1"/>
    </font>
    <font>
      <b val="true"/>
      <sz val="12"/>
      <color rgb="FFFFFFCC"/>
      <name val="Segoe UI"/>
      <family val="2"/>
      <charset val="1"/>
    </font>
    <font>
      <b val="true"/>
      <sz val="9"/>
      <color theme="8" tint="-0.5"/>
      <name val="Segoe UI"/>
      <family val="2"/>
      <charset val="1"/>
    </font>
    <font>
      <b val="true"/>
      <sz val="10"/>
      <color theme="8" tint="-0.5"/>
      <name val="Segoe UI"/>
      <family val="2"/>
      <charset val="1"/>
    </font>
    <font>
      <b val="true"/>
      <sz val="9"/>
      <name val="Segoe UI"/>
      <family val="2"/>
      <charset val="1"/>
    </font>
    <font>
      <b val="true"/>
      <sz val="10"/>
      <color rgb="FFFFFFCC"/>
      <name val="Segoe UI"/>
      <family val="2"/>
      <charset val="1"/>
    </font>
    <font>
      <sz val="8"/>
      <name val="Segoe UI"/>
      <family val="2"/>
      <charset val="1"/>
    </font>
    <font>
      <b val="true"/>
      <sz val="11"/>
      <color theme="2" tint="-0.5"/>
      <name val="Segoe UI"/>
      <family val="2"/>
      <charset val="1"/>
    </font>
    <font>
      <i val="true"/>
      <sz val="9"/>
      <color theme="2" tint="-0.5"/>
      <name val="Segoe UI"/>
      <family val="2"/>
      <charset val="1"/>
    </font>
    <font>
      <sz val="9"/>
      <color theme="2" tint="-0.5"/>
      <name val="Segoe UI"/>
      <family val="2"/>
      <charset val="1"/>
    </font>
    <font>
      <b val="true"/>
      <sz val="10"/>
      <color theme="2" tint="-0.5"/>
      <name val="Segoe UI"/>
      <family val="2"/>
      <charset val="1"/>
    </font>
    <font>
      <b val="true"/>
      <sz val="9"/>
      <color theme="2" tint="-0.5"/>
      <name val="Segoe UI"/>
      <family val="2"/>
      <charset val="1"/>
    </font>
    <font>
      <b val="true"/>
      <i val="true"/>
      <sz val="9"/>
      <color theme="2" tint="-0.5"/>
      <name val="Segoe UI"/>
      <family val="2"/>
      <charset val="1"/>
    </font>
    <font>
      <sz val="10"/>
      <color theme="1"/>
      <name val="Segoe UI"/>
      <family val="2"/>
      <charset val="1"/>
    </font>
    <font>
      <sz val="10"/>
      <name val="Arial"/>
      <family val="2"/>
    </font>
    <font>
      <sz val="24"/>
      <color theme="0"/>
      <name val="Arial Black"/>
      <family val="0"/>
    </font>
    <font>
      <b val="true"/>
      <sz val="12"/>
      <color rgb="FF0070C0"/>
      <name val="Calibri"/>
      <family val="0"/>
    </font>
    <font>
      <sz val="10"/>
      <color theme="0"/>
      <name val="Arial"/>
      <family val="0"/>
    </font>
    <font>
      <b val="true"/>
      <sz val="24"/>
      <color theme="0"/>
      <name val="Arial Black"/>
      <family val="0"/>
    </font>
    <font>
      <i val="true"/>
      <sz val="11"/>
      <color theme="1"/>
      <name val="Calibri"/>
      <family val="0"/>
    </font>
    <font>
      <i val="true"/>
      <sz val="11"/>
      <color theme="0"/>
      <name val="Calibri"/>
      <family val="0"/>
    </font>
    <font>
      <b val="true"/>
      <sz val="9"/>
      <color theme="0"/>
      <name val="Arial"/>
      <family val="0"/>
    </font>
    <font>
      <sz val="9"/>
      <color theme="0"/>
      <name val="Arial"/>
      <family val="0"/>
    </font>
    <font>
      <sz val="11"/>
      <color theme="0"/>
      <name val="Calibri"/>
      <family val="0"/>
    </font>
    <font>
      <sz val="20"/>
      <color theme="0"/>
      <name val="Arial Black"/>
      <family val="0"/>
    </font>
    <font>
      <sz val="11"/>
      <color theme="0"/>
      <name val="Calibri"/>
      <family val="2"/>
      <charset val="1"/>
    </font>
    <font>
      <b val="true"/>
      <sz val="11"/>
      <color theme="0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FF99FF"/>
        <bgColor rgb="FFD2B6F0"/>
      </patternFill>
    </fill>
    <fill>
      <patternFill patternType="solid">
        <fgColor rgb="FF0070C0"/>
        <bgColor rgb="FF008080"/>
      </patternFill>
    </fill>
    <fill>
      <patternFill patternType="solid">
        <fgColor theme="0" tint="-0.05"/>
        <bgColor rgb="FFE7E6E6"/>
      </patternFill>
    </fill>
    <fill>
      <patternFill patternType="solid">
        <fgColor theme="0"/>
        <bgColor rgb="FFF2F2F2"/>
      </patternFill>
    </fill>
    <fill>
      <patternFill patternType="solid">
        <fgColor theme="4" tint="0.5999"/>
        <bgColor rgb="FFD0CECE"/>
      </patternFill>
    </fill>
    <fill>
      <patternFill patternType="solid">
        <fgColor rgb="FFCC66FF"/>
        <bgColor rgb="FFFF99FF"/>
      </patternFill>
    </fill>
    <fill>
      <patternFill patternType="solid">
        <fgColor theme="7" tint="0.5999"/>
        <bgColor rgb="FFFFD966"/>
      </patternFill>
    </fill>
    <fill>
      <patternFill patternType="solid">
        <fgColor rgb="FF66CCFF"/>
        <bgColor rgb="FFBDD7EE"/>
      </patternFill>
    </fill>
    <fill>
      <patternFill patternType="solid">
        <fgColor theme="2"/>
        <bgColor rgb="FFF2F2F2"/>
      </patternFill>
    </fill>
    <fill>
      <patternFill patternType="solid">
        <fgColor rgb="FFFFFFCC"/>
        <bgColor rgb="FFFFFFFF"/>
      </patternFill>
    </fill>
    <fill>
      <patternFill patternType="solid">
        <fgColor theme="5" tint="0.7999"/>
        <bgColor rgb="FFE7E6E6"/>
      </patternFill>
    </fill>
    <fill>
      <patternFill patternType="solid">
        <fgColor rgb="FFD2B6F0"/>
        <bgColor rgb="FFC9C9C9"/>
      </patternFill>
    </fill>
    <fill>
      <patternFill patternType="solid">
        <fgColor theme="2" tint="-0.25"/>
        <bgColor rgb="FFA6A6A6"/>
      </patternFill>
    </fill>
  </fills>
  <borders count="66">
    <border diagonalUp="false" diagonalDown="false">
      <left/>
      <right/>
      <top/>
      <bottom/>
      <diagonal/>
    </border>
    <border diagonalUp="false" diagonalDown="false">
      <left style="thin">
        <color theme="0" tint="-0.35"/>
      </left>
      <right/>
      <top style="thin">
        <color theme="0" tint="-0.35"/>
      </top>
      <bottom/>
      <diagonal/>
    </border>
    <border diagonalUp="false" diagonalDown="false">
      <left/>
      <right/>
      <top style="thin">
        <color theme="0" tint="-0.35"/>
      </top>
      <bottom/>
      <diagonal/>
    </border>
    <border diagonalUp="false" diagonalDown="false">
      <left style="thin">
        <color theme="0" tint="-0.35"/>
      </left>
      <right/>
      <top/>
      <bottom/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2" tint="-0.5"/>
      </left>
      <right/>
      <top style="thin">
        <color theme="2" tint="-0.5"/>
      </top>
      <bottom/>
      <diagonal/>
    </border>
    <border diagonalUp="false" diagonalDown="false">
      <left/>
      <right style="thin">
        <color theme="2" tint="-0.5"/>
      </right>
      <top style="thin">
        <color theme="2" tint="-0.5"/>
      </top>
      <bottom/>
      <diagonal/>
    </border>
    <border diagonalUp="false" diagonalDown="false">
      <left/>
      <right/>
      <top style="thin">
        <color theme="2" tint="-0.5"/>
      </top>
      <bottom style="thin">
        <color theme="2" tint="-0.5"/>
      </bottom>
      <diagonal/>
    </border>
    <border diagonalUp="false" diagonalDown="false">
      <left/>
      <right style="thin">
        <color theme="2" tint="-0.5"/>
      </right>
      <top style="thin">
        <color theme="2" tint="-0.5"/>
      </top>
      <bottom style="thin">
        <color theme="2" tint="-0.5"/>
      </bottom>
      <diagonal/>
    </border>
    <border diagonalUp="false" diagonalDown="false">
      <left style="thin">
        <color theme="2" tint="-0.5"/>
      </left>
      <right/>
      <top/>
      <bottom/>
      <diagonal/>
    </border>
    <border diagonalUp="false" diagonalDown="false">
      <left/>
      <right style="thin">
        <color theme="2" tint="-0.5"/>
      </right>
      <top/>
      <bottom/>
      <diagonal/>
    </border>
    <border diagonalUp="false" diagonalDown="false">
      <left/>
      <right/>
      <top/>
      <bottom style="thin">
        <color theme="2" tint="-0.5"/>
      </bottom>
      <diagonal/>
    </border>
    <border diagonalUp="false" diagonalDown="false">
      <left/>
      <right style="thin">
        <color theme="2" tint="-0.5"/>
      </right>
      <top/>
      <bottom style="thin">
        <color theme="2" tint="-0.5"/>
      </bottom>
      <diagonal/>
    </border>
    <border diagonalUp="false" diagonalDown="false">
      <left style="thin">
        <color theme="2" tint="-0.5"/>
      </left>
      <right/>
      <top/>
      <bottom style="thin">
        <color theme="2" tint="-0.5"/>
      </bottom>
      <diagonal/>
    </border>
    <border diagonalUp="false" diagonalDown="false">
      <left/>
      <right style="thin">
        <color rgb="FFC0C0C0"/>
      </right>
      <top/>
      <bottom style="thin">
        <color theme="2" tint="-0.5"/>
      </bottom>
      <diagonal/>
    </border>
    <border diagonalUp="false" diagonalDown="false">
      <left style="thin">
        <color rgb="FFC0C0C0"/>
      </left>
      <right style="thin">
        <color rgb="FFC0C0C0"/>
      </right>
      <top/>
      <bottom style="thin">
        <color theme="2" tint="-0.5"/>
      </bottom>
      <diagonal/>
    </border>
    <border diagonalUp="false" diagonalDown="false">
      <left style="thin">
        <color rgb="FFC0C0C0"/>
      </left>
      <right style="thin">
        <color theme="2" tint="-0.5"/>
      </right>
      <top/>
      <bottom style="thin">
        <color theme="2" tint="-0.5"/>
      </bottom>
      <diagonal/>
    </border>
    <border diagonalUp="false" diagonalDown="false">
      <left style="thin">
        <color theme="2" tint="-0.5"/>
      </left>
      <right style="thin">
        <color theme="0" tint="-0.5"/>
      </right>
      <top style="thin">
        <color theme="0" tint="-0.5"/>
      </top>
      <bottom/>
      <diagonal/>
    </border>
    <border diagonalUp="false" diagonalDown="false">
      <left style="thin">
        <color theme="0" tint="-0.5"/>
      </left>
      <right/>
      <top/>
      <bottom/>
      <diagonal/>
    </border>
    <border diagonalUp="false" diagonalDown="false">
      <left style="thin">
        <color theme="2" tint="-0.5"/>
      </left>
      <right style="thin">
        <color theme="0" tint="-0.15"/>
      </right>
      <top style="thin">
        <color rgb="FF808080"/>
      </top>
      <bottom style="thin">
        <color theme="0" tint="-0.15"/>
      </bottom>
      <diagonal/>
    </border>
    <border diagonalUp="false" diagonalDown="false">
      <left style="thin">
        <color theme="0" tint="-0.15"/>
      </left>
      <right style="thin">
        <color theme="0" tint="-0.15"/>
      </right>
      <top style="thin">
        <color rgb="FF808080"/>
      </top>
      <bottom style="thin">
        <color theme="0" tint="-0.15"/>
      </bottom>
      <diagonal/>
    </border>
    <border diagonalUp="false" diagonalDown="false">
      <left style="thin">
        <color theme="0" tint="-0.15"/>
      </left>
      <right style="thin">
        <color theme="0" tint="-0.25"/>
      </right>
      <top style="thin">
        <color rgb="FF808080"/>
      </top>
      <bottom style="thin">
        <color theme="0" tint="-0.15"/>
      </bottom>
      <diagonal/>
    </border>
    <border diagonalUp="false" diagonalDown="false">
      <left style="thin">
        <color theme="0" tint="-0.15"/>
      </left>
      <right/>
      <top style="thin">
        <color rgb="FF808080"/>
      </top>
      <bottom style="thin">
        <color theme="0" tint="-0.15"/>
      </bottom>
      <diagonal/>
    </border>
    <border diagonalUp="false" diagonalDown="false">
      <left/>
      <right style="thin">
        <color theme="0" tint="-0.15"/>
      </right>
      <top style="thin">
        <color rgb="FF808080"/>
      </top>
      <bottom style="thin">
        <color theme="0" tint="-0.15"/>
      </bottom>
      <diagonal/>
    </border>
    <border diagonalUp="false" diagonalDown="false">
      <left/>
      <right style="thin">
        <color theme="0" tint="-0.25"/>
      </right>
      <top style="thin">
        <color rgb="FF808080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rgb="FF808080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2" tint="-0.5"/>
      </right>
      <top style="thin">
        <color rgb="FF808080"/>
      </top>
      <bottom style="thin">
        <color theme="0" tint="-0.25"/>
      </bottom>
      <diagonal/>
    </border>
    <border diagonalUp="false" diagonalDown="false">
      <left style="thin">
        <color theme="2" tint="-0.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thin">
        <color theme="0" tint="-0.15"/>
      </left>
      <right style="thin">
        <color theme="0" tint="-0.2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thin">
        <color theme="0" tint="-0.15"/>
      </left>
      <right/>
      <top style="thin">
        <color theme="0" tint="-0.15"/>
      </top>
      <bottom style="thin">
        <color theme="0" tint="-0.15"/>
      </bottom>
      <diagonal/>
    </border>
    <border diagonalUp="false" diagonalDown="false">
      <left/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thin">
        <color theme="2" tint="-0.5"/>
      </left>
      <right style="thin">
        <color theme="0" tint="-0.5"/>
      </right>
      <top/>
      <bottom/>
      <diagonal/>
    </border>
    <border diagonalUp="false" diagonalDown="false">
      <left style="thin">
        <color theme="0" tint="-0.5"/>
      </left>
      <right/>
      <top style="thin">
        <color theme="0" tint="-0.5"/>
      </top>
      <bottom style="thin">
        <color theme="0" tint="-0.5"/>
      </bottom>
      <diagonal/>
    </border>
    <border diagonalUp="false" diagonalDown="false">
      <left/>
      <right/>
      <top style="thin">
        <color theme="0" tint="-0.5"/>
      </top>
      <bottom style="thin">
        <color theme="0" tint="-0.5"/>
      </bottom>
      <diagonal/>
    </border>
    <border diagonalUp="false" diagonalDown="false">
      <left/>
      <right style="thin">
        <color theme="2" tint="-0.5"/>
      </right>
      <top style="thin">
        <color theme="0" tint="-0.5"/>
      </top>
      <bottom style="thin">
        <color theme="0" tint="-0.5"/>
      </bottom>
      <diagonal/>
    </border>
    <border diagonalUp="false" diagonalDown="false">
      <left style="thin">
        <color theme="0" tint="-0.15"/>
      </left>
      <right style="thin">
        <color theme="0" tint="-0.15"/>
      </right>
      <top/>
      <bottom style="thin">
        <color theme="0" tint="-0.15"/>
      </bottom>
      <diagonal/>
    </border>
    <border diagonalUp="false" diagonalDown="false">
      <left style="thin">
        <color theme="0" tint="-0.15"/>
      </left>
      <right style="thin">
        <color theme="0" tint="-0.25"/>
      </right>
      <top/>
      <bottom style="thin">
        <color theme="0" tint="-0.15"/>
      </bottom>
      <diagonal/>
    </border>
    <border diagonalUp="false" diagonalDown="false">
      <left style="thin">
        <color theme="2" tint="-0.5"/>
      </left>
      <right style="thin">
        <color theme="0" tint="-0.15"/>
      </right>
      <top style="thin">
        <color theme="0" tint="-0.15"/>
      </top>
      <bottom style="thin">
        <color rgb="FF808080"/>
      </bottom>
      <diagonal/>
    </border>
    <border diagonalUp="false" diagonalDown="false">
      <left style="thin">
        <color theme="0" tint="-0.15"/>
      </left>
      <right style="thin">
        <color theme="0" tint="-0.15"/>
      </right>
      <top style="thin">
        <color theme="0" tint="-0.15"/>
      </top>
      <bottom/>
      <diagonal/>
    </border>
    <border diagonalUp="false" diagonalDown="false"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rgb="FF808080"/>
      </bottom>
      <diagonal/>
    </border>
    <border diagonalUp="false" diagonalDown="false">
      <left style="thin">
        <color theme="0" tint="-0.15"/>
      </left>
      <right style="thin">
        <color theme="0" tint="-0.25"/>
      </right>
      <top style="thin">
        <color theme="0" tint="-0.15"/>
      </top>
      <bottom style="thin">
        <color rgb="FF808080"/>
      </bottom>
      <diagonal/>
    </border>
    <border diagonalUp="false" diagonalDown="false">
      <left style="thin">
        <color theme="0" tint="-0.15"/>
      </left>
      <right/>
      <top style="thin">
        <color theme="0" tint="-0.15"/>
      </top>
      <bottom/>
      <diagonal/>
    </border>
    <border diagonalUp="false" diagonalDown="false">
      <left/>
      <right style="thin">
        <color theme="0" tint="-0.15"/>
      </right>
      <top style="thin">
        <color theme="0" tint="-0.15"/>
      </top>
      <bottom/>
      <diagonal/>
    </border>
    <border diagonalUp="false" diagonalDown="false">
      <left style="thin">
        <color theme="0" tint="-0.15"/>
      </left>
      <right style="thin">
        <color rgb="FFC0C0C0"/>
      </right>
      <top style="thin">
        <color theme="0" tint="-0.15"/>
      </top>
      <bottom style="thin">
        <color rgb="FF808080"/>
      </bottom>
      <diagonal/>
    </border>
    <border diagonalUp="false" diagonalDown="false">
      <left style="thin">
        <color theme="2" tint="-0.5"/>
      </left>
      <right style="thin">
        <color theme="0" tint="-0.15"/>
      </right>
      <top/>
      <bottom style="thin">
        <color theme="0" tint="-0.15"/>
      </bottom>
      <diagonal/>
    </border>
    <border diagonalUp="false" diagonalDown="false">
      <left style="thin">
        <color theme="2" tint="-0.5"/>
      </left>
      <right style="thin">
        <color theme="0" tint="-0.15"/>
      </right>
      <top style="thin">
        <color theme="0" tint="-0.15"/>
      </top>
      <bottom style="thin">
        <color theme="2" tint="-0.5"/>
      </bottom>
      <diagonal/>
    </border>
    <border diagonalUp="false" diagonalDown="false"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2" tint="-0.5"/>
      </bottom>
      <diagonal/>
    </border>
    <border diagonalUp="false" diagonalDown="false">
      <left style="thin">
        <color theme="0" tint="-0.15"/>
      </left>
      <right style="thin">
        <color rgb="FFC0C0C0"/>
      </right>
      <top style="thin">
        <color theme="0" tint="-0.15"/>
      </top>
      <bottom style="thin">
        <color theme="2" tint="-0.5"/>
      </bottom>
      <diagonal/>
    </border>
    <border diagonalUp="false" diagonalDown="false">
      <left style="thin">
        <color theme="0" tint="-0.15"/>
      </left>
      <right/>
      <top style="thin">
        <color theme="0" tint="-0.15"/>
      </top>
      <bottom style="thin">
        <color theme="2" tint="-0.5"/>
      </bottom>
      <diagonal/>
    </border>
    <border diagonalUp="false" diagonalDown="false">
      <left/>
      <right style="thin">
        <color theme="0" tint="-0.15"/>
      </right>
      <top style="thin">
        <color theme="0" tint="-0.15"/>
      </top>
      <bottom style="thin">
        <color theme="2" tint="-0.5"/>
      </bottom>
      <diagonal/>
    </border>
    <border diagonalUp="false" diagonalDown="false">
      <left/>
      <right style="thin">
        <color theme="0" tint="-0.25"/>
      </right>
      <top style="thin">
        <color rgb="FF808080"/>
      </top>
      <bottom style="thin">
        <color theme="2" tint="-0.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rgb="FF808080"/>
      </top>
      <bottom style="thin">
        <color theme="2" tint="-0.5"/>
      </bottom>
      <diagonal/>
    </border>
    <border diagonalUp="false" diagonalDown="false">
      <left style="thin">
        <color theme="0" tint="-0.25"/>
      </left>
      <right style="thin">
        <color theme="2" tint="-0.5"/>
      </right>
      <top style="thin">
        <color rgb="FF808080"/>
      </top>
      <bottom style="thin">
        <color theme="2" tint="-0.5"/>
      </bottom>
      <diagonal/>
    </border>
    <border diagonalUp="false" diagonalDown="false">
      <left/>
      <right style="thin">
        <color theme="0" tint="-0.25"/>
      </right>
      <top/>
      <bottom/>
      <diagonal/>
    </border>
    <border diagonalUp="false" diagonalDown="false">
      <left style="thin">
        <color theme="0" tint="-0.35"/>
      </left>
      <right/>
      <top/>
      <bottom style="thin">
        <color theme="0" tint="-0.35"/>
      </bottom>
      <diagonal/>
    </border>
    <border diagonalUp="false" diagonalDown="false">
      <left/>
      <right/>
      <top/>
      <bottom style="thin">
        <color theme="0" tint="-0.35"/>
      </bottom>
      <diagonal/>
    </border>
    <border diagonalUp="false" diagonalDown="false">
      <left style="thin">
        <color theme="0" tint="-0.5"/>
      </left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10" fillId="0" borderId="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0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1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5" borderId="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0" fillId="6" borderId="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5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17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8" fillId="7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9" fillId="7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9" fillId="7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9" fillId="3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9" fillId="3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8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1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0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0" fillId="8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0" fillId="8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20" fillId="8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20" fillId="8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9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9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9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2" fillId="1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2" fillId="1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2" fillId="1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11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1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24" fillId="1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24" fillId="11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5" fillId="0" borderId="1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26" fillId="12" borderId="18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26" fillId="1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0" fontId="26" fillId="1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4" fillId="1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4" fillId="1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5" borderId="19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27" fillId="5" borderId="20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71" fontId="28" fillId="5" borderId="20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72" fontId="28" fillId="5" borderId="20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71" fontId="28" fillId="13" borderId="2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73" fontId="29" fillId="5" borderId="21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30" fillId="5" borderId="22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30" fillId="5" borderId="2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6" fontId="31" fillId="5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1" fillId="5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1" fillId="5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7" fillId="5" borderId="27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27" fillId="5" borderId="28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71" fontId="28" fillId="5" borderId="28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72" fontId="28" fillId="5" borderId="28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71" fontId="28" fillId="13" borderId="28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73" fontId="29" fillId="5" borderId="29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30" fillId="5" borderId="30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30" fillId="5" borderId="31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25" fillId="0" borderId="3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26" fillId="12" borderId="3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26" fillId="12" borderId="3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3" fontId="26" fillId="12" borderId="3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6" fillId="12" borderId="3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6" fillId="12" borderId="3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1" fontId="28" fillId="5" borderId="36" xfId="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72" fontId="28" fillId="5" borderId="36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71" fontId="28" fillId="6" borderId="36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73" fontId="30" fillId="5" borderId="3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1" fontId="28" fillId="6" borderId="28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71" fontId="28" fillId="5" borderId="28" xfId="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73" fontId="30" fillId="5" borderId="2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7" fillId="5" borderId="38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27" fillId="5" borderId="39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71" fontId="28" fillId="5" borderId="40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72" fontId="28" fillId="5" borderId="40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71" fontId="28" fillId="6" borderId="4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73" fontId="30" fillId="5" borderId="4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0" fillId="5" borderId="42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30" fillId="5" borderId="4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28" fillId="6" borderId="2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71" fontId="28" fillId="5" borderId="39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72" fontId="28" fillId="5" borderId="39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73" fontId="30" fillId="5" borderId="4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3" fontId="30" fillId="5" borderId="2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7" fillId="5" borderId="45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27" fillId="5" borderId="46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27" fillId="5" borderId="47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71" fontId="28" fillId="5" borderId="47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72" fontId="28" fillId="5" borderId="47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71" fontId="28" fillId="6" borderId="47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73" fontId="30" fillId="5" borderId="4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0" fillId="5" borderId="49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30" fillId="5" borderId="50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6" fontId="31" fillId="5" borderId="5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1" fillId="5" borderId="5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1" fillId="5" borderId="5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0" borderId="5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5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5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5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3" fillId="3" borderId="5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4" fillId="3" borderId="5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3" borderId="5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3" fillId="3" borderId="5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5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5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0" fillId="0" borderId="6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65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1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43">
    <dxf>
      <fill>
        <patternFill>
          <bgColor theme="5"/>
        </patternFill>
      </fill>
    </dxf>
    <dxf>
      <fill>
        <patternFill>
          <bgColor rgb="FFFF3300"/>
        </patternFill>
      </fill>
    </dxf>
    <dxf>
      <fill>
        <patternFill>
          <bgColor theme="2" tint="-0.1"/>
        </patternFill>
      </fill>
    </dxf>
    <dxf>
      <fill>
        <patternFill>
          <bgColor theme="6" tint="0.3999"/>
        </patternFill>
      </fill>
    </dxf>
    <dxf>
      <fill>
        <patternFill>
          <bgColor theme="7" tint="0.3999"/>
        </patternFill>
      </fill>
    </dxf>
    <dxf>
      <fill>
        <patternFill>
          <bgColor rgb="FF7BF949"/>
        </patternFill>
      </fill>
    </dxf>
    <dxf>
      <fill>
        <patternFill>
          <bgColor rgb="FFFF3300"/>
        </patternFill>
      </fill>
    </dxf>
    <dxf>
      <fill>
        <patternFill>
          <bgColor theme="2" tint="-0.1"/>
        </patternFill>
      </fill>
    </dxf>
    <dxf>
      <fill>
        <patternFill>
          <bgColor theme="6" tint="0.3999"/>
        </patternFill>
      </fill>
    </dxf>
    <dxf>
      <fill>
        <patternFill>
          <bgColor theme="7" tint="0.3999"/>
        </patternFill>
      </fill>
    </dxf>
    <dxf>
      <fill>
        <patternFill>
          <bgColor rgb="FF7BF949"/>
        </patternFill>
      </fill>
    </dxf>
    <dxf>
      <fill>
        <patternFill>
          <bgColor theme="5"/>
        </patternFill>
      </fill>
    </dxf>
    <dxf>
      <fill>
        <patternFill>
          <bgColor rgb="FFFF3300"/>
        </patternFill>
      </fill>
    </dxf>
    <dxf>
      <fill>
        <patternFill>
          <bgColor theme="2" tint="-0.1"/>
        </patternFill>
      </fill>
    </dxf>
    <dxf>
      <fill>
        <patternFill>
          <bgColor theme="6" tint="0.3999"/>
        </patternFill>
      </fill>
    </dxf>
    <dxf>
      <fill>
        <patternFill>
          <bgColor theme="7" tint="0.3999"/>
        </patternFill>
      </fill>
    </dxf>
    <dxf>
      <fill>
        <patternFill>
          <bgColor rgb="FF7BF949"/>
        </patternFill>
      </fill>
    </dxf>
    <dxf>
      <fill>
        <patternFill>
          <bgColor rgb="FFFF3300"/>
        </patternFill>
      </fill>
    </dxf>
    <dxf>
      <fill>
        <patternFill>
          <bgColor theme="2" tint="-0.1"/>
        </patternFill>
      </fill>
    </dxf>
    <dxf>
      <fill>
        <patternFill>
          <bgColor theme="6" tint="0.3999"/>
        </patternFill>
      </fill>
    </dxf>
    <dxf>
      <fill>
        <patternFill>
          <bgColor theme="7" tint="0.3999"/>
        </patternFill>
      </fill>
    </dxf>
    <dxf>
      <fill>
        <patternFill>
          <bgColor rgb="FF7BF949"/>
        </patternFill>
      </fill>
    </dxf>
    <dxf>
      <fill>
        <patternFill>
          <bgColor rgb="FFFF3300"/>
        </patternFill>
      </fill>
    </dxf>
    <dxf>
      <fill>
        <patternFill>
          <bgColor theme="2" tint="-0.1"/>
        </patternFill>
      </fill>
    </dxf>
    <dxf>
      <fill>
        <patternFill>
          <bgColor theme="6" tint="0.3999"/>
        </patternFill>
      </fill>
    </dxf>
    <dxf>
      <fill>
        <patternFill>
          <bgColor theme="7" tint="0.3999"/>
        </patternFill>
      </fill>
    </dxf>
    <dxf>
      <fill>
        <patternFill>
          <bgColor rgb="FF7BF949"/>
        </patternFill>
      </fill>
    </dxf>
    <dxf>
      <fill>
        <patternFill>
          <bgColor rgb="FFFF3300"/>
        </patternFill>
      </fill>
    </dxf>
    <dxf>
      <fill>
        <patternFill>
          <bgColor rgb="FFFF3300"/>
        </patternFill>
      </fill>
    </dxf>
    <dxf>
      <fill>
        <patternFill>
          <bgColor theme="2" tint="-0.1"/>
        </patternFill>
      </fill>
    </dxf>
    <dxf>
      <fill>
        <patternFill>
          <bgColor theme="6" tint="0.3999"/>
        </patternFill>
      </fill>
    </dxf>
    <dxf>
      <fill>
        <patternFill>
          <bgColor theme="7" tint="0.3999"/>
        </patternFill>
      </fill>
    </dxf>
    <dxf>
      <fill>
        <patternFill>
          <bgColor rgb="FF7BF949"/>
        </patternFill>
      </fill>
    </dxf>
    <dxf>
      <fill>
        <patternFill>
          <bgColor rgb="FFFF3300"/>
        </patternFill>
      </fill>
    </dxf>
    <dxf>
      <fill>
        <patternFill>
          <bgColor theme="2" tint="-0.1"/>
        </patternFill>
      </fill>
    </dxf>
    <dxf>
      <fill>
        <patternFill>
          <bgColor theme="6" tint="0.3999"/>
        </patternFill>
      </fill>
    </dxf>
    <dxf>
      <fill>
        <patternFill>
          <bgColor theme="7" tint="0.3999"/>
        </patternFill>
      </fill>
    </dxf>
    <dxf>
      <fill>
        <patternFill>
          <bgColor rgb="FF7BF949"/>
        </patternFill>
      </fill>
    </dxf>
    <dxf>
      <fill>
        <patternFill>
          <bgColor rgb="FFFF3300"/>
        </patternFill>
      </fill>
    </dxf>
    <dxf>
      <fill>
        <patternFill>
          <bgColor theme="2" tint="-0.1"/>
        </patternFill>
      </fill>
    </dxf>
    <dxf>
      <fill>
        <patternFill>
          <bgColor theme="6" tint="0.3999"/>
        </patternFill>
      </fill>
    </dxf>
    <dxf>
      <fill>
        <patternFill>
          <bgColor theme="7" tint="0.3999"/>
        </patternFill>
      </fill>
    </dxf>
    <dxf>
      <fill>
        <patternFill>
          <bgColor rgb="FF7BF94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BE5D6"/>
      <rgbColor rgb="FFFF00FF"/>
      <rgbColor rgb="FF00FFFF"/>
      <rgbColor rgb="FF800000"/>
      <rgbColor rgb="FF008000"/>
      <rgbColor rgb="FF000081"/>
      <rgbColor rgb="FF808000"/>
      <rgbColor rgb="FF800080"/>
      <rgbColor rgb="FF008080"/>
      <rgbColor rgb="FFC0C0C0"/>
      <rgbColor rgb="FF808080"/>
      <rgbColor rgb="FFAFABAB"/>
      <rgbColor rgb="FF993366"/>
      <rgbColor rgb="FFFFFFCC"/>
      <rgbColor rgb="FFF2F2F2"/>
      <rgbColor rgb="FF660066"/>
      <rgbColor rgb="FFCC66FF"/>
      <rgbColor rgb="FF0070C0"/>
      <rgbColor rgb="FFBDD7EE"/>
      <rgbColor rgb="FF000080"/>
      <rgbColor rgb="FFFF00FF"/>
      <rgbColor rgb="FFD0CECE"/>
      <rgbColor rgb="FF00FFFF"/>
      <rgbColor rgb="FF800080"/>
      <rgbColor rgb="FF800000"/>
      <rgbColor rgb="FF008080"/>
      <rgbColor rgb="FF0000FF"/>
      <rgbColor rgb="FF00CCFF"/>
      <rgbColor rgb="FFE7E6E6"/>
      <rgbColor rgb="FFD9D9D9"/>
      <rgbColor rgb="FFFFE699"/>
      <rgbColor rgb="FF66CCFF"/>
      <rgbColor rgb="FFFF99FF"/>
      <rgbColor rgb="FFD2B6F0"/>
      <rgbColor rgb="FFFFD966"/>
      <rgbColor rgb="FF3366FF"/>
      <rgbColor rgb="FFBFBFBF"/>
      <rgbColor rgb="FF7BF949"/>
      <rgbColor rgb="FFC9C9C9"/>
      <rgbColor rgb="FFFF9900"/>
      <rgbColor rgb="FFED7D31"/>
      <rgbColor rgb="FF767171"/>
      <rgbColor rgb="FFA6A6A6"/>
      <rgbColor rgb="FF203864"/>
      <rgbColor rgb="FF339966"/>
      <rgbColor rgb="FF003300"/>
      <rgbColor rgb="FF333300"/>
      <rgbColor rgb="FFFF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trlProps/ctrlProps2.xml><?xml version="1.0" encoding="utf-8"?>
<formControlPr xmlns="http://schemas.microsoft.com/office/spreadsheetml/2009/9/main" objectType="CheckBox" autoLine="false" print="true" fmlaLink="Tallerdata.com!$D$4" lockText="1" noThreeD="1"/>
</file>

<file path=xl/ctrlProps/ctrlProps3.xml><?xml version="1.0" encoding="utf-8"?>
<formControlPr xmlns="http://schemas.microsoft.com/office/spreadsheetml/2009/9/main" objectType="CheckBox" autoLine="false" print="true" fmlaLink="Tallerdata.com!$D$5" lockText="1" noThreeD="1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12</xdr:col>
      <xdr:colOff>180000</xdr:colOff>
      <xdr:row>5</xdr:row>
      <xdr:rowOff>70920</xdr:rowOff>
    </xdr:from>
    <xdr:to>
      <xdr:col>15</xdr:col>
      <xdr:colOff>285120</xdr:colOff>
      <xdr:row>11</xdr:row>
      <xdr:rowOff>48960</xdr:rowOff>
    </xdr:to>
    <xdr:grpSp>
      <xdr:nvGrpSpPr>
        <xdr:cNvPr id="1" name="Grupo 24"/>
        <xdr:cNvGrpSpPr/>
      </xdr:nvGrpSpPr>
      <xdr:grpSpPr>
        <a:xfrm>
          <a:off x="8919000" y="728280"/>
          <a:ext cx="1200240" cy="939960"/>
          <a:chOff x="8919000" y="728280"/>
          <a:chExt cx="1200240" cy="939960"/>
        </a:xfrm>
      </xdr:grpSpPr>
      <xdr:sp textlink="Fechas!D13">
        <xdr:nvSpPr>
          <xdr:cNvPr id="2" name="Redondear rectángulo de esquina del mismo lado 36"/>
          <xdr:cNvSpPr/>
        </xdr:nvSpPr>
        <xdr:spPr>
          <a:xfrm>
            <a:off x="8919000" y="728280"/>
            <a:ext cx="1188360" cy="587160"/>
          </a:xfrm>
          <a:prstGeom prst="round2SameRect">
            <a:avLst>
              <a:gd name="adj1" fmla="val 16667"/>
              <a:gd name="adj2" fmla="val 0"/>
            </a:avLst>
          </a:prstGeom>
          <a:solidFill>
            <a:srgbClr val="9dc3e6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ctr">
              <a:lnSpc>
                <a:spcPct val="100000"/>
              </a:lnSpc>
            </a:pPr>
            <a:r>
              <a:rPr lang="en-US" sz="2400" b="0" u="none" strike="noStrike">
                <a:solidFill>
                  <a:schemeClr val="lt1"/>
                </a:solidFill>
                <a:effectLst/>
                <a:uFillTx/>
                <a:latin typeface="Arial Black"/>
              </a:rPr>
              <a:t>2</a:t>
            </a:r>
            <a:endParaRPr lang="en-US" sz="2400" b="0" u="none" strike="noStrike">
              <a:effectLst/>
              <a:uFillTx/>
              <a:latin typeface="Times New Roman"/>
            </a:endParaRPr>
          </a:p>
        </xdr:txBody>
      </xdr:sp>
      <xdr:sp>
        <xdr:nvSpPr>
          <xdr:cNvPr id="3" name="Rectángulo 46"/>
          <xdr:cNvSpPr/>
        </xdr:nvSpPr>
        <xdr:spPr>
          <a:xfrm>
            <a:off x="8919000" y="1483200"/>
            <a:ext cx="1200240" cy="185040"/>
          </a:xfrm>
          <a:prstGeom prst="rect">
            <a:avLst/>
          </a:prstGeom>
          <a:solidFill>
            <a:srgbClr val="ffffff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ctr">
              <a:lnSpc>
                <a:spcPct val="100000"/>
              </a:lnSpc>
            </a:pPr>
            <a:r>
              <a:rPr lang="es-PE" sz="1200" b="1" u="none" strike="noStrike">
                <a:solidFill>
                  <a:srgbClr val="0070c0"/>
                </a:solidFill>
                <a:effectLst/>
                <a:uFillTx/>
                <a:latin typeface="Calibri"/>
              </a:rPr>
              <a:t>Meses</a:t>
            </a:r>
            <a:endParaRPr lang="en-US" sz="1200" b="0" u="none" strike="noStrike">
              <a:effectLst/>
              <a:uFillTx/>
              <a:latin typeface="Times New Roman"/>
            </a:endParaRPr>
          </a:p>
        </xdr:txBody>
      </xdr:sp>
      <xdr:sp>
        <xdr:nvSpPr>
          <xdr:cNvPr id="4" name="Rectángulo 47"/>
          <xdr:cNvSpPr/>
        </xdr:nvSpPr>
        <xdr:spPr>
          <a:xfrm>
            <a:off x="8919000" y="1315800"/>
            <a:ext cx="1188360" cy="159840"/>
          </a:xfrm>
          <a:prstGeom prst="rect">
            <a:avLst/>
          </a:prstGeom>
          <a:solidFill>
            <a:srgbClr val="0070c0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ctr">
              <a:lnSpc>
                <a:spcPct val="100000"/>
              </a:lnSpc>
            </a:pPr>
            <a:r>
              <a:rPr lang="en-US" sz="1000" b="0" u="none" strike="noStrike">
                <a:solidFill>
                  <a:schemeClr val="lt1"/>
                </a:solidFill>
                <a:effectLst/>
                <a:uFillTx/>
                <a:latin typeface="Arial"/>
              </a:rPr>
              <a:t>Duración</a:t>
            </a:r>
            <a:endParaRPr lang="en-US" sz="1000" b="0" u="none" strike="noStrike">
              <a:effectLst/>
              <a:uFillTx/>
              <a:latin typeface="Times New Roman"/>
            </a:endParaRPr>
          </a:p>
        </xdr:txBody>
      </xdr:sp>
    </xdr:grpSp>
    <xdr:clientData/>
  </xdr:twoCellAnchor>
  <xdr:twoCellAnchor editAs="twoCell">
    <xdr:from>
      <xdr:col>16</xdr:col>
      <xdr:colOff>31680</xdr:colOff>
      <xdr:row>5</xdr:row>
      <xdr:rowOff>70920</xdr:rowOff>
    </xdr:from>
    <xdr:to>
      <xdr:col>19</xdr:col>
      <xdr:colOff>136800</xdr:colOff>
      <xdr:row>11</xdr:row>
      <xdr:rowOff>48960</xdr:rowOff>
    </xdr:to>
    <xdr:grpSp>
      <xdr:nvGrpSpPr>
        <xdr:cNvPr id="5" name="Grupo 48"/>
        <xdr:cNvGrpSpPr/>
      </xdr:nvGrpSpPr>
      <xdr:grpSpPr>
        <a:xfrm>
          <a:off x="10231200" y="728280"/>
          <a:ext cx="1200240" cy="939960"/>
          <a:chOff x="10231200" y="728280"/>
          <a:chExt cx="1200240" cy="939960"/>
        </a:xfrm>
      </xdr:grpSpPr>
      <xdr:sp textlink="Fechas!D14">
        <xdr:nvSpPr>
          <xdr:cNvPr id="6" name="Redondear rectángulo de esquina del mismo lado 36"/>
          <xdr:cNvSpPr/>
        </xdr:nvSpPr>
        <xdr:spPr>
          <a:xfrm>
            <a:off x="10231200" y="728280"/>
            <a:ext cx="1188360" cy="587160"/>
          </a:xfrm>
          <a:prstGeom prst="round2SameRect">
            <a:avLst>
              <a:gd name="adj1" fmla="val 16667"/>
              <a:gd name="adj2" fmla="val 0"/>
            </a:avLst>
          </a:prstGeom>
          <a:solidFill>
            <a:srgbClr val="9dc3e6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ctr">
              <a:lnSpc>
                <a:spcPct val="100000"/>
              </a:lnSpc>
            </a:pPr>
            <a:r>
              <a:rPr lang="en-US" sz="2400" b="0" u="none" strike="noStrike">
                <a:solidFill>
                  <a:schemeClr val="lt1"/>
                </a:solidFill>
                <a:effectLst/>
                <a:uFillTx/>
                <a:latin typeface="Arial Black"/>
              </a:rPr>
              <a:t>22</a:t>
            </a:r>
            <a:endParaRPr lang="en-US" sz="2400" b="0" u="none" strike="noStrike">
              <a:effectLst/>
              <a:uFillTx/>
              <a:latin typeface="Times New Roman"/>
            </a:endParaRPr>
          </a:p>
        </xdr:txBody>
      </xdr:sp>
      <xdr:sp>
        <xdr:nvSpPr>
          <xdr:cNvPr id="7" name="Rectángulo 50"/>
          <xdr:cNvSpPr/>
        </xdr:nvSpPr>
        <xdr:spPr>
          <a:xfrm>
            <a:off x="10231200" y="1483200"/>
            <a:ext cx="1200240" cy="185040"/>
          </a:xfrm>
          <a:prstGeom prst="rect">
            <a:avLst/>
          </a:prstGeom>
          <a:solidFill>
            <a:srgbClr val="ffffff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ctr">
              <a:lnSpc>
                <a:spcPct val="100000"/>
              </a:lnSpc>
            </a:pPr>
            <a:r>
              <a:rPr lang="es-PE" sz="1200" b="1" u="none" strike="noStrike">
                <a:solidFill>
                  <a:srgbClr val="0070c0"/>
                </a:solidFill>
                <a:effectLst/>
                <a:uFillTx/>
                <a:latin typeface="Calibri"/>
              </a:rPr>
              <a:t>Días</a:t>
            </a:r>
            <a:endParaRPr lang="en-US" sz="1200" b="0" u="none" strike="noStrike">
              <a:effectLst/>
              <a:uFillTx/>
              <a:latin typeface="Times New Roman"/>
            </a:endParaRPr>
          </a:p>
        </xdr:txBody>
      </xdr:sp>
      <xdr:sp>
        <xdr:nvSpPr>
          <xdr:cNvPr id="8" name="Rectángulo 51"/>
          <xdr:cNvSpPr/>
        </xdr:nvSpPr>
        <xdr:spPr>
          <a:xfrm>
            <a:off x="10231200" y="1315800"/>
            <a:ext cx="1188360" cy="159840"/>
          </a:xfrm>
          <a:prstGeom prst="rect">
            <a:avLst/>
          </a:prstGeom>
          <a:solidFill>
            <a:srgbClr val="0070c0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ctr">
              <a:lnSpc>
                <a:spcPct val="100000"/>
              </a:lnSpc>
            </a:pPr>
            <a:r>
              <a:rPr lang="en-US" sz="1000" b="0" u="none" strike="noStrike">
                <a:solidFill>
                  <a:schemeClr val="lt1"/>
                </a:solidFill>
                <a:effectLst/>
                <a:uFillTx/>
                <a:latin typeface="Arial"/>
              </a:rPr>
              <a:t>Duración</a:t>
            </a:r>
            <a:endParaRPr lang="en-US" sz="1000" b="0" u="none" strike="noStrike">
              <a:effectLst/>
              <a:uFillTx/>
              <a:latin typeface="Times New Roman"/>
            </a:endParaRPr>
          </a:p>
        </xdr:txBody>
      </xdr:sp>
    </xdr:grpSp>
    <xdr:clientData/>
  </xdr:twoCellAnchor>
  <xdr:twoCellAnchor editAs="twoCell">
    <xdr:from>
      <xdr:col>25</xdr:col>
      <xdr:colOff>211680</xdr:colOff>
      <xdr:row>5</xdr:row>
      <xdr:rowOff>60120</xdr:rowOff>
    </xdr:from>
    <xdr:to>
      <xdr:col>28</xdr:col>
      <xdr:colOff>316800</xdr:colOff>
      <xdr:row>11</xdr:row>
      <xdr:rowOff>38520</xdr:rowOff>
    </xdr:to>
    <xdr:grpSp>
      <xdr:nvGrpSpPr>
        <xdr:cNvPr id="9" name="Grupo 56"/>
        <xdr:cNvGrpSpPr/>
      </xdr:nvGrpSpPr>
      <xdr:grpSpPr>
        <a:xfrm>
          <a:off x="13697280" y="717480"/>
          <a:ext cx="1200240" cy="940320"/>
          <a:chOff x="13697280" y="717480"/>
          <a:chExt cx="1200240" cy="940320"/>
        </a:xfrm>
      </xdr:grpSpPr>
      <xdr:sp textlink="Fechas!D21">
        <xdr:nvSpPr>
          <xdr:cNvPr id="10" name="Redondear rectángulo de esquina del mismo lado 36"/>
          <xdr:cNvSpPr/>
        </xdr:nvSpPr>
        <xdr:spPr>
          <a:xfrm>
            <a:off x="13697280" y="717480"/>
            <a:ext cx="1188360" cy="587160"/>
          </a:xfrm>
          <a:prstGeom prst="round2SameRect">
            <a:avLst>
              <a:gd name="adj1" fmla="val 16667"/>
              <a:gd name="adj2" fmla="val 0"/>
            </a:avLst>
          </a:prstGeom>
          <a:solidFill>
            <a:srgbClr val="9dc3e6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ctr">
              <a:lnSpc>
                <a:spcPct val="100000"/>
              </a:lnSpc>
            </a:pPr>
            <a:r>
              <a:rPr lang="en-US" sz="2400" b="1" u="none" strike="noStrike">
                <a:solidFill>
                  <a:schemeClr val="lt1"/>
                </a:solidFill>
                <a:effectLst/>
                <a:uFillTx/>
                <a:latin typeface="Arial Black"/>
              </a:rPr>
              <a:t>2</a:t>
            </a:r>
            <a:endParaRPr lang="en-US" sz="2400" b="0" u="none" strike="noStrike">
              <a:effectLst/>
              <a:uFillTx/>
              <a:latin typeface="Times New Roman"/>
            </a:endParaRPr>
          </a:p>
        </xdr:txBody>
      </xdr:sp>
      <xdr:sp>
        <xdr:nvSpPr>
          <xdr:cNvPr id="11" name="Rectángulo 58"/>
          <xdr:cNvSpPr/>
        </xdr:nvSpPr>
        <xdr:spPr>
          <a:xfrm>
            <a:off x="13697280" y="1472760"/>
            <a:ext cx="1200240" cy="185040"/>
          </a:xfrm>
          <a:prstGeom prst="rect">
            <a:avLst/>
          </a:prstGeom>
          <a:solidFill>
            <a:srgbClr val="ffffff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ctr">
              <a:lnSpc>
                <a:spcPct val="100000"/>
              </a:lnSpc>
            </a:pPr>
            <a:r>
              <a:rPr lang="es-PE" sz="1200" b="1" u="none" strike="noStrike">
                <a:solidFill>
                  <a:srgbClr val="0070c0"/>
                </a:solidFill>
                <a:effectLst/>
                <a:uFillTx/>
                <a:latin typeface="Calibri"/>
              </a:rPr>
              <a:t>Meses</a:t>
            </a:r>
            <a:endParaRPr lang="en-US" sz="1200" b="0" u="none" strike="noStrike">
              <a:effectLst/>
              <a:uFillTx/>
              <a:latin typeface="Times New Roman"/>
            </a:endParaRPr>
          </a:p>
        </xdr:txBody>
      </xdr:sp>
      <xdr:sp>
        <xdr:nvSpPr>
          <xdr:cNvPr id="12" name="Rectángulo 59"/>
          <xdr:cNvSpPr/>
        </xdr:nvSpPr>
        <xdr:spPr>
          <a:xfrm>
            <a:off x="13697280" y="1305360"/>
            <a:ext cx="1188360" cy="159840"/>
          </a:xfrm>
          <a:prstGeom prst="rect">
            <a:avLst/>
          </a:prstGeom>
          <a:solidFill>
            <a:srgbClr val="0070c0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ctr">
              <a:lnSpc>
                <a:spcPct val="100000"/>
              </a:lnSpc>
            </a:pPr>
            <a:r>
              <a:rPr lang="en-US" sz="1000" b="0" u="none" strike="noStrike">
                <a:solidFill>
                  <a:schemeClr val="lt1"/>
                </a:solidFill>
                <a:effectLst/>
                <a:uFillTx/>
                <a:latin typeface="Arial"/>
              </a:rPr>
              <a:t>Duración</a:t>
            </a:r>
            <a:endParaRPr lang="en-US" sz="1000" b="0" u="none" strike="noStrike">
              <a:effectLst/>
              <a:uFillTx/>
              <a:latin typeface="Times New Roman"/>
            </a:endParaRPr>
          </a:p>
        </xdr:txBody>
      </xdr:sp>
    </xdr:grpSp>
    <xdr:clientData/>
  </xdr:twoCellAnchor>
  <xdr:twoCellAnchor editAs="twoCell">
    <xdr:from>
      <xdr:col>29</xdr:col>
      <xdr:colOff>63360</xdr:colOff>
      <xdr:row>5</xdr:row>
      <xdr:rowOff>60120</xdr:rowOff>
    </xdr:from>
    <xdr:to>
      <xdr:col>32</xdr:col>
      <xdr:colOff>168480</xdr:colOff>
      <xdr:row>11</xdr:row>
      <xdr:rowOff>38520</xdr:rowOff>
    </xdr:to>
    <xdr:grpSp>
      <xdr:nvGrpSpPr>
        <xdr:cNvPr id="13" name="Grupo 60"/>
        <xdr:cNvGrpSpPr/>
      </xdr:nvGrpSpPr>
      <xdr:grpSpPr>
        <a:xfrm>
          <a:off x="15009480" y="717480"/>
          <a:ext cx="1200240" cy="940320"/>
          <a:chOff x="15009480" y="717480"/>
          <a:chExt cx="1200240" cy="940320"/>
        </a:xfrm>
      </xdr:grpSpPr>
      <xdr:sp textlink="Fechas!D22">
        <xdr:nvSpPr>
          <xdr:cNvPr id="14" name="Redondear rectángulo de esquina del mismo lado 36"/>
          <xdr:cNvSpPr/>
        </xdr:nvSpPr>
        <xdr:spPr>
          <a:xfrm>
            <a:off x="15009480" y="717480"/>
            <a:ext cx="1188360" cy="587160"/>
          </a:xfrm>
          <a:prstGeom prst="round2SameRect">
            <a:avLst>
              <a:gd name="adj1" fmla="val 16667"/>
              <a:gd name="adj2" fmla="val 0"/>
            </a:avLst>
          </a:prstGeom>
          <a:solidFill>
            <a:srgbClr val="9dc3e6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ctr">
              <a:lnSpc>
                <a:spcPct val="100000"/>
              </a:lnSpc>
            </a:pPr>
            <a:r>
              <a:rPr lang="en-US" sz="2400" b="0" u="none" strike="noStrike">
                <a:solidFill>
                  <a:schemeClr val="lt1"/>
                </a:solidFill>
                <a:effectLst/>
                <a:uFillTx/>
                <a:latin typeface="Arial Black"/>
              </a:rPr>
              <a:t>22</a:t>
            </a:r>
            <a:endParaRPr lang="en-US" sz="2400" b="0" u="none" strike="noStrike">
              <a:effectLst/>
              <a:uFillTx/>
              <a:latin typeface="Times New Roman"/>
            </a:endParaRPr>
          </a:p>
        </xdr:txBody>
      </xdr:sp>
      <xdr:sp>
        <xdr:nvSpPr>
          <xdr:cNvPr id="15" name="Rectángulo 62"/>
          <xdr:cNvSpPr/>
        </xdr:nvSpPr>
        <xdr:spPr>
          <a:xfrm>
            <a:off x="15009480" y="1472760"/>
            <a:ext cx="1200240" cy="185040"/>
          </a:xfrm>
          <a:prstGeom prst="rect">
            <a:avLst/>
          </a:prstGeom>
          <a:solidFill>
            <a:srgbClr val="ffffff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ctr">
              <a:lnSpc>
                <a:spcPct val="100000"/>
              </a:lnSpc>
            </a:pPr>
            <a:r>
              <a:rPr lang="es-PE" sz="1200" b="1" u="none" strike="noStrike">
                <a:solidFill>
                  <a:srgbClr val="0070c0"/>
                </a:solidFill>
                <a:effectLst/>
                <a:uFillTx/>
                <a:latin typeface="Calibri"/>
              </a:rPr>
              <a:t>Días</a:t>
            </a:r>
            <a:endParaRPr lang="en-US" sz="1200" b="0" u="none" strike="noStrike">
              <a:effectLst/>
              <a:uFillTx/>
              <a:latin typeface="Times New Roman"/>
            </a:endParaRPr>
          </a:p>
        </xdr:txBody>
      </xdr:sp>
      <xdr:sp>
        <xdr:nvSpPr>
          <xdr:cNvPr id="16" name="Rectángulo 63"/>
          <xdr:cNvSpPr/>
        </xdr:nvSpPr>
        <xdr:spPr>
          <a:xfrm>
            <a:off x="15009480" y="1305360"/>
            <a:ext cx="1188360" cy="159840"/>
          </a:xfrm>
          <a:prstGeom prst="rect">
            <a:avLst/>
          </a:prstGeom>
          <a:solidFill>
            <a:srgbClr val="0070c0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ctr">
              <a:lnSpc>
                <a:spcPct val="100000"/>
              </a:lnSpc>
            </a:pPr>
            <a:r>
              <a:rPr lang="en-US" sz="1000" b="0" u="none" strike="noStrike">
                <a:solidFill>
                  <a:schemeClr val="lt1"/>
                </a:solidFill>
                <a:effectLst/>
                <a:uFillTx/>
                <a:latin typeface="Arial"/>
              </a:rPr>
              <a:t>Duración</a:t>
            </a:r>
            <a:endParaRPr lang="en-US" sz="1000" b="0" u="none" strike="noStrike">
              <a:effectLst/>
              <a:uFillTx/>
              <a:latin typeface="Times New Roman"/>
            </a:endParaRPr>
          </a:p>
        </xdr:txBody>
      </xdr:sp>
    </xdr:grpSp>
    <xdr:clientData/>
  </xdr:twoCellAnchor>
  <xdr:twoCellAnchor editAs="twoCell">
    <xdr:from>
      <xdr:col>22</xdr:col>
      <xdr:colOff>57240</xdr:colOff>
      <xdr:row>5</xdr:row>
      <xdr:rowOff>54000</xdr:rowOff>
    </xdr:from>
    <xdr:to>
      <xdr:col>25</xdr:col>
      <xdr:colOff>162360</xdr:colOff>
      <xdr:row>11</xdr:row>
      <xdr:rowOff>27720</xdr:rowOff>
    </xdr:to>
    <xdr:grpSp>
      <xdr:nvGrpSpPr>
        <xdr:cNvPr id="17" name="Grupo 64"/>
        <xdr:cNvGrpSpPr/>
      </xdr:nvGrpSpPr>
      <xdr:grpSpPr>
        <a:xfrm>
          <a:off x="12447360" y="711360"/>
          <a:ext cx="1200600" cy="935640"/>
          <a:chOff x="12447360" y="711360"/>
          <a:chExt cx="1200600" cy="935640"/>
        </a:xfrm>
      </xdr:grpSpPr>
      <xdr:sp textlink="Fechas!F2">
        <xdr:nvSpPr>
          <xdr:cNvPr id="18" name="Redondear rectángulo de esquina del mismo lado 36"/>
          <xdr:cNvSpPr/>
        </xdr:nvSpPr>
        <xdr:spPr>
          <a:xfrm>
            <a:off x="12447360" y="711360"/>
            <a:ext cx="1188720" cy="584640"/>
          </a:xfrm>
          <a:prstGeom prst="round2SameRect">
            <a:avLst>
              <a:gd name="adj1" fmla="val 16667"/>
              <a:gd name="adj2" fmla="val 0"/>
            </a:avLst>
          </a:prstGeom>
          <a:solidFill>
            <a:srgbClr val="f8cbad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ctr">
              <a:lnSpc>
                <a:spcPct val="100000"/>
              </a:lnSpc>
            </a:pPr>
            <a:r>
              <a:rPr lang="en-US" sz="2400" b="0" u="none" strike="noStrike">
                <a:solidFill>
                  <a:schemeClr val="lt1"/>
                </a:solidFill>
                <a:effectLst/>
                <a:uFillTx/>
                <a:latin typeface="Arial Black"/>
              </a:rPr>
              <a:t>0</a:t>
            </a:r>
            <a:endParaRPr lang="en-US" sz="2400" b="0" u="none" strike="noStrike">
              <a:effectLst/>
              <a:uFillTx/>
              <a:latin typeface="Times New Roman"/>
            </a:endParaRPr>
          </a:p>
        </xdr:txBody>
      </xdr:sp>
      <xdr:sp>
        <xdr:nvSpPr>
          <xdr:cNvPr id="19" name="Rectángulo 66"/>
          <xdr:cNvSpPr/>
        </xdr:nvSpPr>
        <xdr:spPr>
          <a:xfrm>
            <a:off x="12447360" y="1463040"/>
            <a:ext cx="1200600" cy="183960"/>
          </a:xfrm>
          <a:prstGeom prst="rect">
            <a:avLst/>
          </a:prstGeom>
          <a:solidFill>
            <a:srgbClr val="ffffff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ctr">
              <a:lnSpc>
                <a:spcPct val="100000"/>
              </a:lnSpc>
            </a:pPr>
            <a:r>
              <a:rPr lang="es-PE" sz="1200" b="1" u="none" strike="noStrike">
                <a:solidFill>
                  <a:srgbClr val="0070c0"/>
                </a:solidFill>
                <a:effectLst/>
                <a:uFillTx/>
                <a:latin typeface="Calibri"/>
              </a:rPr>
              <a:t>Excluidos</a:t>
            </a:r>
            <a:endParaRPr lang="en-US" sz="1200" b="0" u="none" strike="noStrike">
              <a:effectLst/>
              <a:uFillTx/>
              <a:latin typeface="Times New Roman"/>
            </a:endParaRPr>
          </a:p>
        </xdr:txBody>
      </xdr:sp>
      <xdr:sp>
        <xdr:nvSpPr>
          <xdr:cNvPr id="20" name="Rectángulo 67"/>
          <xdr:cNvSpPr/>
        </xdr:nvSpPr>
        <xdr:spPr>
          <a:xfrm>
            <a:off x="12447360" y="1296360"/>
            <a:ext cx="1188720" cy="159120"/>
          </a:xfrm>
          <a:prstGeom prst="rect">
            <a:avLst/>
          </a:prstGeom>
          <a:solidFill>
            <a:srgbClr val="f4b183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ctr">
              <a:lnSpc>
                <a:spcPct val="100000"/>
              </a:lnSpc>
            </a:pPr>
            <a:r>
              <a:rPr lang="en-US" sz="1000" b="0" u="none" strike="noStrike">
                <a:solidFill>
                  <a:schemeClr val="lt1"/>
                </a:solidFill>
                <a:effectLst/>
                <a:uFillTx/>
                <a:latin typeface="Arial"/>
              </a:rPr>
              <a:t>Días</a:t>
            </a:r>
            <a:endParaRPr lang="en-US" sz="1000" b="0" u="none" strike="noStrike">
              <a:effectLst/>
              <a:uFillTx/>
              <a:latin typeface="Times New Roman"/>
            </a:endParaRPr>
          </a:p>
        </xdr:txBody>
      </xdr:sp>
    </xdr:grpSp>
    <xdr:clientData/>
  </xdr:twoCellAnchor>
  <xdr:twoCellAnchor editAs="twoCell">
    <xdr:from>
      <xdr:col>27</xdr:col>
      <xdr:colOff>84600</xdr:colOff>
      <xdr:row>2</xdr:row>
      <xdr:rowOff>52920</xdr:rowOff>
    </xdr:from>
    <xdr:to>
      <xdr:col>33</xdr:col>
      <xdr:colOff>83880</xdr:colOff>
      <xdr:row>4</xdr:row>
      <xdr:rowOff>29880</xdr:rowOff>
    </xdr:to>
    <xdr:sp>
      <xdr:nvSpPr>
        <xdr:cNvPr id="21" name="CuadroTexto 8"/>
        <xdr:cNvSpPr/>
      </xdr:nvSpPr>
      <xdr:spPr>
        <a:xfrm>
          <a:off x="14300280" y="433800"/>
          <a:ext cx="2190240" cy="21528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lang="es-PE" sz="1100" b="0" i="1" u="none" strike="noStrike">
              <a:solidFill>
                <a:schemeClr val="dk1"/>
              </a:solidFill>
              <a:effectLst/>
              <a:uFillTx/>
              <a:latin typeface="Calibri"/>
            </a:rPr>
            <a:t>Duración Con dias Excluidos</a:t>
          </a: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7</xdr:col>
      <xdr:colOff>321840</xdr:colOff>
      <xdr:row>1</xdr:row>
      <xdr:rowOff>14760</xdr:rowOff>
    </xdr:from>
    <xdr:to>
      <xdr:col>8</xdr:col>
      <xdr:colOff>179280</xdr:colOff>
      <xdr:row>1</xdr:row>
      <xdr:rowOff>285120</xdr:rowOff>
    </xdr:to>
    <xdr:sp>
      <xdr:nvSpPr>
        <xdr:cNvPr id="22" name="CuadroTexto 52"/>
        <xdr:cNvSpPr/>
      </xdr:nvSpPr>
      <xdr:spPr>
        <a:xfrm>
          <a:off x="5623920" y="81360"/>
          <a:ext cx="735840" cy="27036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lang="es-PE" sz="1100" b="0" i="1" u="none" strike="noStrike">
              <a:solidFill>
                <a:schemeClr val="lt1"/>
              </a:solidFill>
              <a:effectLst/>
              <a:uFillTx/>
              <a:latin typeface="Calibri"/>
            </a:rPr>
            <a:t>Excluir</a:t>
          </a: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2</xdr:col>
      <xdr:colOff>52920</xdr:colOff>
      <xdr:row>5</xdr:row>
      <xdr:rowOff>41040</xdr:rowOff>
    </xdr:from>
    <xdr:to>
      <xdr:col>9</xdr:col>
      <xdr:colOff>898920</xdr:colOff>
      <xdr:row>11</xdr:row>
      <xdr:rowOff>16920</xdr:rowOff>
    </xdr:to>
    <xdr:grpSp>
      <xdr:nvGrpSpPr>
        <xdr:cNvPr id="23" name="Grupo 1"/>
        <xdr:cNvGrpSpPr/>
      </xdr:nvGrpSpPr>
      <xdr:grpSpPr>
        <a:xfrm>
          <a:off x="102600" y="698400"/>
          <a:ext cx="7638480" cy="937800"/>
          <a:chOff x="102600" y="698400"/>
          <a:chExt cx="7638480" cy="937800"/>
        </a:xfrm>
      </xdr:grpSpPr>
      <xdr:grpSp>
        <xdr:nvGrpSpPr>
          <xdr:cNvPr id="24" name="Grupo 28"/>
          <xdr:cNvGrpSpPr/>
        </xdr:nvGrpSpPr>
        <xdr:grpSpPr>
          <a:xfrm>
            <a:off x="102600" y="698400"/>
            <a:ext cx="1266120" cy="937800"/>
            <a:chOff x="102600" y="698400"/>
            <a:chExt cx="1266120" cy="937800"/>
          </a:xfrm>
        </xdr:grpSpPr>
        <xdr:sp textlink="Resultados!C4">
          <xdr:nvSpPr>
            <xdr:cNvPr id="25" name="Redondear rectángulo de esquina del mismo lado 36"/>
            <xdr:cNvSpPr/>
          </xdr:nvSpPr>
          <xdr:spPr>
            <a:xfrm>
              <a:off x="102600" y="698400"/>
              <a:ext cx="1253520" cy="586080"/>
            </a:xfrm>
            <a:prstGeom prst="round2SameRect">
              <a:avLst>
                <a:gd name="adj1" fmla="val 16667"/>
                <a:gd name="adj2" fmla="val 0"/>
              </a:avLst>
            </a:prstGeom>
            <a:solidFill>
              <a:srgbClr val="9dc3e6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ctr">
                <a:lnSpc>
                  <a:spcPct val="100000"/>
                </a:lnSpc>
              </a:pPr>
              <a:r>
                <a:rPr lang="en-US" sz="2400" b="0" u="none" strike="noStrike">
                  <a:solidFill>
                    <a:schemeClr val="lt1"/>
                  </a:solidFill>
                  <a:effectLst/>
                  <a:uFillTx/>
                  <a:latin typeface="Arial Black"/>
                </a:rPr>
                <a:t>12</a:t>
              </a:r>
              <a:endParaRPr lang="en-US" sz="2400" b="0" u="none" strike="noStrike">
                <a:effectLst/>
                <a:uFillTx/>
                <a:latin typeface="Times New Roman"/>
              </a:endParaRPr>
            </a:p>
          </xdr:txBody>
        </xdr:sp>
        <xdr:sp>
          <xdr:nvSpPr>
            <xdr:cNvPr id="26" name="Rectángulo 26"/>
            <xdr:cNvSpPr/>
          </xdr:nvSpPr>
          <xdr:spPr>
            <a:xfrm>
              <a:off x="102600" y="1451880"/>
              <a:ext cx="1266120" cy="184320"/>
            </a:xfrm>
            <a:prstGeom prst="rect">
              <a:avLst/>
            </a:prstGeom>
            <a:solidFill>
              <a:srgbClr val="ffffff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ctr">
                <a:lnSpc>
                  <a:spcPct val="100000"/>
                </a:lnSpc>
              </a:pPr>
              <a:r>
                <a:rPr lang="es-PE" sz="1200" b="1" u="none" strike="noStrike">
                  <a:solidFill>
                    <a:srgbClr val="0070c0"/>
                  </a:solidFill>
                  <a:effectLst/>
                  <a:uFillTx/>
                  <a:latin typeface="Calibri"/>
                </a:rPr>
                <a:t>Total</a:t>
              </a:r>
              <a:endParaRPr lang="en-US" sz="1200" b="0" u="none" strike="noStrike">
                <a:effectLst/>
                <a:uFillTx/>
                <a:latin typeface="Times New Roman"/>
              </a:endParaRPr>
            </a:p>
          </xdr:txBody>
        </xdr:sp>
        <xdr:sp>
          <xdr:nvSpPr>
            <xdr:cNvPr id="27" name="Rectángulo 27"/>
            <xdr:cNvSpPr/>
          </xdr:nvSpPr>
          <xdr:spPr>
            <a:xfrm>
              <a:off x="102600" y="1284840"/>
              <a:ext cx="1253520" cy="159480"/>
            </a:xfrm>
            <a:prstGeom prst="rect">
              <a:avLst/>
            </a:prstGeom>
            <a:solidFill>
              <a:srgbClr val="0070c0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ctr">
                <a:lnSpc>
                  <a:spcPct val="100000"/>
                </a:lnSpc>
              </a:pPr>
              <a:r>
                <a:rPr lang="en-US" sz="1000" b="0" u="none" strike="noStrike">
                  <a:solidFill>
                    <a:schemeClr val="lt1"/>
                  </a:solidFill>
                  <a:effectLst/>
                  <a:uFillTx/>
                  <a:latin typeface="Arial"/>
                </a:rPr>
                <a:t> </a:t>
              </a:r>
              <a:r>
                <a:rPr lang="en-US" sz="900" b="1" u="none" strike="noStrike">
                  <a:solidFill>
                    <a:schemeClr val="lt1"/>
                  </a:solidFill>
                  <a:effectLst/>
                  <a:uFillTx/>
                  <a:latin typeface="Arial"/>
                </a:rPr>
                <a:t>Actividades</a:t>
              </a:r>
              <a:endParaRPr lang="en-US" sz="900" b="0" u="none" strike="noStrike">
                <a:effectLst/>
                <a:uFillTx/>
                <a:latin typeface="Times New Roman"/>
              </a:endParaRPr>
            </a:p>
          </xdr:txBody>
        </xdr:sp>
      </xdr:grpSp>
      <xdr:grpSp>
        <xdr:nvGrpSpPr>
          <xdr:cNvPr id="28" name="Grupo 29"/>
          <xdr:cNvGrpSpPr/>
        </xdr:nvGrpSpPr>
        <xdr:grpSpPr>
          <a:xfrm>
            <a:off x="1412640" y="698400"/>
            <a:ext cx="1210320" cy="937800"/>
            <a:chOff x="1412640" y="698400"/>
            <a:chExt cx="1210320" cy="937800"/>
          </a:xfrm>
        </xdr:grpSpPr>
        <xdr:sp textlink="Resultados!C5">
          <xdr:nvSpPr>
            <xdr:cNvPr id="29" name="Redondear rectángulo de esquina del mismo lado 36"/>
            <xdr:cNvSpPr/>
          </xdr:nvSpPr>
          <xdr:spPr>
            <a:xfrm>
              <a:off x="1412640" y="698400"/>
              <a:ext cx="1198080" cy="586080"/>
            </a:xfrm>
            <a:prstGeom prst="round2SameRect">
              <a:avLst>
                <a:gd name="adj1" fmla="val 16667"/>
                <a:gd name="adj2" fmla="val 0"/>
              </a:avLst>
            </a:prstGeom>
            <a:solidFill>
              <a:srgbClr val="d0cece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ctr">
                <a:lnSpc>
                  <a:spcPct val="100000"/>
                </a:lnSpc>
              </a:pPr>
              <a:r>
                <a:rPr lang="en-US" sz="2400" b="1" u="none" strike="noStrike">
                  <a:solidFill>
                    <a:schemeClr val="lt1"/>
                  </a:solidFill>
                  <a:effectLst/>
                  <a:uFillTx/>
                  <a:latin typeface="Arial Black"/>
                </a:rPr>
                <a:t>0</a:t>
              </a:r>
              <a:endParaRPr lang="en-US" sz="2400" b="0" u="none" strike="noStrike">
                <a:effectLst/>
                <a:uFillTx/>
                <a:latin typeface="Times New Roman"/>
              </a:endParaRPr>
            </a:p>
          </xdr:txBody>
        </xdr:sp>
        <xdr:sp>
          <xdr:nvSpPr>
            <xdr:cNvPr id="30" name="Rectángulo 31"/>
            <xdr:cNvSpPr/>
          </xdr:nvSpPr>
          <xdr:spPr>
            <a:xfrm>
              <a:off x="1412640" y="1451880"/>
              <a:ext cx="1210320" cy="184320"/>
            </a:xfrm>
            <a:prstGeom prst="rect">
              <a:avLst/>
            </a:prstGeom>
            <a:solidFill>
              <a:srgbClr val="ffffff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ctr">
                <a:lnSpc>
                  <a:spcPct val="100000"/>
                </a:lnSpc>
              </a:pPr>
              <a:r>
                <a:rPr lang="es-PE" sz="1200" b="1" u="none" strike="noStrike">
                  <a:solidFill>
                    <a:srgbClr val="0070c0"/>
                  </a:solidFill>
                  <a:effectLst/>
                  <a:uFillTx/>
                  <a:latin typeface="Calibri"/>
                </a:rPr>
                <a:t>Estado</a:t>
              </a:r>
              <a:endParaRPr lang="en-US" sz="1200" b="0" u="none" strike="noStrike">
                <a:effectLst/>
                <a:uFillTx/>
                <a:latin typeface="Times New Roman"/>
              </a:endParaRPr>
            </a:p>
          </xdr:txBody>
        </xdr:sp>
        <xdr:sp textlink="Resultados!B5">
          <xdr:nvSpPr>
            <xdr:cNvPr id="31" name="Rectángulo 32"/>
            <xdr:cNvSpPr/>
          </xdr:nvSpPr>
          <xdr:spPr>
            <a:xfrm>
              <a:off x="1412640" y="1284840"/>
              <a:ext cx="1198080" cy="159480"/>
            </a:xfrm>
            <a:prstGeom prst="rect">
              <a:avLst/>
            </a:prstGeom>
            <a:solidFill>
              <a:srgbClr val="767171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ctr">
                <a:lnSpc>
                  <a:spcPct val="100000"/>
                </a:lnSpc>
              </a:pPr>
              <a:r>
                <a:rPr lang="en-US" sz="900" b="0" u="none" strike="noStrike">
                  <a:solidFill>
                    <a:schemeClr val="lt1"/>
                  </a:solidFill>
                  <a:effectLst/>
                  <a:uFillTx/>
                  <a:latin typeface="Arial"/>
                </a:rPr>
                <a:t>Sin Empezar</a:t>
              </a:r>
              <a:endParaRPr lang="en-US" sz="900" b="0" u="none" strike="noStrike">
                <a:effectLst/>
                <a:uFillTx/>
                <a:latin typeface="Times New Roman"/>
              </a:endParaRPr>
            </a:p>
          </xdr:txBody>
        </xdr:sp>
      </xdr:grpSp>
      <xdr:grpSp>
        <xdr:nvGrpSpPr>
          <xdr:cNvPr id="32" name="Grupo 33"/>
          <xdr:cNvGrpSpPr/>
        </xdr:nvGrpSpPr>
        <xdr:grpSpPr>
          <a:xfrm>
            <a:off x="2658960" y="698400"/>
            <a:ext cx="1205280" cy="937800"/>
            <a:chOff x="2658960" y="698400"/>
            <a:chExt cx="1205280" cy="937800"/>
          </a:xfrm>
        </xdr:grpSpPr>
        <xdr:sp textlink="Resultados!C6">
          <xdr:nvSpPr>
            <xdr:cNvPr id="33" name="Redondear rectángulo de esquina del mismo lado 36"/>
            <xdr:cNvSpPr/>
          </xdr:nvSpPr>
          <xdr:spPr>
            <a:xfrm>
              <a:off x="2658960" y="698400"/>
              <a:ext cx="1193040" cy="586080"/>
            </a:xfrm>
            <a:prstGeom prst="round2SameRect">
              <a:avLst>
                <a:gd name="adj1" fmla="val 16667"/>
                <a:gd name="adj2" fmla="val 0"/>
              </a:avLst>
            </a:prstGeom>
            <a:solidFill>
              <a:srgbClr val="ffd966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ctr">
                <a:lnSpc>
                  <a:spcPct val="100000"/>
                </a:lnSpc>
              </a:pPr>
              <a:r>
                <a:rPr lang="en-US" sz="2400" b="0" u="none" strike="noStrike">
                  <a:solidFill>
                    <a:schemeClr val="lt1"/>
                  </a:solidFill>
                  <a:effectLst/>
                  <a:uFillTx/>
                  <a:latin typeface="Arial Black"/>
                </a:rPr>
                <a:t>0</a:t>
              </a:r>
              <a:endParaRPr lang="en-US" sz="2400" b="0" u="none" strike="noStrike">
                <a:effectLst/>
                <a:uFillTx/>
                <a:latin typeface="Times New Roman"/>
              </a:endParaRPr>
            </a:p>
          </xdr:txBody>
        </xdr:sp>
        <xdr:sp>
          <xdr:nvSpPr>
            <xdr:cNvPr id="34" name="Rectángulo 35"/>
            <xdr:cNvSpPr/>
          </xdr:nvSpPr>
          <xdr:spPr>
            <a:xfrm>
              <a:off x="2658960" y="1451880"/>
              <a:ext cx="1205280" cy="184320"/>
            </a:xfrm>
            <a:prstGeom prst="rect">
              <a:avLst/>
            </a:prstGeom>
            <a:solidFill>
              <a:srgbClr val="ffffff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ctr">
                <a:lnSpc>
                  <a:spcPct val="100000"/>
                </a:lnSpc>
              </a:pPr>
              <a:r>
                <a:rPr lang="es-PE" sz="1200" b="1" u="none" strike="noStrike">
                  <a:solidFill>
                    <a:srgbClr val="0070c0"/>
                  </a:solidFill>
                  <a:effectLst/>
                  <a:uFillTx/>
                  <a:latin typeface="Calibri"/>
                </a:rPr>
                <a:t>Estado</a:t>
              </a:r>
              <a:endParaRPr lang="en-US" sz="1200" b="0" u="none" strike="noStrike">
                <a:effectLst/>
                <a:uFillTx/>
                <a:latin typeface="Times New Roman"/>
              </a:endParaRPr>
            </a:p>
          </xdr:txBody>
        </xdr:sp>
        <xdr:sp textlink="Resultados!B6">
          <xdr:nvSpPr>
            <xdr:cNvPr id="35" name="Rectángulo 36"/>
            <xdr:cNvSpPr/>
          </xdr:nvSpPr>
          <xdr:spPr>
            <a:xfrm>
              <a:off x="2658960" y="1284840"/>
              <a:ext cx="1193040" cy="159480"/>
            </a:xfrm>
            <a:prstGeom prst="rect">
              <a:avLst/>
            </a:prstGeom>
            <a:solidFill>
              <a:srgbClr val="ffc000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ctr">
                <a:lnSpc>
                  <a:spcPct val="100000"/>
                </a:lnSpc>
              </a:pPr>
              <a:r>
                <a:rPr lang="en-US" sz="900" b="1" u="none" strike="noStrike">
                  <a:solidFill>
                    <a:schemeClr val="lt1"/>
                  </a:solidFill>
                  <a:effectLst/>
                  <a:uFillTx/>
                  <a:latin typeface="Arial"/>
                </a:rPr>
                <a:t>En Proceso</a:t>
              </a:r>
              <a:endParaRPr lang="en-US" sz="900" b="0" u="none" strike="noStrike">
                <a:effectLst/>
                <a:uFillTx/>
                <a:latin typeface="Times New Roman"/>
              </a:endParaRPr>
            </a:p>
          </xdr:txBody>
        </xdr:sp>
      </xdr:grpSp>
      <xdr:grpSp>
        <xdr:nvGrpSpPr>
          <xdr:cNvPr id="36" name="Grupo 37"/>
          <xdr:cNvGrpSpPr/>
        </xdr:nvGrpSpPr>
        <xdr:grpSpPr>
          <a:xfrm>
            <a:off x="3918600" y="698400"/>
            <a:ext cx="1187640" cy="937800"/>
            <a:chOff x="3918600" y="698400"/>
            <a:chExt cx="1187640" cy="937800"/>
          </a:xfrm>
        </xdr:grpSpPr>
        <xdr:sp textlink="Resultados!C8">
          <xdr:nvSpPr>
            <xdr:cNvPr id="37" name="Redondear rectángulo de esquina del mismo lado 36"/>
            <xdr:cNvSpPr/>
          </xdr:nvSpPr>
          <xdr:spPr>
            <a:xfrm>
              <a:off x="3918600" y="698400"/>
              <a:ext cx="1175760" cy="586080"/>
            </a:xfrm>
            <a:prstGeom prst="round2SameRect">
              <a:avLst>
                <a:gd name="adj1" fmla="val 16667"/>
                <a:gd name="adj2" fmla="val 0"/>
              </a:avLst>
            </a:prstGeom>
            <a:solidFill>
              <a:srgbClr val="f4b183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ctr">
                <a:lnSpc>
                  <a:spcPct val="100000"/>
                </a:lnSpc>
              </a:pPr>
              <a:r>
                <a:rPr lang="en-US" sz="2400" b="0" u="none" strike="noStrike">
                  <a:solidFill>
                    <a:schemeClr val="lt1"/>
                  </a:solidFill>
                  <a:effectLst/>
                  <a:uFillTx/>
                  <a:latin typeface="Arial Black"/>
                </a:rPr>
                <a:t>0</a:t>
              </a:r>
              <a:endParaRPr lang="en-US" sz="2400" b="0" u="none" strike="noStrike">
                <a:effectLst/>
                <a:uFillTx/>
                <a:latin typeface="Times New Roman"/>
              </a:endParaRPr>
            </a:p>
          </xdr:txBody>
        </xdr:sp>
        <xdr:sp>
          <xdr:nvSpPr>
            <xdr:cNvPr id="38" name="Rectángulo 39"/>
            <xdr:cNvSpPr/>
          </xdr:nvSpPr>
          <xdr:spPr>
            <a:xfrm>
              <a:off x="3918600" y="1451880"/>
              <a:ext cx="1187640" cy="184320"/>
            </a:xfrm>
            <a:prstGeom prst="rect">
              <a:avLst/>
            </a:prstGeom>
            <a:solidFill>
              <a:srgbClr val="ffffff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ctr">
                <a:lnSpc>
                  <a:spcPct val="100000"/>
                </a:lnSpc>
              </a:pPr>
              <a:r>
                <a:rPr lang="es-PE" sz="1200" b="1" u="none" strike="noStrike">
                  <a:solidFill>
                    <a:srgbClr val="0070c0"/>
                  </a:solidFill>
                  <a:effectLst/>
                  <a:uFillTx/>
                  <a:latin typeface="Calibri"/>
                </a:rPr>
                <a:t>Estado</a:t>
              </a:r>
              <a:endParaRPr lang="en-US" sz="1200" b="0" u="none" strike="noStrike">
                <a:effectLst/>
                <a:uFillTx/>
                <a:latin typeface="Times New Roman"/>
              </a:endParaRPr>
            </a:p>
          </xdr:txBody>
        </xdr:sp>
        <xdr:sp textlink="Resultados!B8">
          <xdr:nvSpPr>
            <xdr:cNvPr id="39" name="Rectángulo 40"/>
            <xdr:cNvSpPr/>
          </xdr:nvSpPr>
          <xdr:spPr>
            <a:xfrm>
              <a:off x="3918600" y="1284840"/>
              <a:ext cx="1175760" cy="159480"/>
            </a:xfrm>
            <a:prstGeom prst="rect">
              <a:avLst/>
            </a:prstGeom>
            <a:solidFill>
              <a:srgbClr val="ff3300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ctr">
                <a:lnSpc>
                  <a:spcPct val="100000"/>
                </a:lnSpc>
              </a:pPr>
              <a:r>
                <a:rPr lang="en-US" sz="1100" b="0" u="none" strike="noStrike">
                  <a:solidFill>
                    <a:schemeClr val="lt1"/>
                  </a:solidFill>
                  <a:effectLst/>
                  <a:uFillTx/>
                  <a:latin typeface="Calibri"/>
                </a:rPr>
                <a:t>Atrasado</a:t>
              </a:r>
              <a:endParaRPr lang="en-US" sz="1100" b="0" u="none" strike="noStrike">
                <a:effectLst/>
                <a:uFillTx/>
                <a:latin typeface="Times New Roman"/>
              </a:endParaRPr>
            </a:p>
          </xdr:txBody>
        </xdr:sp>
      </xdr:grpSp>
      <xdr:grpSp>
        <xdr:nvGrpSpPr>
          <xdr:cNvPr id="40" name="Grupo 53"/>
          <xdr:cNvGrpSpPr/>
        </xdr:nvGrpSpPr>
        <xdr:grpSpPr>
          <a:xfrm>
            <a:off x="6399000" y="698400"/>
            <a:ext cx="1342080" cy="937800"/>
            <a:chOff x="6399000" y="698400"/>
            <a:chExt cx="1342080" cy="937800"/>
          </a:xfrm>
        </xdr:grpSpPr>
        <xdr:sp textlink="Resultados!D10">
          <xdr:nvSpPr>
            <xdr:cNvPr id="41" name="Redondear rectángulo de esquina del mismo lado 36"/>
            <xdr:cNvSpPr/>
          </xdr:nvSpPr>
          <xdr:spPr>
            <a:xfrm>
              <a:off x="6399000" y="698400"/>
              <a:ext cx="1328760" cy="586080"/>
            </a:xfrm>
            <a:prstGeom prst="round2SameRect">
              <a:avLst>
                <a:gd name="adj1" fmla="val 16667"/>
                <a:gd name="adj2" fmla="val 0"/>
              </a:avLst>
            </a:prstGeom>
            <a:solidFill>
              <a:srgbClr val="9dc3e6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ctr">
                <a:lnSpc>
                  <a:spcPct val="100000"/>
                </a:lnSpc>
              </a:pPr>
              <a:r>
                <a:rPr lang="en-US" sz="2000" b="0" u="none" strike="noStrike">
                  <a:solidFill>
                    <a:schemeClr val="lt1"/>
                  </a:solidFill>
                  <a:effectLst/>
                  <a:uFillTx/>
                  <a:latin typeface="Arial Black"/>
                </a:rPr>
                <a:t>100%</a:t>
              </a:r>
              <a:endParaRPr lang="en-US" sz="2000" b="0" u="none" strike="noStrike">
                <a:effectLst/>
                <a:uFillTx/>
                <a:latin typeface="Times New Roman"/>
              </a:endParaRPr>
            </a:p>
          </xdr:txBody>
        </xdr:sp>
        <xdr:sp>
          <xdr:nvSpPr>
            <xdr:cNvPr id="42" name="Rectángulo 55"/>
            <xdr:cNvSpPr/>
          </xdr:nvSpPr>
          <xdr:spPr>
            <a:xfrm>
              <a:off x="6399000" y="1451880"/>
              <a:ext cx="1342080" cy="184320"/>
            </a:xfrm>
            <a:prstGeom prst="rect">
              <a:avLst/>
            </a:prstGeom>
            <a:solidFill>
              <a:srgbClr val="ffffff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ctr">
                <a:lnSpc>
                  <a:spcPct val="100000"/>
                </a:lnSpc>
              </a:pPr>
              <a:r>
                <a:rPr lang="es-PE" sz="1200" b="1" u="none" strike="noStrike">
                  <a:solidFill>
                    <a:srgbClr val="0070c0"/>
                  </a:solidFill>
                  <a:effectLst/>
                  <a:uFillTx/>
                  <a:latin typeface="Calibri"/>
                </a:rPr>
                <a:t>% Avance</a:t>
              </a:r>
              <a:endParaRPr lang="en-US" sz="1200" b="0" u="none" strike="noStrike">
                <a:effectLst/>
                <a:uFillTx/>
                <a:latin typeface="Times New Roman"/>
              </a:endParaRPr>
            </a:p>
          </xdr:txBody>
        </xdr:sp>
        <xdr:sp>
          <xdr:nvSpPr>
            <xdr:cNvPr id="43" name="Rectángulo 68"/>
            <xdr:cNvSpPr/>
          </xdr:nvSpPr>
          <xdr:spPr>
            <a:xfrm>
              <a:off x="6399000" y="1284840"/>
              <a:ext cx="1328760" cy="159480"/>
            </a:xfrm>
            <a:prstGeom prst="rect">
              <a:avLst/>
            </a:prstGeom>
            <a:solidFill>
              <a:srgbClr val="0070c0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ctr">
                <a:lnSpc>
                  <a:spcPct val="100000"/>
                </a:lnSpc>
              </a:pPr>
              <a:r>
                <a:rPr lang="en-US" sz="1000" b="0" u="none" strike="noStrike">
                  <a:solidFill>
                    <a:schemeClr val="lt1"/>
                  </a:solidFill>
                  <a:effectLst/>
                  <a:uFillTx/>
                  <a:latin typeface="Arial"/>
                </a:rPr>
                <a:t>Proyecto</a:t>
              </a:r>
              <a:endParaRPr lang="en-US" sz="1000" b="0" u="none" strike="noStrike">
                <a:effectLst/>
                <a:uFillTx/>
                <a:latin typeface="Times New Roman"/>
              </a:endParaRPr>
            </a:p>
          </xdr:txBody>
        </xdr:sp>
      </xdr:grpSp>
      <xdr:grpSp>
        <xdr:nvGrpSpPr>
          <xdr:cNvPr id="44" name="Grupo 69"/>
          <xdr:cNvGrpSpPr/>
        </xdr:nvGrpSpPr>
        <xdr:grpSpPr>
          <a:xfrm>
            <a:off x="5164920" y="698400"/>
            <a:ext cx="1187640" cy="931680"/>
            <a:chOff x="5164920" y="698400"/>
            <a:chExt cx="1187640" cy="931680"/>
          </a:xfrm>
        </xdr:grpSpPr>
        <xdr:sp textlink="Resultados!C7">
          <xdr:nvSpPr>
            <xdr:cNvPr id="45" name="Redondear rectángulo de esquina del mismo lado 36"/>
            <xdr:cNvSpPr/>
          </xdr:nvSpPr>
          <xdr:spPr>
            <a:xfrm>
              <a:off x="5164920" y="698400"/>
              <a:ext cx="1175760" cy="582120"/>
            </a:xfrm>
            <a:prstGeom prst="round2SameRect">
              <a:avLst>
                <a:gd name="adj1" fmla="val 16667"/>
                <a:gd name="adj2" fmla="val 0"/>
              </a:avLst>
            </a:prstGeom>
            <a:solidFill>
              <a:srgbClr val="a9d18e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ctr">
                <a:lnSpc>
                  <a:spcPct val="100000"/>
                </a:lnSpc>
              </a:pPr>
              <a:r>
                <a:rPr lang="en-US" sz="2400" b="1" u="none" strike="noStrike">
                  <a:solidFill>
                    <a:schemeClr val="lt1"/>
                  </a:solidFill>
                  <a:effectLst/>
                  <a:uFillTx/>
                  <a:latin typeface="Arial Black"/>
                </a:rPr>
                <a:t>12</a:t>
              </a:r>
              <a:endParaRPr lang="en-US" sz="2400" b="0" u="none" strike="noStrike">
                <a:effectLst/>
                <a:uFillTx/>
                <a:latin typeface="Times New Roman"/>
              </a:endParaRPr>
            </a:p>
          </xdr:txBody>
        </xdr:sp>
        <xdr:sp>
          <xdr:nvSpPr>
            <xdr:cNvPr id="46" name="Rectángulo 71"/>
            <xdr:cNvSpPr/>
          </xdr:nvSpPr>
          <xdr:spPr>
            <a:xfrm>
              <a:off x="5164920" y="1446840"/>
              <a:ext cx="1187640" cy="183240"/>
            </a:xfrm>
            <a:prstGeom prst="rect">
              <a:avLst/>
            </a:prstGeom>
            <a:solidFill>
              <a:srgbClr val="ffffff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ctr">
                <a:lnSpc>
                  <a:spcPct val="100000"/>
                </a:lnSpc>
              </a:pPr>
              <a:r>
                <a:rPr lang="es-PE" sz="1200" b="1" u="none" strike="noStrike">
                  <a:solidFill>
                    <a:srgbClr val="0070c0"/>
                  </a:solidFill>
                  <a:effectLst/>
                  <a:uFillTx/>
                  <a:latin typeface="Calibri"/>
                </a:rPr>
                <a:t>Estado</a:t>
              </a:r>
              <a:endParaRPr lang="en-US" sz="1200" b="0" u="none" strike="noStrike">
                <a:effectLst/>
                <a:uFillTx/>
                <a:latin typeface="Times New Roman"/>
              </a:endParaRPr>
            </a:p>
          </xdr:txBody>
        </xdr:sp>
        <xdr:sp textlink="Resultados!B7">
          <xdr:nvSpPr>
            <xdr:cNvPr id="47" name="Rectángulo 72"/>
            <xdr:cNvSpPr/>
          </xdr:nvSpPr>
          <xdr:spPr>
            <a:xfrm>
              <a:off x="5164920" y="1280880"/>
              <a:ext cx="1175760" cy="158400"/>
            </a:xfrm>
            <a:prstGeom prst="rect">
              <a:avLst/>
            </a:prstGeom>
            <a:solidFill>
              <a:srgbClr val="548235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ctr">
                <a:lnSpc>
                  <a:spcPct val="100000"/>
                </a:lnSpc>
              </a:pPr>
              <a:r>
                <a:rPr lang="en-US" sz="900" b="1" u="none" strike="noStrike">
                  <a:solidFill>
                    <a:schemeClr val="lt1"/>
                  </a:solidFill>
                  <a:effectLst/>
                  <a:uFillTx/>
                  <a:latin typeface="Arial"/>
                </a:rPr>
                <a:t>Completado</a:t>
              </a:r>
              <a:endParaRPr lang="en-US" sz="900" b="0" u="none" strike="noStrike">
                <a:effectLst/>
                <a:uFillTx/>
                <a:latin typeface="Times New Roman"/>
              </a:endParaRPr>
            </a:p>
          </xdr:txBody>
        </xdr:sp>
      </xdr:grp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152280</xdr:colOff>
          <xdr:row>1</xdr:row>
          <xdr:rowOff>76320</xdr:rowOff>
        </xdr:from>
        <xdr:to>
          <xdr:col>9</xdr:col>
          <xdr:colOff>285480</xdr:colOff>
          <xdr:row>2</xdr:row>
          <xdr:rowOff>9720</xdr:rowOff>
        </xdr:to>
        <xdr:sp>
          <xdr:nvSpPr>
            <xdr:cNvPr id="1001" name="Check Box 8" descr="Sábado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Sábado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295200</xdr:colOff>
          <xdr:row>1</xdr:row>
          <xdr:rowOff>76320</xdr:rowOff>
        </xdr:from>
        <xdr:to>
          <xdr:col>10</xdr:col>
          <xdr:colOff>0</xdr:colOff>
          <xdr:row>2</xdr:row>
          <xdr:rowOff>9720</xdr:rowOff>
        </xdr:to>
        <xdr:sp>
          <xdr:nvSpPr>
            <xdr:cNvPr id="1002" name="Check Box 9" descr="Domingo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Domingo</a:t>
              </a:r>
            </a:p>
          </xdr:txBody>
        </xdr:sp>
        <xdr:clientData/>
      </xdr:twoCellAnchor>
    </mc:Choice>
  </mc:AlternateContent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ctrlProp" Target="../ctrlProps/ctrlProps2.xml"/><Relationship Id="rId5" Type="http://schemas.openxmlformats.org/officeDocument/2006/relationships/ctrlProp" Target="../ctrlProps/ctrlProps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SW78"/>
  <sheetViews>
    <sheetView showFormulas="false" showGridLines="false" showRowColHeaders="false" showZeros="true" rightToLeft="false" tabSelected="true" showOutlineSymbols="true" defaultGridColor="true" view="normal" topLeftCell="B1" colorId="64" zoomScale="100" zoomScaleNormal="100" zoomScalePageLayoutView="100" workbookViewId="0">
      <pane xSplit="10" ySplit="17" topLeftCell="L58" activePane="bottomRight" state="frozen"/>
      <selection pane="topLeft" activeCell="B1" activeCellId="0" sqref="B1"/>
      <selection pane="topRight" activeCell="L1" activeCellId="0" sqref="L1"/>
      <selection pane="bottomLeft" activeCell="B58" activeCellId="0" sqref="B58"/>
      <selection pane="bottomRight" activeCell="D14" activeCellId="0" sqref="D14"/>
    </sheetView>
  </sheetViews>
  <sheetFormatPr defaultColWidth="11.55859375" defaultRowHeight="14.25" customHeight="false" zeroHeight="false" outlineLevelRow="1" outlineLevelCol="0"/>
  <cols>
    <col collapsed="false" customWidth="true" hidden="true" outlineLevel="0" max="1" min="1" style="1" width="17.66"/>
    <col collapsed="false" customWidth="true" hidden="false" outlineLevel="0" max="2" min="2" style="1" width="0.56"/>
    <col collapsed="false" customWidth="true" hidden="false" outlineLevel="0" max="3" min="3" style="1" width="5"/>
    <col collapsed="false" customWidth="true" hidden="false" outlineLevel="0" max="4" min="4" style="1" width="17.66"/>
    <col collapsed="false" customWidth="true" hidden="false" outlineLevel="0" max="5" min="5" style="1" width="12.89"/>
    <col collapsed="false" customWidth="true" hidden="false" outlineLevel="0" max="6" min="6" style="1" width="13.66"/>
    <col collapsed="false" customWidth="true" hidden="false" outlineLevel="0" max="8" min="7" style="1" width="9.88"/>
    <col collapsed="false" customWidth="true" hidden="false" outlineLevel="0" max="9" min="9" style="2" width="7.44"/>
    <col collapsed="false" customWidth="true" hidden="false" outlineLevel="0" max="10" min="10" style="2" width="13"/>
    <col collapsed="false" customWidth="true" hidden="false" outlineLevel="0" max="11" min="11" style="2" width="1.89"/>
    <col collapsed="false" customWidth="true" hidden="false" outlineLevel="0" max="12" min="12" style="1" width="6.44"/>
    <col collapsed="false" customWidth="true" hidden="false" outlineLevel="0" max="517" min="13" style="1" width="4.11"/>
  </cols>
  <sheetData>
    <row r="1" customFormat="false" ht="5.25" hidden="false" customHeight="true" outlineLevel="0" collapsed="false"/>
    <row r="2" customFormat="false" ht="24.75" hidden="false" customHeight="true" outlineLevel="0" collapsed="false">
      <c r="C2" s="3"/>
      <c r="D2" s="4"/>
      <c r="E2" s="5" t="s">
        <v>0</v>
      </c>
      <c r="F2" s="5"/>
      <c r="G2" s="6"/>
      <c r="H2" s="6"/>
      <c r="I2" s="7"/>
      <c r="J2" s="8"/>
      <c r="K2" s="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  <c r="MO2" s="9"/>
      <c r="MP2" s="9"/>
      <c r="MQ2" s="9"/>
      <c r="MR2" s="9"/>
      <c r="MS2" s="9"/>
      <c r="MT2" s="9"/>
      <c r="MU2" s="9"/>
      <c r="MV2" s="9"/>
      <c r="MW2" s="9"/>
      <c r="MX2" s="9"/>
      <c r="MY2" s="9"/>
      <c r="MZ2" s="9"/>
      <c r="NA2" s="9"/>
      <c r="NB2" s="9"/>
      <c r="NC2" s="9"/>
      <c r="ND2" s="9"/>
      <c r="NE2" s="9"/>
      <c r="NF2" s="9"/>
      <c r="NG2" s="9"/>
      <c r="NH2" s="9"/>
      <c r="NI2" s="9"/>
      <c r="NJ2" s="9"/>
      <c r="NK2" s="9"/>
      <c r="NL2" s="9"/>
      <c r="NM2" s="9"/>
      <c r="NN2" s="9"/>
      <c r="NO2" s="9"/>
      <c r="NP2" s="9"/>
      <c r="NQ2" s="9"/>
      <c r="NR2" s="9"/>
      <c r="NS2" s="9"/>
      <c r="NT2" s="9"/>
      <c r="NU2" s="9"/>
      <c r="NV2" s="9"/>
      <c r="NW2" s="9"/>
      <c r="NX2" s="9"/>
      <c r="NY2" s="9"/>
      <c r="NZ2" s="9"/>
      <c r="OA2" s="9"/>
      <c r="OB2" s="9"/>
      <c r="OC2" s="9"/>
      <c r="OD2" s="9"/>
      <c r="OE2" s="9"/>
      <c r="OF2" s="9"/>
      <c r="OG2" s="9"/>
      <c r="OH2" s="9"/>
      <c r="OI2" s="9"/>
      <c r="OJ2" s="9"/>
      <c r="OK2" s="9"/>
      <c r="OL2" s="9"/>
      <c r="OM2" s="9"/>
      <c r="ON2" s="9"/>
      <c r="OO2" s="9"/>
      <c r="OP2" s="9"/>
      <c r="OQ2" s="9"/>
      <c r="OR2" s="9"/>
      <c r="OS2" s="9"/>
      <c r="OT2" s="9"/>
      <c r="OU2" s="9"/>
      <c r="OV2" s="9"/>
      <c r="OW2" s="9"/>
      <c r="OX2" s="9"/>
      <c r="OY2" s="9"/>
      <c r="OZ2" s="9"/>
      <c r="PA2" s="9"/>
      <c r="PB2" s="9"/>
      <c r="PC2" s="9"/>
      <c r="PD2" s="9"/>
      <c r="PE2" s="9"/>
      <c r="PF2" s="9"/>
      <c r="PG2" s="9"/>
      <c r="PH2" s="9"/>
      <c r="PI2" s="9"/>
      <c r="PJ2" s="9"/>
      <c r="PK2" s="9"/>
      <c r="PL2" s="9"/>
      <c r="PM2" s="9"/>
      <c r="PN2" s="9"/>
      <c r="PO2" s="9"/>
      <c r="PP2" s="9"/>
      <c r="PQ2" s="9"/>
      <c r="PR2" s="9"/>
      <c r="PS2" s="9"/>
      <c r="PT2" s="9"/>
      <c r="PU2" s="9"/>
      <c r="PV2" s="9"/>
      <c r="PW2" s="9"/>
      <c r="PX2" s="9"/>
      <c r="PY2" s="9"/>
      <c r="PZ2" s="9"/>
      <c r="QA2" s="9"/>
      <c r="QB2" s="9"/>
      <c r="QC2" s="9"/>
      <c r="QD2" s="9"/>
      <c r="QE2" s="9"/>
      <c r="QF2" s="9"/>
      <c r="QG2" s="9"/>
      <c r="QH2" s="9"/>
      <c r="QI2" s="9"/>
      <c r="QJ2" s="9"/>
      <c r="QK2" s="9"/>
      <c r="QL2" s="9"/>
      <c r="QM2" s="9"/>
      <c r="QN2" s="9"/>
      <c r="QO2" s="9"/>
      <c r="QP2" s="9"/>
      <c r="QQ2" s="9"/>
      <c r="QR2" s="9"/>
      <c r="QS2" s="9"/>
      <c r="QT2" s="9"/>
      <c r="QU2" s="9"/>
      <c r="QV2" s="9"/>
      <c r="QW2" s="9"/>
      <c r="QX2" s="9"/>
      <c r="QY2" s="9"/>
      <c r="QZ2" s="9"/>
      <c r="RA2" s="9"/>
      <c r="RB2" s="9"/>
      <c r="RC2" s="9"/>
      <c r="RD2" s="9"/>
      <c r="RE2" s="9"/>
      <c r="RF2" s="9"/>
      <c r="RG2" s="9"/>
      <c r="RH2" s="9"/>
      <c r="RI2" s="9"/>
      <c r="RJ2" s="9"/>
      <c r="RK2" s="9"/>
      <c r="RL2" s="9"/>
      <c r="RM2" s="9"/>
      <c r="RN2" s="9"/>
      <c r="RO2" s="9"/>
      <c r="RP2" s="9"/>
      <c r="RQ2" s="9"/>
      <c r="RR2" s="9"/>
      <c r="RS2" s="9"/>
      <c r="RT2" s="9"/>
      <c r="RU2" s="9"/>
      <c r="RV2" s="9"/>
      <c r="RW2" s="9"/>
      <c r="RX2" s="9"/>
      <c r="RY2" s="9"/>
      <c r="RZ2" s="9"/>
      <c r="SA2" s="9"/>
      <c r="SB2" s="9"/>
      <c r="SC2" s="9"/>
      <c r="SD2" s="9"/>
      <c r="SE2" s="9"/>
      <c r="SF2" s="9"/>
      <c r="SG2" s="9"/>
      <c r="SH2" s="9"/>
      <c r="SI2" s="9"/>
      <c r="SJ2" s="9"/>
      <c r="SK2" s="9"/>
      <c r="SL2" s="9"/>
      <c r="SM2" s="9"/>
      <c r="SN2" s="9"/>
      <c r="SO2" s="9"/>
      <c r="SP2" s="9"/>
      <c r="SQ2" s="9"/>
      <c r="SR2" s="9"/>
      <c r="SS2" s="9"/>
      <c r="ST2" s="9"/>
      <c r="SU2" s="9"/>
      <c r="SV2" s="9"/>
      <c r="SW2" s="9"/>
    </row>
    <row r="3" customFormat="false" ht="4.5" hidden="false" customHeight="true" outlineLevel="0" collapsed="false">
      <c r="C3" s="10"/>
      <c r="D3" s="11"/>
      <c r="E3" s="11"/>
      <c r="F3" s="11"/>
      <c r="G3" s="11"/>
      <c r="H3" s="11"/>
      <c r="I3" s="12"/>
      <c r="J3" s="12"/>
      <c r="K3" s="12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1"/>
      <c r="JX3" s="11"/>
      <c r="JY3" s="11"/>
      <c r="JZ3" s="11"/>
      <c r="KA3" s="11"/>
      <c r="KB3" s="11"/>
      <c r="KC3" s="11"/>
      <c r="KD3" s="11"/>
      <c r="KE3" s="11"/>
      <c r="KF3" s="11"/>
      <c r="KG3" s="11"/>
      <c r="KH3" s="11"/>
      <c r="KI3" s="11"/>
      <c r="KJ3" s="11"/>
      <c r="KK3" s="11"/>
      <c r="KL3" s="11"/>
      <c r="KM3" s="11"/>
      <c r="KN3" s="11"/>
      <c r="KO3" s="11"/>
      <c r="KP3" s="11"/>
      <c r="KQ3" s="11"/>
      <c r="KR3" s="11"/>
      <c r="KS3" s="11"/>
      <c r="KT3" s="11"/>
      <c r="KU3" s="11"/>
      <c r="KV3" s="11"/>
      <c r="KW3" s="11"/>
      <c r="KX3" s="11"/>
      <c r="KY3" s="11"/>
      <c r="KZ3" s="11"/>
      <c r="LA3" s="11"/>
      <c r="LB3" s="11"/>
      <c r="LC3" s="11"/>
      <c r="LD3" s="11"/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1"/>
      <c r="MI3" s="11"/>
      <c r="MJ3" s="11"/>
      <c r="MK3" s="11"/>
      <c r="ML3" s="11"/>
      <c r="MM3" s="11"/>
      <c r="MN3" s="11"/>
      <c r="MO3" s="11"/>
      <c r="MP3" s="11"/>
      <c r="MQ3" s="11"/>
      <c r="MR3" s="11"/>
      <c r="MS3" s="11"/>
      <c r="MT3" s="11"/>
      <c r="MU3" s="11"/>
      <c r="MV3" s="11"/>
      <c r="MW3" s="11"/>
      <c r="MX3" s="11"/>
      <c r="MY3" s="11"/>
      <c r="MZ3" s="11"/>
      <c r="NA3" s="11"/>
      <c r="NB3" s="11"/>
      <c r="NC3" s="11"/>
      <c r="ND3" s="11"/>
      <c r="NE3" s="11"/>
      <c r="NF3" s="11"/>
      <c r="NG3" s="11"/>
      <c r="NH3" s="11"/>
      <c r="NI3" s="11"/>
      <c r="NJ3" s="11"/>
      <c r="NK3" s="11"/>
      <c r="NL3" s="11"/>
      <c r="NM3" s="11"/>
      <c r="NN3" s="11"/>
      <c r="NO3" s="11"/>
      <c r="NP3" s="11"/>
      <c r="NQ3" s="11"/>
      <c r="NR3" s="11"/>
      <c r="NS3" s="11"/>
      <c r="NT3" s="11"/>
      <c r="NU3" s="11"/>
      <c r="NV3" s="11"/>
      <c r="NW3" s="11"/>
      <c r="NX3" s="11"/>
      <c r="NY3" s="11"/>
      <c r="NZ3" s="11"/>
      <c r="OA3" s="11"/>
      <c r="OB3" s="11"/>
      <c r="OC3" s="11"/>
      <c r="OD3" s="11"/>
      <c r="OE3" s="11"/>
      <c r="OF3" s="11"/>
      <c r="OG3" s="11"/>
      <c r="OH3" s="11"/>
      <c r="OI3" s="11"/>
      <c r="OJ3" s="11"/>
      <c r="OK3" s="11"/>
      <c r="OL3" s="11"/>
      <c r="OM3" s="11"/>
      <c r="ON3" s="11"/>
      <c r="OO3" s="11"/>
      <c r="OP3" s="11"/>
      <c r="OQ3" s="11"/>
      <c r="OR3" s="11"/>
      <c r="OS3" s="11"/>
      <c r="OT3" s="11"/>
      <c r="OU3" s="11"/>
      <c r="OV3" s="11"/>
      <c r="OW3" s="11"/>
      <c r="OX3" s="11"/>
      <c r="OY3" s="11"/>
      <c r="OZ3" s="11"/>
      <c r="PA3" s="11"/>
      <c r="PB3" s="11"/>
      <c r="PC3" s="11"/>
      <c r="PD3" s="11"/>
      <c r="PE3" s="11"/>
      <c r="PF3" s="11"/>
      <c r="PG3" s="11"/>
      <c r="PH3" s="11"/>
      <c r="PI3" s="11"/>
      <c r="PJ3" s="11"/>
      <c r="PK3" s="11"/>
      <c r="PL3" s="11"/>
      <c r="PM3" s="11"/>
      <c r="PN3" s="11"/>
      <c r="PO3" s="11"/>
      <c r="PP3" s="11"/>
      <c r="PQ3" s="11"/>
      <c r="PR3" s="11"/>
      <c r="PS3" s="11"/>
      <c r="PT3" s="11"/>
      <c r="PU3" s="11"/>
      <c r="PV3" s="11"/>
      <c r="PW3" s="11"/>
      <c r="PX3" s="11"/>
      <c r="PY3" s="11"/>
      <c r="PZ3" s="11"/>
      <c r="QA3" s="11"/>
      <c r="QB3" s="11"/>
      <c r="QC3" s="11"/>
      <c r="QD3" s="11"/>
      <c r="QE3" s="11"/>
      <c r="QF3" s="11"/>
      <c r="QG3" s="11"/>
      <c r="QH3" s="11"/>
      <c r="QI3" s="11"/>
      <c r="QJ3" s="11"/>
      <c r="QK3" s="11"/>
      <c r="QL3" s="11"/>
      <c r="QM3" s="11"/>
      <c r="QN3" s="11"/>
      <c r="QO3" s="11"/>
      <c r="QP3" s="11"/>
      <c r="QQ3" s="11"/>
      <c r="QR3" s="11"/>
      <c r="QS3" s="11"/>
      <c r="QT3" s="11"/>
      <c r="QU3" s="11"/>
      <c r="QV3" s="11"/>
      <c r="QW3" s="11"/>
      <c r="QX3" s="11"/>
      <c r="QY3" s="11"/>
      <c r="QZ3" s="11"/>
      <c r="RA3" s="11"/>
      <c r="RB3" s="11"/>
      <c r="RC3" s="11"/>
      <c r="RD3" s="11"/>
      <c r="RE3" s="11"/>
      <c r="RF3" s="11"/>
      <c r="RG3" s="11"/>
      <c r="RH3" s="11"/>
      <c r="RI3" s="11"/>
      <c r="RJ3" s="11"/>
      <c r="RK3" s="11"/>
      <c r="RL3" s="11"/>
      <c r="RM3" s="11"/>
      <c r="RN3" s="11"/>
      <c r="RO3" s="11"/>
      <c r="RP3" s="11"/>
      <c r="RQ3" s="11"/>
      <c r="RR3" s="11"/>
      <c r="RS3" s="11"/>
      <c r="RT3" s="11"/>
      <c r="RU3" s="11"/>
      <c r="RV3" s="11"/>
      <c r="RW3" s="11"/>
      <c r="RX3" s="11"/>
      <c r="RY3" s="11"/>
      <c r="RZ3" s="11"/>
      <c r="SA3" s="11"/>
      <c r="SB3" s="11"/>
      <c r="SC3" s="11"/>
      <c r="SD3" s="11"/>
      <c r="SE3" s="11"/>
      <c r="SF3" s="11"/>
      <c r="SG3" s="11"/>
      <c r="SH3" s="11"/>
      <c r="SI3" s="11"/>
      <c r="SJ3" s="11"/>
      <c r="SK3" s="11"/>
      <c r="SL3" s="11"/>
      <c r="SM3" s="11"/>
      <c r="SN3" s="11"/>
      <c r="SO3" s="11"/>
      <c r="SP3" s="11"/>
      <c r="SQ3" s="11"/>
      <c r="SR3" s="11"/>
      <c r="SS3" s="11"/>
      <c r="ST3" s="11"/>
      <c r="SU3" s="11"/>
      <c r="SV3" s="11"/>
      <c r="SW3" s="11"/>
    </row>
    <row r="4" customFormat="false" ht="14.25" hidden="false" customHeight="false" outlineLevel="0" collapsed="false">
      <c r="C4" s="10"/>
      <c r="D4" s="13" t="s">
        <v>1</v>
      </c>
      <c r="E4" s="14" t="s">
        <v>2</v>
      </c>
      <c r="F4" s="14"/>
      <c r="G4" s="15"/>
      <c r="H4" s="16" t="s">
        <v>3</v>
      </c>
      <c r="I4" s="17" t="n">
        <v>46141</v>
      </c>
      <c r="J4" s="17"/>
      <c r="K4" s="18"/>
      <c r="L4" s="11"/>
      <c r="M4" s="19" t="s">
        <v>4</v>
      </c>
      <c r="N4" s="19"/>
      <c r="O4" s="19"/>
      <c r="P4" s="20" t="n">
        <v>46136</v>
      </c>
      <c r="Q4" s="20"/>
      <c r="R4" s="20"/>
      <c r="S4" s="20"/>
      <c r="T4" s="11"/>
      <c r="U4" s="19" t="s">
        <v>5</v>
      </c>
      <c r="V4" s="19"/>
      <c r="W4" s="19"/>
      <c r="X4" s="21" t="n">
        <v>46218</v>
      </c>
      <c r="Y4" s="21"/>
      <c r="Z4" s="21"/>
      <c r="AA4" s="2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/>
      <c r="JB4" s="11"/>
      <c r="JC4" s="11"/>
      <c r="JD4" s="11"/>
      <c r="JE4" s="11"/>
      <c r="JF4" s="11"/>
      <c r="JG4" s="11"/>
      <c r="JH4" s="11"/>
      <c r="JI4" s="11"/>
      <c r="JJ4" s="11"/>
      <c r="JK4" s="11"/>
      <c r="JL4" s="11"/>
      <c r="JM4" s="11"/>
      <c r="JN4" s="11"/>
      <c r="JO4" s="11"/>
      <c r="JP4" s="11"/>
      <c r="JQ4" s="11"/>
      <c r="JR4" s="11"/>
      <c r="JS4" s="11"/>
      <c r="JT4" s="11"/>
      <c r="JU4" s="11"/>
      <c r="JV4" s="11"/>
      <c r="JW4" s="11"/>
      <c r="JX4" s="11"/>
      <c r="JY4" s="11"/>
      <c r="JZ4" s="11"/>
      <c r="KA4" s="11"/>
      <c r="KB4" s="11"/>
      <c r="KC4" s="11"/>
      <c r="KD4" s="11"/>
      <c r="KE4" s="11"/>
      <c r="KF4" s="11"/>
      <c r="KG4" s="11"/>
      <c r="KH4" s="11"/>
      <c r="KI4" s="11"/>
      <c r="KJ4" s="11"/>
      <c r="KK4" s="11"/>
      <c r="KL4" s="11"/>
      <c r="KM4" s="11"/>
      <c r="KN4" s="11"/>
      <c r="KO4" s="11"/>
      <c r="KP4" s="11"/>
      <c r="KQ4" s="11"/>
      <c r="KR4" s="11"/>
      <c r="KS4" s="11"/>
      <c r="KT4" s="11"/>
      <c r="KU4" s="11"/>
      <c r="KV4" s="11"/>
      <c r="KW4" s="11"/>
      <c r="KX4" s="11"/>
      <c r="KY4" s="11"/>
      <c r="KZ4" s="11"/>
      <c r="LA4" s="11"/>
      <c r="LB4" s="11"/>
      <c r="LC4" s="11"/>
      <c r="LD4" s="11"/>
      <c r="LE4" s="11"/>
      <c r="LF4" s="11"/>
      <c r="LG4" s="11"/>
      <c r="LH4" s="11"/>
      <c r="LI4" s="11"/>
      <c r="LJ4" s="11"/>
      <c r="LK4" s="11"/>
      <c r="LL4" s="11"/>
      <c r="LM4" s="11"/>
      <c r="LN4" s="11"/>
      <c r="LO4" s="11"/>
      <c r="LP4" s="11"/>
      <c r="LQ4" s="11"/>
      <c r="LR4" s="11"/>
      <c r="LS4" s="11"/>
      <c r="LT4" s="11"/>
      <c r="LU4" s="11"/>
      <c r="LV4" s="11"/>
      <c r="LW4" s="11"/>
      <c r="LX4" s="11"/>
      <c r="LY4" s="11"/>
      <c r="LZ4" s="11"/>
      <c r="MA4" s="11"/>
      <c r="MB4" s="11"/>
      <c r="MC4" s="11"/>
      <c r="MD4" s="11"/>
      <c r="ME4" s="11"/>
      <c r="MF4" s="11"/>
      <c r="MG4" s="11"/>
      <c r="MH4" s="11"/>
      <c r="MI4" s="11"/>
      <c r="MJ4" s="11"/>
      <c r="MK4" s="11"/>
      <c r="ML4" s="11"/>
      <c r="MM4" s="11"/>
      <c r="MN4" s="11"/>
      <c r="MO4" s="11"/>
      <c r="MP4" s="11"/>
      <c r="MQ4" s="11"/>
      <c r="MR4" s="11"/>
      <c r="MS4" s="11"/>
      <c r="MT4" s="11"/>
      <c r="MU4" s="11"/>
      <c r="MV4" s="11"/>
      <c r="MW4" s="11"/>
      <c r="MX4" s="11"/>
      <c r="MY4" s="11"/>
      <c r="MZ4" s="11"/>
      <c r="NA4" s="11"/>
      <c r="NB4" s="11"/>
      <c r="NC4" s="11"/>
      <c r="ND4" s="11"/>
      <c r="NE4" s="11"/>
      <c r="NF4" s="11"/>
      <c r="NG4" s="11"/>
      <c r="NH4" s="11"/>
      <c r="NI4" s="11"/>
      <c r="NJ4" s="11"/>
      <c r="NK4" s="11"/>
      <c r="NL4" s="11"/>
      <c r="NM4" s="11"/>
      <c r="NN4" s="11"/>
      <c r="NO4" s="11"/>
      <c r="NP4" s="11"/>
      <c r="NQ4" s="11"/>
      <c r="NR4" s="11"/>
      <c r="NS4" s="11"/>
      <c r="NT4" s="11"/>
      <c r="NU4" s="11"/>
      <c r="NV4" s="11"/>
      <c r="NW4" s="11"/>
      <c r="NX4" s="11"/>
      <c r="NY4" s="11"/>
      <c r="NZ4" s="11"/>
      <c r="OA4" s="11"/>
      <c r="OB4" s="11"/>
      <c r="OC4" s="11"/>
      <c r="OD4" s="11"/>
      <c r="OE4" s="11"/>
      <c r="OF4" s="11"/>
      <c r="OG4" s="11"/>
      <c r="OH4" s="11"/>
      <c r="OI4" s="11"/>
      <c r="OJ4" s="11"/>
      <c r="OK4" s="11"/>
      <c r="OL4" s="11"/>
      <c r="OM4" s="11"/>
      <c r="ON4" s="11"/>
      <c r="OO4" s="11"/>
      <c r="OP4" s="11"/>
      <c r="OQ4" s="11"/>
      <c r="OR4" s="11"/>
      <c r="OS4" s="11"/>
      <c r="OT4" s="11"/>
      <c r="OU4" s="11"/>
      <c r="OV4" s="11"/>
      <c r="OW4" s="11"/>
      <c r="OX4" s="11"/>
      <c r="OY4" s="11"/>
      <c r="OZ4" s="11"/>
      <c r="PA4" s="11"/>
      <c r="PB4" s="11"/>
      <c r="PC4" s="11"/>
      <c r="PD4" s="11"/>
      <c r="PE4" s="11"/>
      <c r="PF4" s="11"/>
      <c r="PG4" s="11"/>
      <c r="PH4" s="11"/>
      <c r="PI4" s="11"/>
      <c r="PJ4" s="11"/>
      <c r="PK4" s="11"/>
      <c r="PL4" s="11"/>
      <c r="PM4" s="11"/>
      <c r="PN4" s="11"/>
      <c r="PO4" s="11"/>
      <c r="PP4" s="11"/>
      <c r="PQ4" s="11"/>
      <c r="PR4" s="11"/>
      <c r="PS4" s="11"/>
      <c r="PT4" s="11"/>
      <c r="PU4" s="11"/>
      <c r="PV4" s="11"/>
      <c r="PW4" s="11"/>
      <c r="PX4" s="11"/>
      <c r="PY4" s="11"/>
      <c r="PZ4" s="11"/>
      <c r="QA4" s="11"/>
      <c r="QB4" s="11"/>
      <c r="QC4" s="11"/>
      <c r="QD4" s="11"/>
      <c r="QE4" s="11"/>
      <c r="QF4" s="11"/>
      <c r="QG4" s="11"/>
      <c r="QH4" s="11"/>
      <c r="QI4" s="11"/>
      <c r="QJ4" s="11"/>
      <c r="QK4" s="11"/>
      <c r="QL4" s="11"/>
      <c r="QM4" s="11"/>
      <c r="QN4" s="11"/>
      <c r="QO4" s="11"/>
      <c r="QP4" s="11"/>
      <c r="QQ4" s="11"/>
      <c r="QR4" s="11"/>
      <c r="QS4" s="11"/>
      <c r="QT4" s="11"/>
      <c r="QU4" s="11"/>
      <c r="QV4" s="11"/>
      <c r="QW4" s="11"/>
      <c r="QX4" s="11"/>
      <c r="QY4" s="11"/>
      <c r="QZ4" s="11"/>
      <c r="RA4" s="11"/>
      <c r="RB4" s="11"/>
      <c r="RC4" s="11"/>
      <c r="RD4" s="11"/>
      <c r="RE4" s="11"/>
      <c r="RF4" s="11"/>
      <c r="RG4" s="11"/>
      <c r="RH4" s="11"/>
      <c r="RI4" s="11"/>
      <c r="RJ4" s="11"/>
      <c r="RK4" s="11"/>
      <c r="RL4" s="11"/>
      <c r="RM4" s="11"/>
      <c r="RN4" s="11"/>
      <c r="RO4" s="11"/>
      <c r="RP4" s="11"/>
      <c r="RQ4" s="11"/>
      <c r="RR4" s="11"/>
      <c r="RS4" s="11"/>
      <c r="RT4" s="11"/>
      <c r="RU4" s="11"/>
      <c r="RV4" s="11"/>
      <c r="RW4" s="11"/>
      <c r="RX4" s="11"/>
      <c r="RY4" s="11"/>
      <c r="RZ4" s="11"/>
      <c r="SA4" s="11"/>
      <c r="SB4" s="11"/>
      <c r="SC4" s="11"/>
      <c r="SD4" s="11"/>
      <c r="SE4" s="11"/>
      <c r="SF4" s="11"/>
      <c r="SG4" s="11"/>
      <c r="SH4" s="11"/>
      <c r="SI4" s="11"/>
      <c r="SJ4" s="11"/>
      <c r="SK4" s="11"/>
      <c r="SL4" s="11"/>
      <c r="SM4" s="11"/>
      <c r="SN4" s="11"/>
      <c r="SO4" s="11"/>
      <c r="SP4" s="11"/>
      <c r="SQ4" s="11"/>
      <c r="SR4" s="11"/>
      <c r="SS4" s="11"/>
      <c r="ST4" s="11"/>
      <c r="SU4" s="11"/>
      <c r="SV4" s="11"/>
      <c r="SW4" s="11"/>
    </row>
    <row r="5" customFormat="false" ht="3" hidden="false" customHeight="true" outlineLevel="0" collapsed="false">
      <c r="C5" s="10"/>
      <c r="D5" s="13"/>
      <c r="E5" s="11"/>
      <c r="F5" s="11"/>
      <c r="G5" s="11"/>
      <c r="H5" s="11"/>
      <c r="I5" s="12"/>
      <c r="J5" s="22"/>
      <c r="K5" s="22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  <c r="IX5" s="11"/>
      <c r="IY5" s="11"/>
      <c r="IZ5" s="11"/>
      <c r="JA5" s="11"/>
      <c r="JB5" s="11"/>
      <c r="JC5" s="11"/>
      <c r="JD5" s="11"/>
      <c r="JE5" s="11"/>
      <c r="JF5" s="11"/>
      <c r="JG5" s="11"/>
      <c r="JH5" s="11"/>
      <c r="JI5" s="11"/>
      <c r="JJ5" s="11"/>
      <c r="JK5" s="11"/>
      <c r="JL5" s="11"/>
      <c r="JM5" s="11"/>
      <c r="JN5" s="11"/>
      <c r="JO5" s="11"/>
      <c r="JP5" s="11"/>
      <c r="JQ5" s="11"/>
      <c r="JR5" s="11"/>
      <c r="JS5" s="11"/>
      <c r="JT5" s="11"/>
      <c r="JU5" s="11"/>
      <c r="JV5" s="11"/>
      <c r="JW5" s="11"/>
      <c r="JX5" s="11"/>
      <c r="JY5" s="11"/>
      <c r="JZ5" s="11"/>
      <c r="KA5" s="11"/>
      <c r="KB5" s="11"/>
      <c r="KC5" s="11"/>
      <c r="KD5" s="11"/>
      <c r="KE5" s="11"/>
      <c r="KF5" s="11"/>
      <c r="KG5" s="11"/>
      <c r="KH5" s="11"/>
      <c r="KI5" s="11"/>
      <c r="KJ5" s="11"/>
      <c r="KK5" s="11"/>
      <c r="KL5" s="11"/>
      <c r="KM5" s="11"/>
      <c r="KN5" s="11"/>
      <c r="KO5" s="11"/>
      <c r="KP5" s="11"/>
      <c r="KQ5" s="11"/>
      <c r="KR5" s="11"/>
      <c r="KS5" s="11"/>
      <c r="KT5" s="11"/>
      <c r="KU5" s="11"/>
      <c r="KV5" s="11"/>
      <c r="KW5" s="11"/>
      <c r="KX5" s="11"/>
      <c r="KY5" s="11"/>
      <c r="KZ5" s="11"/>
      <c r="LA5" s="11"/>
      <c r="LB5" s="11"/>
      <c r="LC5" s="11"/>
      <c r="LD5" s="11"/>
      <c r="LE5" s="11"/>
      <c r="LF5" s="11"/>
      <c r="LG5" s="11"/>
      <c r="LH5" s="11"/>
      <c r="LI5" s="11"/>
      <c r="LJ5" s="11"/>
      <c r="LK5" s="11"/>
      <c r="LL5" s="11"/>
      <c r="LM5" s="11"/>
      <c r="LN5" s="11"/>
      <c r="LO5" s="11"/>
      <c r="LP5" s="11"/>
      <c r="LQ5" s="11"/>
      <c r="LR5" s="11"/>
      <c r="LS5" s="11"/>
      <c r="LT5" s="11"/>
      <c r="LU5" s="11"/>
      <c r="LV5" s="11"/>
      <c r="LW5" s="11"/>
      <c r="LX5" s="11"/>
      <c r="LY5" s="11"/>
      <c r="LZ5" s="11"/>
      <c r="MA5" s="11"/>
      <c r="MB5" s="11"/>
      <c r="MC5" s="11"/>
      <c r="MD5" s="11"/>
      <c r="ME5" s="11"/>
      <c r="MF5" s="11"/>
      <c r="MG5" s="11"/>
      <c r="MH5" s="11"/>
      <c r="MI5" s="11"/>
      <c r="MJ5" s="11"/>
      <c r="MK5" s="11"/>
      <c r="ML5" s="11"/>
      <c r="MM5" s="11"/>
      <c r="MN5" s="11"/>
      <c r="MO5" s="11"/>
      <c r="MP5" s="11"/>
      <c r="MQ5" s="11"/>
      <c r="MR5" s="11"/>
      <c r="MS5" s="11"/>
      <c r="MT5" s="11"/>
      <c r="MU5" s="11"/>
      <c r="MV5" s="11"/>
      <c r="MW5" s="11"/>
      <c r="MX5" s="11"/>
      <c r="MY5" s="11"/>
      <c r="MZ5" s="11"/>
      <c r="NA5" s="11"/>
      <c r="NB5" s="11"/>
      <c r="NC5" s="11"/>
      <c r="ND5" s="11"/>
      <c r="NE5" s="11"/>
      <c r="NF5" s="11"/>
      <c r="NG5" s="11"/>
      <c r="NH5" s="11"/>
      <c r="NI5" s="11"/>
      <c r="NJ5" s="11"/>
      <c r="NK5" s="11"/>
      <c r="NL5" s="11"/>
      <c r="NM5" s="11"/>
      <c r="NN5" s="11"/>
      <c r="NO5" s="11"/>
      <c r="NP5" s="11"/>
      <c r="NQ5" s="11"/>
      <c r="NR5" s="11"/>
      <c r="NS5" s="11"/>
      <c r="NT5" s="11"/>
      <c r="NU5" s="11"/>
      <c r="NV5" s="11"/>
      <c r="NW5" s="11"/>
      <c r="NX5" s="11"/>
      <c r="NY5" s="11"/>
      <c r="NZ5" s="11"/>
      <c r="OA5" s="11"/>
      <c r="OB5" s="11"/>
      <c r="OC5" s="11"/>
      <c r="OD5" s="11"/>
      <c r="OE5" s="11"/>
      <c r="OF5" s="11"/>
      <c r="OG5" s="11"/>
      <c r="OH5" s="11"/>
      <c r="OI5" s="11"/>
      <c r="OJ5" s="11"/>
      <c r="OK5" s="11"/>
      <c r="OL5" s="11"/>
      <c r="OM5" s="11"/>
      <c r="ON5" s="11"/>
      <c r="OO5" s="11"/>
      <c r="OP5" s="11"/>
      <c r="OQ5" s="11"/>
      <c r="OR5" s="11"/>
      <c r="OS5" s="11"/>
      <c r="OT5" s="11"/>
      <c r="OU5" s="11"/>
      <c r="OV5" s="11"/>
      <c r="OW5" s="11"/>
      <c r="OX5" s="11"/>
      <c r="OY5" s="11"/>
      <c r="OZ5" s="11"/>
      <c r="PA5" s="11"/>
      <c r="PB5" s="11"/>
      <c r="PC5" s="11"/>
      <c r="PD5" s="11"/>
      <c r="PE5" s="11"/>
      <c r="PF5" s="11"/>
      <c r="PG5" s="11"/>
      <c r="PH5" s="11"/>
      <c r="PI5" s="11"/>
      <c r="PJ5" s="11"/>
      <c r="PK5" s="11"/>
      <c r="PL5" s="11"/>
      <c r="PM5" s="11"/>
      <c r="PN5" s="11"/>
      <c r="PO5" s="11"/>
      <c r="PP5" s="11"/>
      <c r="PQ5" s="11"/>
      <c r="PR5" s="11"/>
      <c r="PS5" s="11"/>
      <c r="PT5" s="11"/>
      <c r="PU5" s="11"/>
      <c r="PV5" s="11"/>
      <c r="PW5" s="11"/>
      <c r="PX5" s="11"/>
      <c r="PY5" s="11"/>
      <c r="PZ5" s="11"/>
      <c r="QA5" s="11"/>
      <c r="QB5" s="11"/>
      <c r="QC5" s="11"/>
      <c r="QD5" s="11"/>
      <c r="QE5" s="11"/>
      <c r="QF5" s="11"/>
      <c r="QG5" s="11"/>
      <c r="QH5" s="11"/>
      <c r="QI5" s="11"/>
      <c r="QJ5" s="11"/>
      <c r="QK5" s="11"/>
      <c r="QL5" s="11"/>
      <c r="QM5" s="11"/>
      <c r="QN5" s="11"/>
      <c r="QO5" s="11"/>
      <c r="QP5" s="11"/>
      <c r="QQ5" s="11"/>
      <c r="QR5" s="11"/>
      <c r="QS5" s="11"/>
      <c r="QT5" s="11"/>
      <c r="QU5" s="11"/>
      <c r="QV5" s="11"/>
      <c r="QW5" s="11"/>
      <c r="QX5" s="11"/>
      <c r="QY5" s="11"/>
      <c r="QZ5" s="11"/>
      <c r="RA5" s="11"/>
      <c r="RB5" s="11"/>
      <c r="RC5" s="11"/>
      <c r="RD5" s="11"/>
      <c r="RE5" s="11"/>
      <c r="RF5" s="11"/>
      <c r="RG5" s="11"/>
      <c r="RH5" s="11"/>
      <c r="RI5" s="11"/>
      <c r="RJ5" s="11"/>
      <c r="RK5" s="11"/>
      <c r="RL5" s="11"/>
      <c r="RM5" s="11"/>
      <c r="RN5" s="11"/>
      <c r="RO5" s="11"/>
      <c r="RP5" s="11"/>
      <c r="RQ5" s="11"/>
      <c r="RR5" s="11"/>
      <c r="RS5" s="11"/>
      <c r="RT5" s="11"/>
      <c r="RU5" s="11"/>
      <c r="RV5" s="11"/>
      <c r="RW5" s="11"/>
      <c r="RX5" s="11"/>
      <c r="RY5" s="11"/>
      <c r="RZ5" s="11"/>
      <c r="SA5" s="11"/>
      <c r="SB5" s="11"/>
      <c r="SC5" s="11"/>
      <c r="SD5" s="11"/>
      <c r="SE5" s="11"/>
      <c r="SF5" s="11"/>
      <c r="SG5" s="11"/>
      <c r="SH5" s="11"/>
      <c r="SI5" s="11"/>
      <c r="SJ5" s="11"/>
      <c r="SK5" s="11"/>
      <c r="SL5" s="11"/>
      <c r="SM5" s="11"/>
      <c r="SN5" s="11"/>
      <c r="SO5" s="11"/>
      <c r="SP5" s="11"/>
      <c r="SQ5" s="11"/>
      <c r="SR5" s="11"/>
      <c r="SS5" s="11"/>
      <c r="ST5" s="11"/>
      <c r="SU5" s="11"/>
      <c r="SV5" s="11"/>
      <c r="SW5" s="11"/>
    </row>
    <row r="6" customFormat="false" ht="17.25" hidden="false" customHeight="true" outlineLevel="0" collapsed="false">
      <c r="C6" s="10"/>
      <c r="D6" s="23"/>
      <c r="E6" s="23"/>
      <c r="F6" s="23"/>
      <c r="G6" s="23"/>
      <c r="H6" s="11"/>
      <c r="I6" s="12"/>
      <c r="J6" s="24"/>
      <c r="K6" s="24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6"/>
      <c r="AC6" s="25"/>
      <c r="AD6" s="27"/>
      <c r="AE6" s="27"/>
      <c r="AF6" s="26"/>
      <c r="AG6" s="27"/>
      <c r="AH6" s="28"/>
      <c r="AI6" s="28"/>
      <c r="AJ6" s="29"/>
      <c r="AK6" s="29"/>
      <c r="AL6" s="29"/>
      <c r="AM6" s="30"/>
      <c r="AN6" s="30"/>
      <c r="AO6" s="30"/>
      <c r="AP6" s="30"/>
      <c r="AQ6" s="30"/>
      <c r="AR6" s="30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  <c r="IX6" s="11"/>
      <c r="IY6" s="11"/>
      <c r="IZ6" s="11"/>
      <c r="JA6" s="11"/>
      <c r="JB6" s="11"/>
      <c r="JC6" s="11"/>
      <c r="JD6" s="11"/>
      <c r="JE6" s="11"/>
      <c r="JF6" s="11"/>
      <c r="JG6" s="11"/>
      <c r="JH6" s="11"/>
      <c r="JI6" s="11"/>
      <c r="JJ6" s="11"/>
      <c r="JK6" s="11"/>
      <c r="JL6" s="11"/>
      <c r="JM6" s="11"/>
      <c r="JN6" s="11"/>
      <c r="JO6" s="11"/>
      <c r="JP6" s="11"/>
      <c r="JQ6" s="11"/>
      <c r="JR6" s="11"/>
      <c r="JS6" s="11"/>
      <c r="JT6" s="11"/>
      <c r="JU6" s="11"/>
      <c r="JV6" s="11"/>
      <c r="JW6" s="11"/>
      <c r="JX6" s="11"/>
      <c r="JY6" s="11"/>
      <c r="JZ6" s="11"/>
      <c r="KA6" s="11"/>
      <c r="KB6" s="11"/>
      <c r="KC6" s="11"/>
      <c r="KD6" s="11"/>
      <c r="KE6" s="11"/>
      <c r="KF6" s="11"/>
      <c r="KG6" s="11"/>
      <c r="KH6" s="11"/>
      <c r="KI6" s="11"/>
      <c r="KJ6" s="11"/>
      <c r="KK6" s="11"/>
      <c r="KL6" s="11"/>
      <c r="KM6" s="11"/>
      <c r="KN6" s="11"/>
      <c r="KO6" s="11"/>
      <c r="KP6" s="11"/>
      <c r="KQ6" s="11"/>
      <c r="KR6" s="11"/>
      <c r="KS6" s="11"/>
      <c r="KT6" s="11"/>
      <c r="KU6" s="11"/>
      <c r="KV6" s="11"/>
      <c r="KW6" s="11"/>
      <c r="KX6" s="11"/>
      <c r="KY6" s="11"/>
      <c r="KZ6" s="11"/>
      <c r="LA6" s="11"/>
      <c r="LB6" s="11"/>
      <c r="LC6" s="11"/>
      <c r="LD6" s="11"/>
      <c r="LE6" s="11"/>
      <c r="LF6" s="11"/>
      <c r="LG6" s="11"/>
      <c r="LH6" s="11"/>
      <c r="LI6" s="11"/>
      <c r="LJ6" s="11"/>
      <c r="LK6" s="11"/>
      <c r="LL6" s="11"/>
      <c r="LM6" s="11"/>
      <c r="LN6" s="11"/>
      <c r="LO6" s="11"/>
      <c r="LP6" s="11"/>
      <c r="LQ6" s="11"/>
      <c r="LR6" s="11"/>
      <c r="LS6" s="11"/>
      <c r="LT6" s="11"/>
      <c r="LU6" s="11"/>
      <c r="LV6" s="11"/>
      <c r="LW6" s="11"/>
      <c r="LX6" s="11"/>
      <c r="LY6" s="11"/>
      <c r="LZ6" s="11"/>
      <c r="MA6" s="11"/>
      <c r="MB6" s="11"/>
      <c r="MC6" s="11"/>
      <c r="MD6" s="11"/>
      <c r="ME6" s="11"/>
      <c r="MF6" s="11"/>
      <c r="MG6" s="11"/>
      <c r="MH6" s="11"/>
      <c r="MI6" s="11"/>
      <c r="MJ6" s="11"/>
      <c r="MK6" s="11"/>
      <c r="ML6" s="11"/>
      <c r="MM6" s="11"/>
      <c r="MN6" s="11"/>
      <c r="MO6" s="11"/>
      <c r="MP6" s="11"/>
      <c r="MQ6" s="11"/>
      <c r="MR6" s="11"/>
      <c r="MS6" s="11"/>
      <c r="MT6" s="11"/>
      <c r="MU6" s="11"/>
      <c r="MV6" s="11"/>
      <c r="MW6" s="11"/>
      <c r="MX6" s="11"/>
      <c r="MY6" s="11"/>
      <c r="MZ6" s="11"/>
      <c r="NA6" s="11"/>
      <c r="NB6" s="11"/>
      <c r="NC6" s="11"/>
      <c r="ND6" s="11"/>
      <c r="NE6" s="11"/>
      <c r="NF6" s="11"/>
      <c r="NG6" s="11"/>
      <c r="NH6" s="11"/>
      <c r="NI6" s="11"/>
      <c r="NJ6" s="11"/>
      <c r="NK6" s="11"/>
      <c r="NL6" s="11"/>
      <c r="NM6" s="11"/>
      <c r="NN6" s="11"/>
      <c r="NO6" s="11"/>
      <c r="NP6" s="11"/>
      <c r="NQ6" s="11"/>
      <c r="NR6" s="11"/>
      <c r="NS6" s="11"/>
      <c r="NT6" s="11"/>
      <c r="NU6" s="11"/>
      <c r="NV6" s="11"/>
      <c r="NW6" s="11"/>
      <c r="NX6" s="11"/>
      <c r="NY6" s="11"/>
      <c r="NZ6" s="11"/>
      <c r="OA6" s="11"/>
      <c r="OB6" s="11"/>
      <c r="OC6" s="11"/>
      <c r="OD6" s="11"/>
      <c r="OE6" s="11"/>
      <c r="OF6" s="11"/>
      <c r="OG6" s="11"/>
      <c r="OH6" s="11"/>
      <c r="OI6" s="11"/>
      <c r="OJ6" s="11"/>
      <c r="OK6" s="11"/>
      <c r="OL6" s="11"/>
      <c r="OM6" s="11"/>
      <c r="ON6" s="11"/>
      <c r="OO6" s="11"/>
      <c r="OP6" s="11"/>
      <c r="OQ6" s="11"/>
      <c r="OR6" s="11"/>
      <c r="OS6" s="11"/>
      <c r="OT6" s="11"/>
      <c r="OU6" s="11"/>
      <c r="OV6" s="11"/>
      <c r="OW6" s="11"/>
      <c r="OX6" s="11"/>
      <c r="OY6" s="11"/>
      <c r="OZ6" s="11"/>
      <c r="PA6" s="11"/>
      <c r="PB6" s="11"/>
      <c r="PC6" s="11"/>
      <c r="PD6" s="11"/>
      <c r="PE6" s="11"/>
      <c r="PF6" s="11"/>
      <c r="PG6" s="11"/>
      <c r="PH6" s="11"/>
      <c r="PI6" s="11"/>
      <c r="PJ6" s="11"/>
      <c r="PK6" s="11"/>
      <c r="PL6" s="11"/>
      <c r="PM6" s="11"/>
      <c r="PN6" s="11"/>
      <c r="PO6" s="11"/>
      <c r="PP6" s="11"/>
      <c r="PQ6" s="11"/>
      <c r="PR6" s="11"/>
      <c r="PS6" s="11"/>
      <c r="PT6" s="11"/>
      <c r="PU6" s="11"/>
      <c r="PV6" s="11"/>
      <c r="PW6" s="11"/>
      <c r="PX6" s="11"/>
      <c r="PY6" s="11"/>
      <c r="PZ6" s="11"/>
      <c r="QA6" s="11"/>
      <c r="QB6" s="11"/>
      <c r="QC6" s="11"/>
      <c r="QD6" s="11"/>
      <c r="QE6" s="11"/>
      <c r="QF6" s="11"/>
      <c r="QG6" s="11"/>
      <c r="QH6" s="11"/>
      <c r="QI6" s="11"/>
      <c r="QJ6" s="11"/>
      <c r="QK6" s="11"/>
      <c r="QL6" s="11"/>
      <c r="QM6" s="11"/>
      <c r="QN6" s="11"/>
      <c r="QO6" s="11"/>
      <c r="QP6" s="11"/>
      <c r="QQ6" s="11"/>
      <c r="QR6" s="11"/>
      <c r="QS6" s="11"/>
      <c r="QT6" s="11"/>
      <c r="QU6" s="11"/>
      <c r="QV6" s="11"/>
      <c r="QW6" s="11"/>
      <c r="QX6" s="11"/>
      <c r="QY6" s="11"/>
      <c r="QZ6" s="11"/>
      <c r="RA6" s="11"/>
      <c r="RB6" s="11"/>
      <c r="RC6" s="11"/>
      <c r="RD6" s="11"/>
      <c r="RE6" s="11"/>
      <c r="RF6" s="11"/>
      <c r="RG6" s="11"/>
      <c r="RH6" s="11"/>
      <c r="RI6" s="11"/>
      <c r="RJ6" s="11"/>
      <c r="RK6" s="11"/>
      <c r="RL6" s="11"/>
      <c r="RM6" s="11"/>
      <c r="RN6" s="11"/>
      <c r="RO6" s="11"/>
      <c r="RP6" s="11"/>
      <c r="RQ6" s="11"/>
      <c r="RR6" s="11"/>
      <c r="RS6" s="11"/>
      <c r="RT6" s="11"/>
      <c r="RU6" s="11"/>
      <c r="RV6" s="11"/>
      <c r="RW6" s="11"/>
      <c r="RX6" s="11"/>
      <c r="RY6" s="11"/>
      <c r="RZ6" s="11"/>
      <c r="SA6" s="11"/>
      <c r="SB6" s="11"/>
      <c r="SC6" s="11"/>
      <c r="SD6" s="11"/>
      <c r="SE6" s="11"/>
      <c r="SF6" s="11"/>
      <c r="SG6" s="11"/>
      <c r="SH6" s="11"/>
      <c r="SI6" s="11"/>
      <c r="SJ6" s="11"/>
      <c r="SK6" s="11"/>
      <c r="SL6" s="11"/>
      <c r="SM6" s="11"/>
      <c r="SN6" s="11"/>
      <c r="SO6" s="11"/>
      <c r="SP6" s="11"/>
      <c r="SQ6" s="11"/>
      <c r="SR6" s="11"/>
      <c r="SS6" s="11"/>
      <c r="ST6" s="11"/>
      <c r="SU6" s="11"/>
      <c r="SV6" s="11"/>
      <c r="SW6" s="11"/>
    </row>
    <row r="7" customFormat="false" ht="4.5" hidden="false" customHeight="true" outlineLevel="0" collapsed="false">
      <c r="C7" s="10"/>
      <c r="D7" s="23"/>
      <c r="E7" s="23"/>
      <c r="F7" s="23"/>
      <c r="G7" s="31"/>
      <c r="H7" s="16"/>
      <c r="I7" s="32"/>
      <c r="J7" s="33"/>
      <c r="K7" s="33"/>
      <c r="L7" s="25"/>
      <c r="M7" s="24"/>
      <c r="N7" s="24"/>
      <c r="O7" s="24"/>
      <c r="P7" s="24"/>
      <c r="Q7" s="24"/>
      <c r="R7" s="24"/>
      <c r="S7" s="24"/>
      <c r="T7" s="24"/>
      <c r="U7" s="24"/>
      <c r="V7" s="25"/>
      <c r="W7" s="25"/>
      <c r="X7" s="25"/>
      <c r="Y7" s="25"/>
      <c r="Z7" s="25"/>
      <c r="AA7" s="25"/>
      <c r="AB7" s="25"/>
      <c r="AC7" s="25"/>
      <c r="AD7" s="31"/>
      <c r="AE7" s="31"/>
      <c r="AF7" s="31"/>
      <c r="AG7" s="31"/>
      <c r="AH7" s="28"/>
      <c r="AI7" s="28"/>
      <c r="AJ7" s="34"/>
      <c r="AK7" s="34"/>
      <c r="AL7" s="34"/>
      <c r="AM7" s="30"/>
      <c r="AN7" s="30"/>
      <c r="AO7" s="30"/>
      <c r="AP7" s="30"/>
      <c r="AQ7" s="30"/>
      <c r="AR7" s="30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  <c r="OM7" s="11"/>
      <c r="ON7" s="11"/>
      <c r="OO7" s="11"/>
      <c r="OP7" s="11"/>
      <c r="OQ7" s="11"/>
      <c r="OR7" s="11"/>
      <c r="OS7" s="11"/>
      <c r="OT7" s="11"/>
      <c r="OU7" s="11"/>
      <c r="OV7" s="11"/>
      <c r="OW7" s="11"/>
      <c r="OX7" s="11"/>
      <c r="OY7" s="11"/>
      <c r="OZ7" s="11"/>
      <c r="PA7" s="11"/>
      <c r="PB7" s="11"/>
      <c r="PC7" s="11"/>
      <c r="PD7" s="11"/>
      <c r="PE7" s="11"/>
      <c r="PF7" s="11"/>
      <c r="PG7" s="11"/>
      <c r="PH7" s="11"/>
      <c r="PI7" s="11"/>
      <c r="PJ7" s="11"/>
      <c r="PK7" s="11"/>
      <c r="PL7" s="11"/>
      <c r="PM7" s="11"/>
      <c r="PN7" s="11"/>
      <c r="PO7" s="11"/>
      <c r="PP7" s="11"/>
      <c r="PQ7" s="11"/>
      <c r="PR7" s="11"/>
      <c r="PS7" s="11"/>
      <c r="PT7" s="11"/>
      <c r="PU7" s="11"/>
      <c r="PV7" s="11"/>
      <c r="PW7" s="11"/>
      <c r="PX7" s="11"/>
      <c r="PY7" s="11"/>
      <c r="PZ7" s="11"/>
      <c r="QA7" s="11"/>
      <c r="QB7" s="11"/>
      <c r="QC7" s="11"/>
      <c r="QD7" s="11"/>
      <c r="QE7" s="11"/>
      <c r="QF7" s="11"/>
      <c r="QG7" s="11"/>
      <c r="QH7" s="11"/>
      <c r="QI7" s="11"/>
      <c r="QJ7" s="11"/>
      <c r="QK7" s="11"/>
      <c r="QL7" s="11"/>
      <c r="QM7" s="11"/>
      <c r="QN7" s="11"/>
      <c r="QO7" s="11"/>
      <c r="QP7" s="11"/>
      <c r="QQ7" s="11"/>
      <c r="QR7" s="11"/>
      <c r="QS7" s="11"/>
      <c r="QT7" s="11"/>
      <c r="QU7" s="11"/>
      <c r="QV7" s="11"/>
      <c r="QW7" s="11"/>
      <c r="QX7" s="11"/>
      <c r="QY7" s="11"/>
      <c r="QZ7" s="11"/>
      <c r="RA7" s="11"/>
      <c r="RB7" s="11"/>
      <c r="RC7" s="11"/>
      <c r="RD7" s="11"/>
      <c r="RE7" s="11"/>
      <c r="RF7" s="11"/>
      <c r="RG7" s="11"/>
      <c r="RH7" s="11"/>
      <c r="RI7" s="11"/>
      <c r="RJ7" s="11"/>
      <c r="RK7" s="11"/>
      <c r="RL7" s="11"/>
      <c r="RM7" s="11"/>
      <c r="RN7" s="11"/>
      <c r="RO7" s="11"/>
      <c r="RP7" s="11"/>
      <c r="RQ7" s="11"/>
      <c r="RR7" s="11"/>
      <c r="RS7" s="11"/>
      <c r="RT7" s="11"/>
      <c r="RU7" s="11"/>
      <c r="RV7" s="11"/>
      <c r="RW7" s="11"/>
      <c r="RX7" s="11"/>
      <c r="RY7" s="11"/>
      <c r="RZ7" s="11"/>
      <c r="SA7" s="11"/>
      <c r="SB7" s="11"/>
      <c r="SC7" s="11"/>
      <c r="SD7" s="11"/>
      <c r="SE7" s="11"/>
      <c r="SF7" s="11"/>
      <c r="SG7" s="11"/>
      <c r="SH7" s="11"/>
      <c r="SI7" s="11"/>
      <c r="SJ7" s="11"/>
      <c r="SK7" s="11"/>
      <c r="SL7" s="11"/>
      <c r="SM7" s="11"/>
      <c r="SN7" s="11"/>
      <c r="SO7" s="11"/>
      <c r="SP7" s="11"/>
      <c r="SQ7" s="11"/>
      <c r="SR7" s="11"/>
      <c r="SS7" s="11"/>
      <c r="ST7" s="11"/>
      <c r="SU7" s="11"/>
      <c r="SV7" s="11"/>
      <c r="SW7" s="11"/>
    </row>
    <row r="8" customFormat="false" ht="13.5" hidden="false" customHeight="true" outlineLevel="0" collapsed="false">
      <c r="C8" s="10"/>
      <c r="D8" s="16"/>
      <c r="E8" s="23"/>
      <c r="F8" s="31"/>
      <c r="G8" s="31"/>
      <c r="H8" s="16"/>
      <c r="I8" s="32"/>
      <c r="J8" s="33"/>
      <c r="K8" s="33"/>
      <c r="L8" s="25"/>
      <c r="M8" s="24"/>
      <c r="N8" s="24"/>
      <c r="O8" s="24"/>
      <c r="P8" s="24"/>
      <c r="Q8" s="24"/>
      <c r="R8" s="24"/>
      <c r="S8" s="24"/>
      <c r="T8" s="24"/>
      <c r="U8" s="24"/>
      <c r="V8" s="25"/>
      <c r="W8" s="25"/>
      <c r="X8" s="25"/>
      <c r="Y8" s="25"/>
      <c r="Z8" s="25"/>
      <c r="AA8" s="25"/>
      <c r="AB8" s="26"/>
      <c r="AC8" s="26"/>
      <c r="AD8" s="31"/>
      <c r="AE8" s="31"/>
      <c r="AF8" s="31"/>
      <c r="AG8" s="31"/>
      <c r="AH8" s="28"/>
      <c r="AI8" s="28"/>
      <c r="AJ8" s="34"/>
      <c r="AK8" s="34"/>
      <c r="AL8" s="34"/>
      <c r="AM8" s="30"/>
      <c r="AN8" s="30"/>
      <c r="AO8" s="30"/>
      <c r="AP8" s="30"/>
      <c r="AQ8" s="30"/>
      <c r="AR8" s="30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1"/>
      <c r="KP8" s="11"/>
      <c r="KQ8" s="11"/>
      <c r="KR8" s="11"/>
      <c r="KS8" s="11"/>
      <c r="KT8" s="11"/>
      <c r="KU8" s="11"/>
      <c r="KV8" s="11"/>
      <c r="KW8" s="11"/>
      <c r="KX8" s="11"/>
      <c r="KY8" s="11"/>
      <c r="KZ8" s="11"/>
      <c r="LA8" s="11"/>
      <c r="LB8" s="11"/>
      <c r="LC8" s="11"/>
      <c r="LD8" s="11"/>
      <c r="LE8" s="11"/>
      <c r="LF8" s="11"/>
      <c r="LG8" s="11"/>
      <c r="LH8" s="11"/>
      <c r="LI8" s="11"/>
      <c r="LJ8" s="11"/>
      <c r="LK8" s="11"/>
      <c r="LL8" s="11"/>
      <c r="LM8" s="11"/>
      <c r="LN8" s="11"/>
      <c r="LO8" s="11"/>
      <c r="LP8" s="11"/>
      <c r="LQ8" s="11"/>
      <c r="LR8" s="11"/>
      <c r="LS8" s="11"/>
      <c r="LT8" s="11"/>
      <c r="LU8" s="11"/>
      <c r="LV8" s="11"/>
      <c r="LW8" s="11"/>
      <c r="LX8" s="11"/>
      <c r="LY8" s="11"/>
      <c r="LZ8" s="11"/>
      <c r="MA8" s="11"/>
      <c r="MB8" s="11"/>
      <c r="MC8" s="11"/>
      <c r="MD8" s="11"/>
      <c r="ME8" s="11"/>
      <c r="MF8" s="11"/>
      <c r="MG8" s="11"/>
      <c r="MH8" s="11"/>
      <c r="MI8" s="11"/>
      <c r="MJ8" s="11"/>
      <c r="MK8" s="11"/>
      <c r="ML8" s="11"/>
      <c r="MM8" s="11"/>
      <c r="MN8" s="11"/>
      <c r="MO8" s="11"/>
      <c r="MP8" s="11"/>
      <c r="MQ8" s="11"/>
      <c r="MR8" s="11"/>
      <c r="MS8" s="11"/>
      <c r="MT8" s="11"/>
      <c r="MU8" s="11"/>
      <c r="MV8" s="11"/>
      <c r="MW8" s="11"/>
      <c r="MX8" s="11"/>
      <c r="MY8" s="11"/>
      <c r="MZ8" s="11"/>
      <c r="NA8" s="11"/>
      <c r="NB8" s="11"/>
      <c r="NC8" s="11"/>
      <c r="ND8" s="11"/>
      <c r="NE8" s="11"/>
      <c r="NF8" s="11"/>
      <c r="NG8" s="11"/>
      <c r="NH8" s="11"/>
      <c r="NI8" s="11"/>
      <c r="NJ8" s="11"/>
      <c r="NK8" s="11"/>
      <c r="NL8" s="11"/>
      <c r="NM8" s="11"/>
      <c r="NN8" s="11"/>
      <c r="NO8" s="11"/>
      <c r="NP8" s="11"/>
      <c r="NQ8" s="11"/>
      <c r="NR8" s="11"/>
      <c r="NS8" s="11"/>
      <c r="NT8" s="11"/>
      <c r="NU8" s="11"/>
      <c r="NV8" s="11"/>
      <c r="NW8" s="11"/>
      <c r="NX8" s="11"/>
      <c r="NY8" s="11"/>
      <c r="NZ8" s="11"/>
      <c r="OA8" s="11"/>
      <c r="OB8" s="11"/>
      <c r="OC8" s="11"/>
      <c r="OD8" s="11"/>
      <c r="OE8" s="11"/>
      <c r="OF8" s="11"/>
      <c r="OG8" s="11"/>
      <c r="OH8" s="11"/>
      <c r="OI8" s="11"/>
      <c r="OJ8" s="11"/>
      <c r="OK8" s="11"/>
      <c r="OL8" s="11"/>
      <c r="OM8" s="11"/>
      <c r="ON8" s="11"/>
      <c r="OO8" s="11"/>
      <c r="OP8" s="11"/>
      <c r="OQ8" s="11"/>
      <c r="OR8" s="11"/>
      <c r="OS8" s="11"/>
      <c r="OT8" s="11"/>
      <c r="OU8" s="11"/>
      <c r="OV8" s="11"/>
      <c r="OW8" s="11"/>
      <c r="OX8" s="11"/>
      <c r="OY8" s="11"/>
      <c r="OZ8" s="11"/>
      <c r="PA8" s="11"/>
      <c r="PB8" s="11"/>
      <c r="PC8" s="11"/>
      <c r="PD8" s="11"/>
      <c r="PE8" s="11"/>
      <c r="PF8" s="11"/>
      <c r="PG8" s="11"/>
      <c r="PH8" s="11"/>
      <c r="PI8" s="11"/>
      <c r="PJ8" s="11"/>
      <c r="PK8" s="11"/>
      <c r="PL8" s="11"/>
      <c r="PM8" s="11"/>
      <c r="PN8" s="11"/>
      <c r="PO8" s="11"/>
      <c r="PP8" s="11"/>
      <c r="PQ8" s="11"/>
      <c r="PR8" s="11"/>
      <c r="PS8" s="11"/>
      <c r="PT8" s="11"/>
      <c r="PU8" s="11"/>
      <c r="PV8" s="11"/>
      <c r="PW8" s="11"/>
      <c r="PX8" s="11"/>
      <c r="PY8" s="11"/>
      <c r="PZ8" s="11"/>
      <c r="QA8" s="11"/>
      <c r="QB8" s="11"/>
      <c r="QC8" s="11"/>
      <c r="QD8" s="11"/>
      <c r="QE8" s="11"/>
      <c r="QF8" s="11"/>
      <c r="QG8" s="11"/>
      <c r="QH8" s="11"/>
      <c r="QI8" s="11"/>
      <c r="QJ8" s="11"/>
      <c r="QK8" s="11"/>
      <c r="QL8" s="11"/>
      <c r="QM8" s="11"/>
      <c r="QN8" s="11"/>
      <c r="QO8" s="11"/>
      <c r="QP8" s="11"/>
      <c r="QQ8" s="11"/>
      <c r="QR8" s="11"/>
      <c r="QS8" s="11"/>
      <c r="QT8" s="11"/>
      <c r="QU8" s="11"/>
      <c r="QV8" s="11"/>
      <c r="QW8" s="11"/>
      <c r="QX8" s="11"/>
      <c r="QY8" s="11"/>
      <c r="QZ8" s="11"/>
      <c r="RA8" s="11"/>
      <c r="RB8" s="11"/>
      <c r="RC8" s="11"/>
      <c r="RD8" s="11"/>
      <c r="RE8" s="11"/>
      <c r="RF8" s="11"/>
      <c r="RG8" s="11"/>
      <c r="RH8" s="11"/>
      <c r="RI8" s="11"/>
      <c r="RJ8" s="11"/>
      <c r="RK8" s="11"/>
      <c r="RL8" s="11"/>
      <c r="RM8" s="11"/>
      <c r="RN8" s="11"/>
      <c r="RO8" s="11"/>
      <c r="RP8" s="11"/>
      <c r="RQ8" s="11"/>
      <c r="RR8" s="11"/>
      <c r="RS8" s="11"/>
      <c r="RT8" s="11"/>
      <c r="RU8" s="11"/>
      <c r="RV8" s="11"/>
      <c r="RW8" s="11"/>
      <c r="RX8" s="11"/>
      <c r="RY8" s="11"/>
      <c r="RZ8" s="11"/>
      <c r="SA8" s="11"/>
      <c r="SB8" s="11"/>
      <c r="SC8" s="11"/>
      <c r="SD8" s="11"/>
      <c r="SE8" s="11"/>
      <c r="SF8" s="11"/>
      <c r="SG8" s="11"/>
      <c r="SH8" s="11"/>
      <c r="SI8" s="11"/>
      <c r="SJ8" s="11"/>
      <c r="SK8" s="11"/>
      <c r="SL8" s="11"/>
      <c r="SM8" s="11"/>
      <c r="SN8" s="11"/>
      <c r="SO8" s="11"/>
      <c r="SP8" s="11"/>
      <c r="SQ8" s="11"/>
      <c r="SR8" s="11"/>
      <c r="SS8" s="11"/>
      <c r="ST8" s="11"/>
      <c r="SU8" s="11"/>
      <c r="SV8" s="11"/>
      <c r="SW8" s="11"/>
    </row>
    <row r="9" customFormat="false" ht="13.5" hidden="false" customHeight="true" outlineLevel="0" collapsed="false">
      <c r="C9" s="10"/>
      <c r="D9" s="16"/>
      <c r="E9" s="23"/>
      <c r="F9" s="31"/>
      <c r="G9" s="31"/>
      <c r="H9" s="16"/>
      <c r="I9" s="32"/>
      <c r="J9" s="33"/>
      <c r="K9" s="33"/>
      <c r="L9" s="25"/>
      <c r="M9" s="24"/>
      <c r="N9" s="24"/>
      <c r="O9" s="24"/>
      <c r="P9" s="24"/>
      <c r="Q9" s="24"/>
      <c r="R9" s="24"/>
      <c r="S9" s="24"/>
      <c r="T9" s="24"/>
      <c r="U9" s="24"/>
      <c r="V9" s="25"/>
      <c r="W9" s="25"/>
      <c r="X9" s="25"/>
      <c r="Y9" s="25"/>
      <c r="Z9" s="25"/>
      <c r="AA9" s="25"/>
      <c r="AB9" s="26"/>
      <c r="AC9" s="26"/>
      <c r="AD9" s="31"/>
      <c r="AE9" s="31"/>
      <c r="AF9" s="31"/>
      <c r="AG9" s="31"/>
      <c r="AH9" s="28"/>
      <c r="AI9" s="28"/>
      <c r="AJ9" s="34"/>
      <c r="AK9" s="34"/>
      <c r="AL9" s="34"/>
      <c r="AM9" s="30"/>
      <c r="AN9" s="30"/>
      <c r="AO9" s="30"/>
      <c r="AP9" s="30"/>
      <c r="AQ9" s="30"/>
      <c r="AR9" s="30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  <c r="PG9" s="11"/>
      <c r="PH9" s="11"/>
      <c r="PI9" s="11"/>
      <c r="PJ9" s="11"/>
      <c r="PK9" s="11"/>
      <c r="PL9" s="11"/>
      <c r="PM9" s="11"/>
      <c r="PN9" s="11"/>
      <c r="PO9" s="11"/>
      <c r="PP9" s="11"/>
      <c r="PQ9" s="11"/>
      <c r="PR9" s="11"/>
      <c r="PS9" s="11"/>
      <c r="PT9" s="11"/>
      <c r="PU9" s="11"/>
      <c r="PV9" s="11"/>
      <c r="PW9" s="11"/>
      <c r="PX9" s="11"/>
      <c r="PY9" s="11"/>
      <c r="PZ9" s="11"/>
      <c r="QA9" s="11"/>
      <c r="QB9" s="11"/>
      <c r="QC9" s="11"/>
      <c r="QD9" s="11"/>
      <c r="QE9" s="11"/>
      <c r="QF9" s="11"/>
      <c r="QG9" s="11"/>
      <c r="QH9" s="11"/>
      <c r="QI9" s="11"/>
      <c r="QJ9" s="11"/>
      <c r="QK9" s="11"/>
      <c r="QL9" s="11"/>
      <c r="QM9" s="11"/>
      <c r="QN9" s="11"/>
      <c r="QO9" s="11"/>
      <c r="QP9" s="11"/>
      <c r="QQ9" s="11"/>
      <c r="QR9" s="11"/>
      <c r="QS9" s="11"/>
      <c r="QT9" s="11"/>
      <c r="QU9" s="11"/>
      <c r="QV9" s="11"/>
      <c r="QW9" s="11"/>
      <c r="QX9" s="11"/>
      <c r="QY9" s="11"/>
      <c r="QZ9" s="11"/>
      <c r="RA9" s="11"/>
      <c r="RB9" s="11"/>
      <c r="RC9" s="11"/>
      <c r="RD9" s="11"/>
      <c r="RE9" s="11"/>
      <c r="RF9" s="11"/>
      <c r="RG9" s="11"/>
      <c r="RH9" s="11"/>
      <c r="RI9" s="11"/>
      <c r="RJ9" s="11"/>
      <c r="RK9" s="11"/>
      <c r="RL9" s="11"/>
      <c r="RM9" s="11"/>
      <c r="RN9" s="11"/>
      <c r="RO9" s="11"/>
      <c r="RP9" s="11"/>
      <c r="RQ9" s="11"/>
      <c r="RR9" s="11"/>
      <c r="RS9" s="11"/>
      <c r="RT9" s="11"/>
      <c r="RU9" s="11"/>
      <c r="RV9" s="11"/>
      <c r="RW9" s="11"/>
      <c r="RX9" s="11"/>
      <c r="RY9" s="11"/>
      <c r="RZ9" s="11"/>
      <c r="SA9" s="11"/>
      <c r="SB9" s="11"/>
      <c r="SC9" s="11"/>
      <c r="SD9" s="11"/>
      <c r="SE9" s="11"/>
      <c r="SF9" s="11"/>
      <c r="SG9" s="11"/>
      <c r="SH9" s="11"/>
      <c r="SI9" s="11"/>
      <c r="SJ9" s="11"/>
      <c r="SK9" s="11"/>
      <c r="SL9" s="11"/>
      <c r="SM9" s="11"/>
      <c r="SN9" s="11"/>
      <c r="SO9" s="11"/>
      <c r="SP9" s="11"/>
      <c r="SQ9" s="11"/>
      <c r="SR9" s="11"/>
      <c r="SS9" s="11"/>
      <c r="ST9" s="11"/>
      <c r="SU9" s="11"/>
      <c r="SV9" s="11"/>
      <c r="SW9" s="11"/>
    </row>
    <row r="10" customFormat="false" ht="13.5" hidden="false" customHeight="true" outlineLevel="0" collapsed="false">
      <c r="C10" s="10"/>
      <c r="D10" s="16"/>
      <c r="E10" s="23"/>
      <c r="F10" s="31"/>
      <c r="G10" s="31"/>
      <c r="H10" s="16"/>
      <c r="I10" s="32"/>
      <c r="J10" s="33"/>
      <c r="K10" s="33"/>
      <c r="L10" s="25"/>
      <c r="M10" s="24"/>
      <c r="N10" s="24"/>
      <c r="O10" s="24"/>
      <c r="P10" s="24"/>
      <c r="Q10" s="24"/>
      <c r="R10" s="24"/>
      <c r="S10" s="24"/>
      <c r="T10" s="24"/>
      <c r="U10" s="24"/>
      <c r="V10" s="25"/>
      <c r="W10" s="25"/>
      <c r="X10" s="25"/>
      <c r="Y10" s="25"/>
      <c r="Z10" s="25"/>
      <c r="AA10" s="25"/>
      <c r="AB10" s="25"/>
      <c r="AC10" s="25"/>
      <c r="AD10" s="31"/>
      <c r="AE10" s="31"/>
      <c r="AF10" s="31"/>
      <c r="AG10" s="31"/>
      <c r="AH10" s="28"/>
      <c r="AI10" s="28"/>
      <c r="AJ10" s="34"/>
      <c r="AK10" s="34"/>
      <c r="AL10" s="34"/>
      <c r="AM10" s="30"/>
      <c r="AN10" s="30"/>
      <c r="AO10" s="30"/>
      <c r="AP10" s="30"/>
      <c r="AQ10" s="30"/>
      <c r="AR10" s="30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  <c r="OM10" s="11"/>
      <c r="ON10" s="11"/>
      <c r="OO10" s="11"/>
      <c r="OP10" s="11"/>
      <c r="OQ10" s="11"/>
      <c r="OR10" s="11"/>
      <c r="OS10" s="11"/>
      <c r="OT10" s="11"/>
      <c r="OU10" s="11"/>
      <c r="OV10" s="11"/>
      <c r="OW10" s="11"/>
      <c r="OX10" s="11"/>
      <c r="OY10" s="11"/>
      <c r="OZ10" s="11"/>
      <c r="PA10" s="11"/>
      <c r="PB10" s="11"/>
      <c r="PC10" s="11"/>
      <c r="PD10" s="11"/>
      <c r="PE10" s="11"/>
      <c r="PF10" s="11"/>
      <c r="PG10" s="11"/>
      <c r="PH10" s="11"/>
      <c r="PI10" s="11"/>
      <c r="PJ10" s="11"/>
      <c r="PK10" s="11"/>
      <c r="PL10" s="11"/>
      <c r="PM10" s="11"/>
      <c r="PN10" s="11"/>
      <c r="PO10" s="11"/>
      <c r="PP10" s="11"/>
      <c r="PQ10" s="11"/>
      <c r="PR10" s="11"/>
      <c r="PS10" s="11"/>
      <c r="PT10" s="11"/>
      <c r="PU10" s="11"/>
      <c r="PV10" s="11"/>
      <c r="PW10" s="11"/>
      <c r="PX10" s="11"/>
      <c r="PY10" s="11"/>
      <c r="PZ10" s="11"/>
      <c r="QA10" s="11"/>
      <c r="QB10" s="11"/>
      <c r="QC10" s="11"/>
      <c r="QD10" s="11"/>
      <c r="QE10" s="11"/>
      <c r="QF10" s="11"/>
      <c r="QG10" s="11"/>
      <c r="QH10" s="11"/>
      <c r="QI10" s="11"/>
      <c r="QJ10" s="11"/>
      <c r="QK10" s="11"/>
      <c r="QL10" s="11"/>
      <c r="QM10" s="11"/>
      <c r="QN10" s="11"/>
      <c r="QO10" s="11"/>
      <c r="QP10" s="11"/>
      <c r="QQ10" s="11"/>
      <c r="QR10" s="11"/>
      <c r="QS10" s="11"/>
      <c r="QT10" s="11"/>
      <c r="QU10" s="11"/>
      <c r="QV10" s="11"/>
      <c r="QW10" s="11"/>
      <c r="QX10" s="11"/>
      <c r="QY10" s="11"/>
      <c r="QZ10" s="11"/>
      <c r="RA10" s="11"/>
      <c r="RB10" s="11"/>
      <c r="RC10" s="11"/>
      <c r="RD10" s="11"/>
      <c r="RE10" s="11"/>
      <c r="RF10" s="11"/>
      <c r="RG10" s="11"/>
      <c r="RH10" s="11"/>
      <c r="RI10" s="11"/>
      <c r="RJ10" s="11"/>
      <c r="RK10" s="11"/>
      <c r="RL10" s="11"/>
      <c r="RM10" s="11"/>
      <c r="RN10" s="11"/>
      <c r="RO10" s="11"/>
      <c r="RP10" s="11"/>
      <c r="RQ10" s="11"/>
      <c r="RR10" s="11"/>
      <c r="RS10" s="11"/>
      <c r="RT10" s="11"/>
      <c r="RU10" s="11"/>
      <c r="RV10" s="11"/>
      <c r="RW10" s="11"/>
      <c r="RX10" s="11"/>
      <c r="RY10" s="11"/>
      <c r="RZ10" s="11"/>
      <c r="SA10" s="11"/>
      <c r="SB10" s="11"/>
      <c r="SC10" s="11"/>
      <c r="SD10" s="11"/>
      <c r="SE10" s="11"/>
      <c r="SF10" s="11"/>
      <c r="SG10" s="11"/>
      <c r="SH10" s="11"/>
      <c r="SI10" s="11"/>
      <c r="SJ10" s="11"/>
      <c r="SK10" s="11"/>
      <c r="SL10" s="11"/>
      <c r="SM10" s="11"/>
      <c r="SN10" s="11"/>
      <c r="SO10" s="11"/>
      <c r="SP10" s="11"/>
      <c r="SQ10" s="11"/>
      <c r="SR10" s="11"/>
      <c r="SS10" s="11"/>
      <c r="ST10" s="11"/>
      <c r="SU10" s="11"/>
      <c r="SV10" s="11"/>
      <c r="SW10" s="11"/>
    </row>
    <row r="11" customFormat="false" ht="13.5" hidden="false" customHeight="true" outlineLevel="0" collapsed="false">
      <c r="C11" s="10"/>
      <c r="D11" s="16"/>
      <c r="E11" s="23"/>
      <c r="F11" s="31"/>
      <c r="G11" s="31"/>
      <c r="H11" s="16"/>
      <c r="I11" s="32"/>
      <c r="J11" s="33"/>
      <c r="K11" s="33"/>
      <c r="L11" s="25"/>
      <c r="M11" s="25"/>
      <c r="N11" s="25"/>
      <c r="O11" s="25"/>
      <c r="P11" s="24"/>
      <c r="Q11" s="24"/>
      <c r="R11" s="24"/>
      <c r="S11" s="24"/>
      <c r="T11" s="24"/>
      <c r="U11" s="24"/>
      <c r="V11" s="25"/>
      <c r="W11" s="25"/>
      <c r="X11" s="25"/>
      <c r="Y11" s="25"/>
      <c r="Z11" s="25"/>
      <c r="AA11" s="25"/>
      <c r="AB11" s="25"/>
      <c r="AC11" s="25"/>
      <c r="AD11" s="31"/>
      <c r="AE11" s="31"/>
      <c r="AF11" s="31"/>
      <c r="AG11" s="31"/>
      <c r="AH11" s="28"/>
      <c r="AI11" s="28"/>
      <c r="AJ11" s="34"/>
      <c r="AK11" s="34"/>
      <c r="AL11" s="34"/>
      <c r="AM11" s="30"/>
      <c r="AN11" s="30"/>
      <c r="AO11" s="30"/>
      <c r="AP11" s="30"/>
      <c r="AQ11" s="30"/>
      <c r="AR11" s="30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  <c r="LH11" s="11"/>
      <c r="LI11" s="11"/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11"/>
      <c r="LY11" s="11"/>
      <c r="LZ11" s="11"/>
      <c r="MA11" s="11"/>
      <c r="MB11" s="11"/>
      <c r="MC11" s="11"/>
      <c r="MD11" s="11"/>
      <c r="ME11" s="11"/>
      <c r="MF11" s="11"/>
      <c r="MG11" s="11"/>
      <c r="MH11" s="11"/>
      <c r="MI11" s="11"/>
      <c r="MJ11" s="11"/>
      <c r="MK11" s="11"/>
      <c r="ML11" s="11"/>
      <c r="MM11" s="11"/>
      <c r="MN11" s="11"/>
      <c r="MO11" s="11"/>
      <c r="MP11" s="11"/>
      <c r="MQ11" s="11"/>
      <c r="MR11" s="11"/>
      <c r="MS11" s="11"/>
      <c r="MT11" s="11"/>
      <c r="MU11" s="11"/>
      <c r="MV11" s="11"/>
      <c r="MW11" s="11"/>
      <c r="MX11" s="11"/>
      <c r="MY11" s="11"/>
      <c r="MZ11" s="11"/>
      <c r="NA11" s="11"/>
      <c r="NB11" s="11"/>
      <c r="NC11" s="11"/>
      <c r="ND11" s="11"/>
      <c r="NE11" s="11"/>
      <c r="NF11" s="11"/>
      <c r="NG11" s="11"/>
      <c r="NH11" s="11"/>
      <c r="NI11" s="11"/>
      <c r="NJ11" s="11"/>
      <c r="NK11" s="11"/>
      <c r="NL11" s="11"/>
      <c r="NM11" s="11"/>
      <c r="NN11" s="11"/>
      <c r="NO11" s="11"/>
      <c r="NP11" s="11"/>
      <c r="NQ11" s="11"/>
      <c r="NR11" s="11"/>
      <c r="NS11" s="11"/>
      <c r="NT11" s="11"/>
      <c r="NU11" s="11"/>
      <c r="NV11" s="11"/>
      <c r="NW11" s="11"/>
      <c r="NX11" s="11"/>
      <c r="NY11" s="11"/>
      <c r="NZ11" s="11"/>
      <c r="OA11" s="11"/>
      <c r="OB11" s="11"/>
      <c r="OC11" s="11"/>
      <c r="OD11" s="11"/>
      <c r="OE11" s="11"/>
      <c r="OF11" s="11"/>
      <c r="OG11" s="11"/>
      <c r="OH11" s="11"/>
      <c r="OI11" s="11"/>
      <c r="OJ11" s="11"/>
      <c r="OK11" s="11"/>
      <c r="OL11" s="11"/>
      <c r="OM11" s="11"/>
      <c r="ON11" s="11"/>
      <c r="OO11" s="11"/>
      <c r="OP11" s="11"/>
      <c r="OQ11" s="11"/>
      <c r="OR11" s="11"/>
      <c r="OS11" s="11"/>
      <c r="OT11" s="11"/>
      <c r="OU11" s="11"/>
      <c r="OV11" s="11"/>
      <c r="OW11" s="11"/>
      <c r="OX11" s="11"/>
      <c r="OY11" s="11"/>
      <c r="OZ11" s="11"/>
      <c r="PA11" s="11"/>
      <c r="PB11" s="11"/>
      <c r="PC11" s="11"/>
      <c r="PD11" s="11"/>
      <c r="PE11" s="11"/>
      <c r="PF11" s="11"/>
      <c r="PG11" s="11"/>
      <c r="PH11" s="11"/>
      <c r="PI11" s="11"/>
      <c r="PJ11" s="11"/>
      <c r="PK11" s="11"/>
      <c r="PL11" s="11"/>
      <c r="PM11" s="11"/>
      <c r="PN11" s="11"/>
      <c r="PO11" s="11"/>
      <c r="PP11" s="11"/>
      <c r="PQ11" s="11"/>
      <c r="PR11" s="11"/>
      <c r="PS11" s="11"/>
      <c r="PT11" s="11"/>
      <c r="PU11" s="11"/>
      <c r="PV11" s="11"/>
      <c r="PW11" s="11"/>
      <c r="PX11" s="11"/>
      <c r="PY11" s="11"/>
      <c r="PZ11" s="11"/>
      <c r="QA11" s="11"/>
      <c r="QB11" s="11"/>
      <c r="QC11" s="11"/>
      <c r="QD11" s="11"/>
      <c r="QE11" s="11"/>
      <c r="QF11" s="11"/>
      <c r="QG11" s="11"/>
      <c r="QH11" s="11"/>
      <c r="QI11" s="11"/>
      <c r="QJ11" s="11"/>
      <c r="QK11" s="11"/>
      <c r="QL11" s="11"/>
      <c r="QM11" s="11"/>
      <c r="QN11" s="11"/>
      <c r="QO11" s="11"/>
      <c r="QP11" s="11"/>
      <c r="QQ11" s="11"/>
      <c r="QR11" s="11"/>
      <c r="QS11" s="11"/>
      <c r="QT11" s="11"/>
      <c r="QU11" s="11"/>
      <c r="QV11" s="11"/>
      <c r="QW11" s="11"/>
      <c r="QX11" s="11"/>
      <c r="QY11" s="11"/>
      <c r="QZ11" s="11"/>
      <c r="RA11" s="11"/>
      <c r="RB11" s="11"/>
      <c r="RC11" s="11"/>
      <c r="RD11" s="11"/>
      <c r="RE11" s="11"/>
      <c r="RF11" s="11"/>
      <c r="RG11" s="11"/>
      <c r="RH11" s="11"/>
      <c r="RI11" s="11"/>
      <c r="RJ11" s="11"/>
      <c r="RK11" s="11"/>
      <c r="RL11" s="11"/>
      <c r="RM11" s="11"/>
      <c r="RN11" s="11"/>
      <c r="RO11" s="11"/>
      <c r="RP11" s="11"/>
      <c r="RQ11" s="11"/>
      <c r="RR11" s="11"/>
      <c r="RS11" s="11"/>
      <c r="RT11" s="11"/>
      <c r="RU11" s="11"/>
      <c r="RV11" s="11"/>
      <c r="RW11" s="11"/>
      <c r="RX11" s="11"/>
      <c r="RY11" s="11"/>
      <c r="RZ11" s="11"/>
      <c r="SA11" s="11"/>
      <c r="SB11" s="11"/>
      <c r="SC11" s="11"/>
      <c r="SD11" s="11"/>
      <c r="SE11" s="11"/>
      <c r="SF11" s="11"/>
      <c r="SG11" s="11"/>
      <c r="SH11" s="11"/>
      <c r="SI11" s="11"/>
      <c r="SJ11" s="11"/>
      <c r="SK11" s="11"/>
      <c r="SL11" s="11"/>
      <c r="SM11" s="11"/>
      <c r="SN11" s="11"/>
      <c r="SO11" s="11"/>
      <c r="SP11" s="11"/>
      <c r="SQ11" s="11"/>
      <c r="SR11" s="11"/>
      <c r="SS11" s="11"/>
      <c r="ST11" s="11"/>
      <c r="SU11" s="11"/>
      <c r="SV11" s="11"/>
      <c r="SW11" s="11"/>
    </row>
    <row r="12" customFormat="false" ht="9.75" hidden="false" customHeight="true" outlineLevel="0" collapsed="false">
      <c r="C12" s="10"/>
      <c r="D12" s="16"/>
      <c r="E12" s="23"/>
      <c r="F12" s="31"/>
      <c r="G12" s="31"/>
      <c r="H12" s="16"/>
      <c r="I12" s="32"/>
      <c r="J12" s="33"/>
      <c r="K12" s="33"/>
      <c r="L12" s="26"/>
      <c r="M12" s="26"/>
      <c r="N12" s="25"/>
      <c r="O12" s="25"/>
      <c r="P12" s="24"/>
      <c r="Q12" s="24"/>
      <c r="R12" s="24"/>
      <c r="S12" s="24"/>
      <c r="T12" s="24"/>
      <c r="U12" s="24"/>
      <c r="V12" s="25"/>
      <c r="W12" s="25"/>
      <c r="X12" s="25"/>
      <c r="Y12" s="25"/>
      <c r="Z12" s="25"/>
      <c r="AA12" s="25"/>
      <c r="AB12" s="25"/>
      <c r="AC12" s="25"/>
      <c r="AD12" s="31"/>
      <c r="AE12" s="31"/>
      <c r="AF12" s="31"/>
      <c r="AG12" s="31"/>
      <c r="AH12" s="28"/>
      <c r="AI12" s="28"/>
      <c r="AJ12" s="34"/>
      <c r="AK12" s="34"/>
      <c r="AL12" s="34"/>
      <c r="AM12" s="30"/>
      <c r="AN12" s="30"/>
      <c r="AO12" s="30"/>
      <c r="AP12" s="30"/>
      <c r="AQ12" s="30"/>
      <c r="AR12" s="30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  <c r="NI12" s="11"/>
      <c r="NJ12" s="11"/>
      <c r="NK12" s="11"/>
      <c r="NL12" s="11"/>
      <c r="NM12" s="11"/>
      <c r="NN12" s="11"/>
      <c r="NO12" s="11"/>
      <c r="NP12" s="11"/>
      <c r="NQ12" s="11"/>
      <c r="NR12" s="11"/>
      <c r="NS12" s="11"/>
      <c r="NT12" s="11"/>
      <c r="NU12" s="11"/>
      <c r="NV12" s="11"/>
      <c r="NW12" s="11"/>
      <c r="NX12" s="11"/>
      <c r="NY12" s="11"/>
      <c r="NZ12" s="11"/>
      <c r="OA12" s="11"/>
      <c r="OB12" s="11"/>
      <c r="OC12" s="11"/>
      <c r="OD12" s="11"/>
      <c r="OE12" s="11"/>
      <c r="OF12" s="11"/>
      <c r="OG12" s="11"/>
      <c r="OH12" s="11"/>
      <c r="OI12" s="11"/>
      <c r="OJ12" s="11"/>
      <c r="OK12" s="11"/>
      <c r="OL12" s="11"/>
      <c r="OM12" s="11"/>
      <c r="ON12" s="11"/>
      <c r="OO12" s="11"/>
      <c r="OP12" s="11"/>
      <c r="OQ12" s="11"/>
      <c r="OR12" s="11"/>
      <c r="OS12" s="11"/>
      <c r="OT12" s="11"/>
      <c r="OU12" s="11"/>
      <c r="OV12" s="11"/>
      <c r="OW12" s="11"/>
      <c r="OX12" s="11"/>
      <c r="OY12" s="11"/>
      <c r="OZ12" s="11"/>
      <c r="PA12" s="11"/>
      <c r="PB12" s="11"/>
      <c r="PC12" s="11"/>
      <c r="PD12" s="11"/>
      <c r="PE12" s="11"/>
      <c r="PF12" s="11"/>
      <c r="PG12" s="11"/>
      <c r="PH12" s="11"/>
      <c r="PI12" s="11"/>
      <c r="PJ12" s="11"/>
      <c r="PK12" s="11"/>
      <c r="PL12" s="11"/>
      <c r="PM12" s="11"/>
      <c r="PN12" s="11"/>
      <c r="PO12" s="11"/>
      <c r="PP12" s="11"/>
      <c r="PQ12" s="11"/>
      <c r="PR12" s="11"/>
      <c r="PS12" s="11"/>
      <c r="PT12" s="11"/>
      <c r="PU12" s="11"/>
      <c r="PV12" s="11"/>
      <c r="PW12" s="11"/>
      <c r="PX12" s="11"/>
      <c r="PY12" s="11"/>
      <c r="PZ12" s="11"/>
      <c r="QA12" s="11"/>
      <c r="QB12" s="11"/>
      <c r="QC12" s="11"/>
      <c r="QD12" s="11"/>
      <c r="QE12" s="11"/>
      <c r="QF12" s="11"/>
      <c r="QG12" s="11"/>
      <c r="QH12" s="11"/>
      <c r="QI12" s="11"/>
      <c r="QJ12" s="11"/>
      <c r="QK12" s="11"/>
      <c r="QL12" s="11"/>
      <c r="QM12" s="11"/>
      <c r="QN12" s="11"/>
      <c r="QO12" s="11"/>
      <c r="QP12" s="11"/>
      <c r="QQ12" s="11"/>
      <c r="QR12" s="11"/>
      <c r="QS12" s="11"/>
      <c r="QT12" s="11"/>
      <c r="QU12" s="11"/>
      <c r="QV12" s="11"/>
      <c r="QW12" s="11"/>
      <c r="QX12" s="11"/>
      <c r="QY12" s="11"/>
      <c r="QZ12" s="11"/>
      <c r="RA12" s="11"/>
      <c r="RB12" s="11"/>
      <c r="RC12" s="11"/>
      <c r="RD12" s="11"/>
      <c r="RE12" s="11"/>
      <c r="RF12" s="11"/>
      <c r="RG12" s="11"/>
      <c r="RH12" s="11"/>
      <c r="RI12" s="11"/>
      <c r="RJ12" s="11"/>
      <c r="RK12" s="11"/>
      <c r="RL12" s="11"/>
      <c r="RM12" s="11"/>
      <c r="RN12" s="11"/>
      <c r="RO12" s="11"/>
      <c r="RP12" s="11"/>
      <c r="RQ12" s="11"/>
      <c r="RR12" s="11"/>
      <c r="RS12" s="11"/>
      <c r="RT12" s="11"/>
      <c r="RU12" s="11"/>
      <c r="RV12" s="11"/>
      <c r="RW12" s="11"/>
      <c r="RX12" s="11"/>
      <c r="RY12" s="11"/>
      <c r="RZ12" s="11"/>
      <c r="SA12" s="11"/>
      <c r="SB12" s="11"/>
      <c r="SC12" s="11"/>
      <c r="SD12" s="11"/>
      <c r="SE12" s="11"/>
      <c r="SF12" s="11"/>
      <c r="SG12" s="11"/>
      <c r="SH12" s="11"/>
      <c r="SI12" s="11"/>
      <c r="SJ12" s="11"/>
      <c r="SK12" s="11"/>
      <c r="SL12" s="11"/>
      <c r="SM12" s="11"/>
      <c r="SN12" s="11"/>
      <c r="SO12" s="11"/>
      <c r="SP12" s="11"/>
      <c r="SQ12" s="11"/>
      <c r="SR12" s="11"/>
      <c r="SS12" s="11"/>
      <c r="ST12" s="11"/>
      <c r="SU12" s="11"/>
      <c r="SV12" s="11"/>
      <c r="SW12" s="11"/>
    </row>
    <row r="13" customFormat="false" ht="9" hidden="true" customHeight="true" outlineLevel="0" collapsed="false">
      <c r="C13" s="10"/>
      <c r="D13" s="16"/>
      <c r="E13" s="23"/>
      <c r="F13" s="31"/>
      <c r="G13" s="31"/>
      <c r="H13" s="16"/>
      <c r="I13" s="32"/>
      <c r="J13" s="33"/>
      <c r="K13" s="33"/>
      <c r="L13" s="35" t="n">
        <v>1</v>
      </c>
      <c r="M13" s="35" t="n">
        <f aca="false">L13+1</f>
        <v>2</v>
      </c>
      <c r="N13" s="35" t="n">
        <f aca="false">M13+1</f>
        <v>3</v>
      </c>
      <c r="O13" s="35" t="n">
        <f aca="false">N13+1</f>
        <v>4</v>
      </c>
      <c r="P13" s="35" t="n">
        <f aca="false">O13+1</f>
        <v>5</v>
      </c>
      <c r="Q13" s="35" t="n">
        <f aca="false">P13+1</f>
        <v>6</v>
      </c>
      <c r="R13" s="35" t="n">
        <f aca="false">Q13+1</f>
        <v>7</v>
      </c>
      <c r="S13" s="35" t="n">
        <f aca="false">R13+1</f>
        <v>8</v>
      </c>
      <c r="T13" s="35" t="n">
        <f aca="false">S13+1</f>
        <v>9</v>
      </c>
      <c r="U13" s="35" t="n">
        <f aca="false">T13+1</f>
        <v>10</v>
      </c>
      <c r="V13" s="35" t="n">
        <f aca="false">U13+1</f>
        <v>11</v>
      </c>
      <c r="W13" s="35" t="n">
        <f aca="false">V13+1</f>
        <v>12</v>
      </c>
      <c r="X13" s="35" t="n">
        <f aca="false">W13+1</f>
        <v>13</v>
      </c>
      <c r="Y13" s="35" t="n">
        <f aca="false">X13+1</f>
        <v>14</v>
      </c>
      <c r="Z13" s="35" t="n">
        <f aca="false">Y13+1</f>
        <v>15</v>
      </c>
      <c r="AA13" s="35" t="n">
        <f aca="false">Z13+1</f>
        <v>16</v>
      </c>
      <c r="AB13" s="35" t="n">
        <f aca="false">AA13+1</f>
        <v>17</v>
      </c>
      <c r="AC13" s="35" t="n">
        <f aca="false">AB13+1</f>
        <v>18</v>
      </c>
      <c r="AD13" s="35" t="n">
        <f aca="false">AC13+1</f>
        <v>19</v>
      </c>
      <c r="AE13" s="35" t="n">
        <f aca="false">AD13+1</f>
        <v>20</v>
      </c>
      <c r="AF13" s="35" t="n">
        <f aca="false">AE13+1</f>
        <v>21</v>
      </c>
      <c r="AG13" s="35" t="n">
        <f aca="false">AF13+1</f>
        <v>22</v>
      </c>
      <c r="AH13" s="35" t="n">
        <f aca="false">AG13+1</f>
        <v>23</v>
      </c>
      <c r="AI13" s="35" t="n">
        <f aca="false">AH13+1</f>
        <v>24</v>
      </c>
      <c r="AJ13" s="35" t="n">
        <f aca="false">AI13+1</f>
        <v>25</v>
      </c>
      <c r="AK13" s="35" t="n">
        <f aca="false">AJ13+1</f>
        <v>26</v>
      </c>
      <c r="AL13" s="35" t="n">
        <f aca="false">AK13+1</f>
        <v>27</v>
      </c>
      <c r="AM13" s="35" t="n">
        <f aca="false">AL13+1</f>
        <v>28</v>
      </c>
      <c r="AN13" s="35" t="n">
        <f aca="false">AM13+1</f>
        <v>29</v>
      </c>
      <c r="AO13" s="35" t="n">
        <f aca="false">AN13+1</f>
        <v>30</v>
      </c>
      <c r="AP13" s="35" t="n">
        <f aca="false">AO13+1</f>
        <v>31</v>
      </c>
      <c r="AQ13" s="35" t="n">
        <f aca="false">AP13+1</f>
        <v>32</v>
      </c>
      <c r="AR13" s="35" t="n">
        <f aca="false">AQ13+1</f>
        <v>33</v>
      </c>
      <c r="AS13" s="35" t="n">
        <f aca="false">AR13+1</f>
        <v>34</v>
      </c>
      <c r="AT13" s="35" t="n">
        <f aca="false">AS13+1</f>
        <v>35</v>
      </c>
      <c r="AU13" s="35" t="n">
        <f aca="false">AT13+1</f>
        <v>36</v>
      </c>
      <c r="AV13" s="35" t="n">
        <f aca="false">AU13+1</f>
        <v>37</v>
      </c>
      <c r="AW13" s="35" t="n">
        <f aca="false">AV13+1</f>
        <v>38</v>
      </c>
      <c r="AX13" s="35" t="n">
        <f aca="false">AW13+1</f>
        <v>39</v>
      </c>
      <c r="AY13" s="35" t="n">
        <f aca="false">AX13+1</f>
        <v>40</v>
      </c>
      <c r="AZ13" s="35" t="n">
        <f aca="false">AY13+1</f>
        <v>41</v>
      </c>
      <c r="BA13" s="35" t="n">
        <f aca="false">AZ13+1</f>
        <v>42</v>
      </c>
      <c r="BB13" s="35" t="n">
        <f aca="false">BA13+1</f>
        <v>43</v>
      </c>
      <c r="BC13" s="35" t="n">
        <f aca="false">BB13+1</f>
        <v>44</v>
      </c>
      <c r="BD13" s="35" t="n">
        <f aca="false">BC13+1</f>
        <v>45</v>
      </c>
      <c r="BE13" s="35" t="n">
        <f aca="false">BD13+1</f>
        <v>46</v>
      </c>
      <c r="BF13" s="35" t="n">
        <f aca="false">BE13+1</f>
        <v>47</v>
      </c>
      <c r="BG13" s="35" t="n">
        <f aca="false">BF13+1</f>
        <v>48</v>
      </c>
      <c r="BH13" s="35" t="n">
        <f aca="false">BG13+1</f>
        <v>49</v>
      </c>
      <c r="BI13" s="35" t="n">
        <f aca="false">BH13+1</f>
        <v>50</v>
      </c>
      <c r="BJ13" s="35" t="n">
        <f aca="false">BI13+1</f>
        <v>51</v>
      </c>
      <c r="BK13" s="35" t="n">
        <f aca="false">BJ13+1</f>
        <v>52</v>
      </c>
      <c r="BL13" s="35" t="n">
        <f aca="false">BK13+1</f>
        <v>53</v>
      </c>
      <c r="BM13" s="35" t="n">
        <f aca="false">BL13+1</f>
        <v>54</v>
      </c>
      <c r="BN13" s="35" t="n">
        <f aca="false">BM13+1</f>
        <v>55</v>
      </c>
      <c r="BO13" s="35" t="n">
        <f aca="false">BN13+1</f>
        <v>56</v>
      </c>
      <c r="BP13" s="35" t="n">
        <f aca="false">BO13+1</f>
        <v>57</v>
      </c>
      <c r="BQ13" s="35" t="n">
        <f aca="false">BP13+1</f>
        <v>58</v>
      </c>
      <c r="BR13" s="35" t="n">
        <f aca="false">BQ13+1</f>
        <v>59</v>
      </c>
      <c r="BS13" s="35" t="n">
        <f aca="false">BR13+1</f>
        <v>60</v>
      </c>
      <c r="BT13" s="35" t="n">
        <f aca="false">BS13+1</f>
        <v>61</v>
      </c>
      <c r="BU13" s="35" t="n">
        <f aca="false">BT13+1</f>
        <v>62</v>
      </c>
      <c r="BV13" s="35" t="n">
        <f aca="false">BU13+1</f>
        <v>63</v>
      </c>
      <c r="BW13" s="35" t="n">
        <f aca="false">BV13+1</f>
        <v>64</v>
      </c>
      <c r="BX13" s="35" t="n">
        <f aca="false">BW13+1</f>
        <v>65</v>
      </c>
      <c r="BY13" s="35" t="n">
        <f aca="false">BX13+1</f>
        <v>66</v>
      </c>
      <c r="BZ13" s="35" t="n">
        <f aca="false">BY13+1</f>
        <v>67</v>
      </c>
      <c r="CA13" s="35" t="n">
        <f aca="false">BZ13+1</f>
        <v>68</v>
      </c>
      <c r="CB13" s="35" t="n">
        <f aca="false">CA13+1</f>
        <v>69</v>
      </c>
      <c r="CC13" s="35" t="n">
        <f aca="false">CB13+1</f>
        <v>70</v>
      </c>
      <c r="CD13" s="35" t="n">
        <f aca="false">CC13+1</f>
        <v>71</v>
      </c>
      <c r="CE13" s="35" t="n">
        <f aca="false">CD13+1</f>
        <v>72</v>
      </c>
      <c r="CF13" s="35" t="n">
        <f aca="false">CE13+1</f>
        <v>73</v>
      </c>
      <c r="CG13" s="35" t="n">
        <f aca="false">CF13+1</f>
        <v>74</v>
      </c>
      <c r="CH13" s="35" t="n">
        <f aca="false">CG13+1</f>
        <v>75</v>
      </c>
      <c r="CI13" s="35" t="n">
        <f aca="false">CH13+1</f>
        <v>76</v>
      </c>
      <c r="CJ13" s="35" t="n">
        <f aca="false">CI13+1</f>
        <v>77</v>
      </c>
      <c r="CK13" s="35" t="n">
        <f aca="false">CJ13+1</f>
        <v>78</v>
      </c>
      <c r="CL13" s="35" t="n">
        <f aca="false">CK13+1</f>
        <v>79</v>
      </c>
      <c r="CM13" s="35" t="n">
        <f aca="false">CL13+1</f>
        <v>80</v>
      </c>
      <c r="CN13" s="35" t="n">
        <f aca="false">CM13+1</f>
        <v>81</v>
      </c>
      <c r="CO13" s="35" t="n">
        <f aca="false">CN13+1</f>
        <v>82</v>
      </c>
      <c r="CP13" s="35" t="n">
        <f aca="false">CO13+1</f>
        <v>83</v>
      </c>
      <c r="CQ13" s="35" t="n">
        <f aca="false">CP13+1</f>
        <v>84</v>
      </c>
      <c r="CR13" s="35" t="n">
        <f aca="false">CQ13+1</f>
        <v>85</v>
      </c>
      <c r="CS13" s="35" t="n">
        <f aca="false">CR13+1</f>
        <v>86</v>
      </c>
      <c r="CT13" s="35" t="n">
        <f aca="false">CS13+1</f>
        <v>87</v>
      </c>
      <c r="CU13" s="35" t="n">
        <f aca="false">CT13+1</f>
        <v>88</v>
      </c>
      <c r="CV13" s="35" t="n">
        <f aca="false">CU13+1</f>
        <v>89</v>
      </c>
      <c r="CW13" s="35" t="n">
        <f aca="false">CV13+1</f>
        <v>90</v>
      </c>
      <c r="CX13" s="35" t="n">
        <f aca="false">CW13+1</f>
        <v>91</v>
      </c>
      <c r="CY13" s="35" t="n">
        <f aca="false">CX13+1</f>
        <v>92</v>
      </c>
      <c r="CZ13" s="35" t="n">
        <f aca="false">CY13+1</f>
        <v>93</v>
      </c>
      <c r="DA13" s="35" t="n">
        <f aca="false">CZ13+1</f>
        <v>94</v>
      </c>
      <c r="DB13" s="35" t="n">
        <f aca="false">DA13+1</f>
        <v>95</v>
      </c>
      <c r="DC13" s="35" t="n">
        <f aca="false">DB13+1</f>
        <v>96</v>
      </c>
      <c r="DD13" s="35" t="n">
        <f aca="false">DC13+1</f>
        <v>97</v>
      </c>
      <c r="DE13" s="35" t="n">
        <f aca="false">DD13+1</f>
        <v>98</v>
      </c>
      <c r="DF13" s="35" t="n">
        <f aca="false">DE13+1</f>
        <v>99</v>
      </c>
      <c r="DG13" s="35" t="n">
        <f aca="false">DF13+1</f>
        <v>100</v>
      </c>
      <c r="DH13" s="35" t="n">
        <f aca="false">DG13+1</f>
        <v>101</v>
      </c>
      <c r="DI13" s="35" t="n">
        <f aca="false">DH13+1</f>
        <v>102</v>
      </c>
      <c r="DJ13" s="35" t="n">
        <f aca="false">DI13+1</f>
        <v>103</v>
      </c>
      <c r="DK13" s="35" t="n">
        <f aca="false">DJ13+1</f>
        <v>104</v>
      </c>
      <c r="DL13" s="35" t="n">
        <f aca="false">DK13+1</f>
        <v>105</v>
      </c>
      <c r="DM13" s="35" t="n">
        <f aca="false">DL13+1</f>
        <v>106</v>
      </c>
      <c r="DN13" s="35" t="n">
        <f aca="false">DM13+1</f>
        <v>107</v>
      </c>
      <c r="DO13" s="35" t="n">
        <f aca="false">DN13+1</f>
        <v>108</v>
      </c>
      <c r="DP13" s="35" t="n">
        <f aca="false">DO13+1</f>
        <v>109</v>
      </c>
      <c r="DQ13" s="35" t="n">
        <f aca="false">DP13+1</f>
        <v>110</v>
      </c>
      <c r="DR13" s="35" t="n">
        <f aca="false">DQ13+1</f>
        <v>111</v>
      </c>
      <c r="DS13" s="35" t="n">
        <f aca="false">DR13+1</f>
        <v>112</v>
      </c>
      <c r="DT13" s="35" t="n">
        <f aca="false">DS13+1</f>
        <v>113</v>
      </c>
      <c r="DU13" s="35" t="n">
        <f aca="false">DT13+1</f>
        <v>114</v>
      </c>
      <c r="DV13" s="35" t="n">
        <f aca="false">DU13+1</f>
        <v>115</v>
      </c>
      <c r="DW13" s="35" t="n">
        <f aca="false">DV13+1</f>
        <v>116</v>
      </c>
      <c r="DX13" s="35" t="n">
        <f aca="false">DW13+1</f>
        <v>117</v>
      </c>
      <c r="DY13" s="35" t="n">
        <f aca="false">DX13+1</f>
        <v>118</v>
      </c>
      <c r="DZ13" s="35" t="n">
        <f aca="false">DY13+1</f>
        <v>119</v>
      </c>
      <c r="EA13" s="35" t="n">
        <f aca="false">DZ13+1</f>
        <v>120</v>
      </c>
      <c r="EB13" s="35" t="n">
        <f aca="false">EA13+1</f>
        <v>121</v>
      </c>
      <c r="EC13" s="35" t="n">
        <f aca="false">EB13+1</f>
        <v>122</v>
      </c>
      <c r="ED13" s="35" t="n">
        <f aca="false">EC13+1</f>
        <v>123</v>
      </c>
      <c r="EE13" s="35" t="n">
        <f aca="false">ED13+1</f>
        <v>124</v>
      </c>
      <c r="EF13" s="35" t="n">
        <f aca="false">EE13+1</f>
        <v>125</v>
      </c>
      <c r="EG13" s="35" t="n">
        <f aca="false">EF13+1</f>
        <v>126</v>
      </c>
      <c r="EH13" s="35" t="n">
        <f aca="false">EG13+1</f>
        <v>127</v>
      </c>
      <c r="EI13" s="35" t="n">
        <f aca="false">EH13+1</f>
        <v>128</v>
      </c>
      <c r="EJ13" s="35" t="n">
        <f aca="false">EI13+1</f>
        <v>129</v>
      </c>
      <c r="EK13" s="35" t="n">
        <f aca="false">EJ13+1</f>
        <v>130</v>
      </c>
      <c r="EL13" s="35" t="n">
        <f aca="false">EK13+1</f>
        <v>131</v>
      </c>
      <c r="EM13" s="35" t="n">
        <f aca="false">EL13+1</f>
        <v>132</v>
      </c>
      <c r="EN13" s="35" t="n">
        <f aca="false">EM13+1</f>
        <v>133</v>
      </c>
      <c r="EO13" s="35" t="n">
        <f aca="false">EN13+1</f>
        <v>134</v>
      </c>
      <c r="EP13" s="35" t="n">
        <f aca="false">EO13+1</f>
        <v>135</v>
      </c>
      <c r="EQ13" s="35" t="n">
        <f aca="false">EP13+1</f>
        <v>136</v>
      </c>
      <c r="ER13" s="35" t="n">
        <f aca="false">EQ13+1</f>
        <v>137</v>
      </c>
      <c r="ES13" s="35" t="n">
        <f aca="false">ER13+1</f>
        <v>138</v>
      </c>
      <c r="ET13" s="35" t="n">
        <f aca="false">ES13+1</f>
        <v>139</v>
      </c>
      <c r="EU13" s="35" t="n">
        <f aca="false">ET13+1</f>
        <v>140</v>
      </c>
      <c r="EV13" s="35" t="n">
        <f aca="false">EU13+1</f>
        <v>141</v>
      </c>
      <c r="EW13" s="35" t="n">
        <f aca="false">EV13+1</f>
        <v>142</v>
      </c>
      <c r="EX13" s="35" t="n">
        <f aca="false">EW13+1</f>
        <v>143</v>
      </c>
      <c r="EY13" s="35" t="n">
        <f aca="false">EX13+1</f>
        <v>144</v>
      </c>
      <c r="EZ13" s="35" t="n">
        <f aca="false">EY13+1</f>
        <v>145</v>
      </c>
      <c r="FA13" s="35" t="n">
        <f aca="false">EZ13+1</f>
        <v>146</v>
      </c>
      <c r="FB13" s="35" t="n">
        <f aca="false">FA13+1</f>
        <v>147</v>
      </c>
      <c r="FC13" s="35" t="n">
        <f aca="false">FB13+1</f>
        <v>148</v>
      </c>
      <c r="FD13" s="35" t="n">
        <f aca="false">FC13+1</f>
        <v>149</v>
      </c>
      <c r="FE13" s="35" t="n">
        <f aca="false">FD13+1</f>
        <v>150</v>
      </c>
      <c r="FF13" s="35" t="n">
        <f aca="false">FE13+1</f>
        <v>151</v>
      </c>
      <c r="FG13" s="35" t="n">
        <f aca="false">FF13+1</f>
        <v>152</v>
      </c>
      <c r="FH13" s="35" t="n">
        <f aca="false">FG13+1</f>
        <v>153</v>
      </c>
      <c r="FI13" s="35" t="n">
        <f aca="false">FH13+1</f>
        <v>154</v>
      </c>
      <c r="FJ13" s="35" t="n">
        <f aca="false">FI13+1</f>
        <v>155</v>
      </c>
      <c r="FK13" s="35" t="n">
        <f aca="false">FJ13+1</f>
        <v>156</v>
      </c>
      <c r="FL13" s="35" t="n">
        <f aca="false">FK13+1</f>
        <v>157</v>
      </c>
      <c r="FM13" s="35" t="n">
        <f aca="false">FL13+1</f>
        <v>158</v>
      </c>
      <c r="FN13" s="35" t="n">
        <f aca="false">FM13+1</f>
        <v>159</v>
      </c>
      <c r="FO13" s="35" t="n">
        <f aca="false">FN13+1</f>
        <v>160</v>
      </c>
      <c r="FP13" s="35" t="n">
        <f aca="false">FO13+1</f>
        <v>161</v>
      </c>
      <c r="FQ13" s="35" t="n">
        <f aca="false">FP13+1</f>
        <v>162</v>
      </c>
      <c r="FR13" s="35" t="n">
        <f aca="false">FQ13+1</f>
        <v>163</v>
      </c>
      <c r="FS13" s="35" t="n">
        <f aca="false">FR13+1</f>
        <v>164</v>
      </c>
      <c r="FT13" s="35" t="n">
        <f aca="false">FS13+1</f>
        <v>165</v>
      </c>
      <c r="FU13" s="35" t="n">
        <f aca="false">FT13+1</f>
        <v>166</v>
      </c>
      <c r="FV13" s="35" t="n">
        <f aca="false">FU13+1</f>
        <v>167</v>
      </c>
      <c r="FW13" s="35" t="n">
        <f aca="false">FV13+1</f>
        <v>168</v>
      </c>
      <c r="FX13" s="35" t="n">
        <f aca="false">FW13+1</f>
        <v>169</v>
      </c>
      <c r="FY13" s="35" t="n">
        <f aca="false">FX13+1</f>
        <v>170</v>
      </c>
      <c r="FZ13" s="35" t="n">
        <f aca="false">FY13+1</f>
        <v>171</v>
      </c>
      <c r="GA13" s="35" t="n">
        <f aca="false">FZ13+1</f>
        <v>172</v>
      </c>
      <c r="GB13" s="35" t="n">
        <f aca="false">GA13+1</f>
        <v>173</v>
      </c>
      <c r="GC13" s="35" t="n">
        <f aca="false">GB13+1</f>
        <v>174</v>
      </c>
      <c r="GD13" s="35" t="n">
        <f aca="false">GC13+1</f>
        <v>175</v>
      </c>
      <c r="GE13" s="35" t="n">
        <f aca="false">GD13+1</f>
        <v>176</v>
      </c>
      <c r="GF13" s="35" t="n">
        <f aca="false">GE13+1</f>
        <v>177</v>
      </c>
      <c r="GG13" s="35" t="n">
        <f aca="false">GF13+1</f>
        <v>178</v>
      </c>
      <c r="GH13" s="35" t="n">
        <f aca="false">GG13+1</f>
        <v>179</v>
      </c>
      <c r="GI13" s="35" t="n">
        <f aca="false">GH13+1</f>
        <v>180</v>
      </c>
      <c r="GJ13" s="35" t="n">
        <f aca="false">GI13+1</f>
        <v>181</v>
      </c>
      <c r="GK13" s="35" t="n">
        <f aca="false">GJ13+1</f>
        <v>182</v>
      </c>
      <c r="GL13" s="35" t="n">
        <f aca="false">GK13+1</f>
        <v>183</v>
      </c>
      <c r="GM13" s="35" t="n">
        <f aca="false">GL13+1</f>
        <v>184</v>
      </c>
      <c r="GN13" s="35" t="n">
        <f aca="false">GM13+1</f>
        <v>185</v>
      </c>
      <c r="GO13" s="35" t="n">
        <f aca="false">GN13+1</f>
        <v>186</v>
      </c>
      <c r="GP13" s="35" t="n">
        <f aca="false">GO13+1</f>
        <v>187</v>
      </c>
      <c r="GQ13" s="35" t="n">
        <f aca="false">GP13+1</f>
        <v>188</v>
      </c>
      <c r="GR13" s="35" t="n">
        <f aca="false">GQ13+1</f>
        <v>189</v>
      </c>
      <c r="GS13" s="35" t="n">
        <f aca="false">GR13+1</f>
        <v>190</v>
      </c>
      <c r="GT13" s="35" t="n">
        <f aca="false">GS13+1</f>
        <v>191</v>
      </c>
      <c r="GU13" s="35" t="n">
        <f aca="false">GT13+1</f>
        <v>192</v>
      </c>
      <c r="GV13" s="35" t="n">
        <f aca="false">GU13+1</f>
        <v>193</v>
      </c>
      <c r="GW13" s="35" t="n">
        <f aca="false">GV13+1</f>
        <v>194</v>
      </c>
      <c r="GX13" s="35" t="n">
        <f aca="false">GW13+1</f>
        <v>195</v>
      </c>
      <c r="GY13" s="35" t="n">
        <f aca="false">GX13+1</f>
        <v>196</v>
      </c>
      <c r="GZ13" s="35" t="n">
        <f aca="false">GY13+1</f>
        <v>197</v>
      </c>
      <c r="HA13" s="35" t="n">
        <f aca="false">GZ13+1</f>
        <v>198</v>
      </c>
      <c r="HB13" s="35" t="n">
        <f aca="false">HA13+1</f>
        <v>199</v>
      </c>
      <c r="HC13" s="35" t="n">
        <f aca="false">HB13+1</f>
        <v>200</v>
      </c>
      <c r="HD13" s="35" t="n">
        <f aca="false">HC13+1</f>
        <v>201</v>
      </c>
      <c r="HE13" s="35" t="n">
        <f aca="false">HD13+1</f>
        <v>202</v>
      </c>
      <c r="HF13" s="35" t="n">
        <f aca="false">HE13+1</f>
        <v>203</v>
      </c>
      <c r="HG13" s="35" t="n">
        <f aca="false">HF13+1</f>
        <v>204</v>
      </c>
      <c r="HH13" s="35" t="n">
        <f aca="false">HG13+1</f>
        <v>205</v>
      </c>
      <c r="HI13" s="35" t="n">
        <f aca="false">HH13+1</f>
        <v>206</v>
      </c>
      <c r="HJ13" s="35" t="n">
        <f aca="false">HI13+1</f>
        <v>207</v>
      </c>
      <c r="HK13" s="35" t="n">
        <f aca="false">HJ13+1</f>
        <v>208</v>
      </c>
      <c r="HL13" s="35" t="n">
        <f aca="false">HK13+1</f>
        <v>209</v>
      </c>
      <c r="HM13" s="35" t="n">
        <f aca="false">HL13+1</f>
        <v>210</v>
      </c>
      <c r="HN13" s="35" t="n">
        <f aca="false">HM13+1</f>
        <v>211</v>
      </c>
      <c r="HO13" s="35" t="n">
        <f aca="false">HN13+1</f>
        <v>212</v>
      </c>
      <c r="HP13" s="35" t="n">
        <f aca="false">HO13+1</f>
        <v>213</v>
      </c>
      <c r="HQ13" s="35" t="n">
        <f aca="false">HP13+1</f>
        <v>214</v>
      </c>
      <c r="HR13" s="35" t="n">
        <f aca="false">HQ13+1</f>
        <v>215</v>
      </c>
      <c r="HS13" s="35" t="n">
        <f aca="false">HR13+1</f>
        <v>216</v>
      </c>
      <c r="HT13" s="35" t="n">
        <f aca="false">HS13+1</f>
        <v>217</v>
      </c>
      <c r="HU13" s="35" t="n">
        <f aca="false">HT13+1</f>
        <v>218</v>
      </c>
      <c r="HV13" s="35" t="n">
        <f aca="false">HU13+1</f>
        <v>219</v>
      </c>
      <c r="HW13" s="35" t="n">
        <f aca="false">HV13+1</f>
        <v>220</v>
      </c>
      <c r="HX13" s="35" t="n">
        <f aca="false">HW13+1</f>
        <v>221</v>
      </c>
      <c r="HY13" s="35" t="n">
        <f aca="false">HX13+1</f>
        <v>222</v>
      </c>
      <c r="HZ13" s="35" t="n">
        <f aca="false">HY13+1</f>
        <v>223</v>
      </c>
      <c r="IA13" s="35" t="n">
        <f aca="false">HZ13+1</f>
        <v>224</v>
      </c>
      <c r="IB13" s="35" t="n">
        <f aca="false">IA13+1</f>
        <v>225</v>
      </c>
      <c r="IC13" s="35" t="n">
        <f aca="false">IB13+1</f>
        <v>226</v>
      </c>
      <c r="ID13" s="35" t="n">
        <f aca="false">IC13+1</f>
        <v>227</v>
      </c>
      <c r="IE13" s="35" t="n">
        <f aca="false">ID13+1</f>
        <v>228</v>
      </c>
      <c r="IF13" s="35" t="n">
        <f aca="false">IE13+1</f>
        <v>229</v>
      </c>
      <c r="IG13" s="35" t="n">
        <f aca="false">IF13+1</f>
        <v>230</v>
      </c>
      <c r="IH13" s="35" t="n">
        <f aca="false">IG13+1</f>
        <v>231</v>
      </c>
      <c r="II13" s="35" t="n">
        <f aca="false">IH13+1</f>
        <v>232</v>
      </c>
      <c r="IJ13" s="35" t="n">
        <f aca="false">II13+1</f>
        <v>233</v>
      </c>
      <c r="IK13" s="35" t="n">
        <f aca="false">IJ13+1</f>
        <v>234</v>
      </c>
      <c r="IL13" s="35" t="n">
        <f aca="false">IK13+1</f>
        <v>235</v>
      </c>
      <c r="IM13" s="35" t="n">
        <f aca="false">IL13+1</f>
        <v>236</v>
      </c>
      <c r="IN13" s="35" t="n">
        <f aca="false">IM13+1</f>
        <v>237</v>
      </c>
      <c r="IO13" s="35" t="n">
        <f aca="false">IN13+1</f>
        <v>238</v>
      </c>
      <c r="IP13" s="35" t="n">
        <f aca="false">IO13+1</f>
        <v>239</v>
      </c>
      <c r="IQ13" s="35" t="n">
        <f aca="false">IP13+1</f>
        <v>240</v>
      </c>
      <c r="IR13" s="35" t="n">
        <f aca="false">IQ13+1</f>
        <v>241</v>
      </c>
      <c r="IS13" s="35" t="n">
        <f aca="false">IR13+1</f>
        <v>242</v>
      </c>
      <c r="IT13" s="35" t="n">
        <f aca="false">IS13+1</f>
        <v>243</v>
      </c>
      <c r="IU13" s="35" t="n">
        <f aca="false">IT13+1</f>
        <v>244</v>
      </c>
      <c r="IV13" s="35" t="n">
        <f aca="false">IU13+1</f>
        <v>245</v>
      </c>
      <c r="IW13" s="35" t="n">
        <f aca="false">IV13+1</f>
        <v>246</v>
      </c>
      <c r="IX13" s="35" t="n">
        <f aca="false">IW13+1</f>
        <v>247</v>
      </c>
      <c r="IY13" s="35" t="n">
        <f aca="false">IX13+1</f>
        <v>248</v>
      </c>
      <c r="IZ13" s="35" t="n">
        <f aca="false">IY13+1</f>
        <v>249</v>
      </c>
      <c r="JA13" s="35" t="n">
        <f aca="false">IZ13+1</f>
        <v>250</v>
      </c>
      <c r="JB13" s="35" t="n">
        <f aca="false">JA13+1</f>
        <v>251</v>
      </c>
      <c r="JC13" s="35" t="n">
        <f aca="false">JB13+1</f>
        <v>252</v>
      </c>
      <c r="JD13" s="35" t="n">
        <f aca="false">JC13+1</f>
        <v>253</v>
      </c>
      <c r="JE13" s="35" t="n">
        <f aca="false">JD13+1</f>
        <v>254</v>
      </c>
      <c r="JF13" s="35" t="n">
        <f aca="false">JE13+1</f>
        <v>255</v>
      </c>
      <c r="JG13" s="35" t="n">
        <f aca="false">JF13+1</f>
        <v>256</v>
      </c>
      <c r="JH13" s="35" t="n">
        <f aca="false">JG13+1</f>
        <v>257</v>
      </c>
      <c r="JI13" s="35" t="n">
        <f aca="false">JH13+1</f>
        <v>258</v>
      </c>
      <c r="JJ13" s="35" t="n">
        <f aca="false">JI13+1</f>
        <v>259</v>
      </c>
      <c r="JK13" s="35" t="n">
        <f aca="false">JJ13+1</f>
        <v>260</v>
      </c>
      <c r="JL13" s="35" t="n">
        <f aca="false">JK13+1</f>
        <v>261</v>
      </c>
      <c r="JM13" s="35" t="n">
        <f aca="false">JL13+1</f>
        <v>262</v>
      </c>
      <c r="JN13" s="35" t="n">
        <f aca="false">JM13+1</f>
        <v>263</v>
      </c>
      <c r="JO13" s="35" t="n">
        <f aca="false">JN13+1</f>
        <v>264</v>
      </c>
      <c r="JP13" s="35" t="n">
        <f aca="false">JO13+1</f>
        <v>265</v>
      </c>
      <c r="JQ13" s="35" t="n">
        <f aca="false">JP13+1</f>
        <v>266</v>
      </c>
      <c r="JR13" s="35" t="n">
        <f aca="false">JQ13+1</f>
        <v>267</v>
      </c>
      <c r="JS13" s="35" t="n">
        <f aca="false">JR13+1</f>
        <v>268</v>
      </c>
      <c r="JT13" s="35" t="n">
        <f aca="false">JS13+1</f>
        <v>269</v>
      </c>
      <c r="JU13" s="35" t="n">
        <f aca="false">JT13+1</f>
        <v>270</v>
      </c>
      <c r="JV13" s="35" t="n">
        <f aca="false">JU13+1</f>
        <v>271</v>
      </c>
      <c r="JW13" s="35" t="n">
        <f aca="false">JV13+1</f>
        <v>272</v>
      </c>
      <c r="JX13" s="35" t="n">
        <f aca="false">JW13+1</f>
        <v>273</v>
      </c>
      <c r="JY13" s="35" t="n">
        <f aca="false">JX13+1</f>
        <v>274</v>
      </c>
      <c r="JZ13" s="35" t="n">
        <f aca="false">JY13+1</f>
        <v>275</v>
      </c>
      <c r="KA13" s="35" t="n">
        <f aca="false">JZ13+1</f>
        <v>276</v>
      </c>
      <c r="KB13" s="35" t="n">
        <f aca="false">KA13+1</f>
        <v>277</v>
      </c>
      <c r="KC13" s="35" t="n">
        <f aca="false">KB13+1</f>
        <v>278</v>
      </c>
      <c r="KD13" s="35" t="n">
        <f aca="false">KC13+1</f>
        <v>279</v>
      </c>
      <c r="KE13" s="35" t="n">
        <f aca="false">KD13+1</f>
        <v>280</v>
      </c>
      <c r="KF13" s="35" t="n">
        <f aca="false">KE13+1</f>
        <v>281</v>
      </c>
      <c r="KG13" s="35" t="n">
        <f aca="false">KF13+1</f>
        <v>282</v>
      </c>
      <c r="KH13" s="35" t="n">
        <f aca="false">KG13+1</f>
        <v>283</v>
      </c>
      <c r="KI13" s="35" t="n">
        <f aca="false">KH13+1</f>
        <v>284</v>
      </c>
      <c r="KJ13" s="35" t="n">
        <f aca="false">KI13+1</f>
        <v>285</v>
      </c>
      <c r="KK13" s="35" t="n">
        <f aca="false">KJ13+1</f>
        <v>286</v>
      </c>
      <c r="KL13" s="35" t="n">
        <f aca="false">KK13+1</f>
        <v>287</v>
      </c>
      <c r="KM13" s="35" t="n">
        <f aca="false">KL13+1</f>
        <v>288</v>
      </c>
      <c r="KN13" s="35" t="n">
        <f aca="false">KM13+1</f>
        <v>289</v>
      </c>
      <c r="KO13" s="35" t="n">
        <f aca="false">KN13+1</f>
        <v>290</v>
      </c>
      <c r="KP13" s="35" t="n">
        <f aca="false">KO13+1</f>
        <v>291</v>
      </c>
      <c r="KQ13" s="35" t="n">
        <f aca="false">KP13+1</f>
        <v>292</v>
      </c>
      <c r="KR13" s="35" t="n">
        <f aca="false">KQ13+1</f>
        <v>293</v>
      </c>
      <c r="KS13" s="35" t="n">
        <f aca="false">KR13+1</f>
        <v>294</v>
      </c>
      <c r="KT13" s="35" t="n">
        <f aca="false">KS13+1</f>
        <v>295</v>
      </c>
      <c r="KU13" s="35" t="n">
        <f aca="false">KT13+1</f>
        <v>296</v>
      </c>
      <c r="KV13" s="35" t="n">
        <f aca="false">KU13+1</f>
        <v>297</v>
      </c>
      <c r="KW13" s="35" t="n">
        <f aca="false">KV13+1</f>
        <v>298</v>
      </c>
      <c r="KX13" s="35" t="n">
        <f aca="false">KW13+1</f>
        <v>299</v>
      </c>
      <c r="KY13" s="35" t="n">
        <f aca="false">KX13+1</f>
        <v>300</v>
      </c>
      <c r="KZ13" s="35" t="n">
        <f aca="false">KY13+1</f>
        <v>301</v>
      </c>
      <c r="LA13" s="35" t="n">
        <f aca="false">KZ13+1</f>
        <v>302</v>
      </c>
      <c r="LB13" s="35" t="n">
        <f aca="false">LA13+1</f>
        <v>303</v>
      </c>
      <c r="LC13" s="35" t="n">
        <f aca="false">LB13+1</f>
        <v>304</v>
      </c>
      <c r="LD13" s="35" t="n">
        <f aca="false">LC13+1</f>
        <v>305</v>
      </c>
      <c r="LE13" s="35" t="n">
        <f aca="false">LD13+1</f>
        <v>306</v>
      </c>
      <c r="LF13" s="35" t="n">
        <f aca="false">LE13+1</f>
        <v>307</v>
      </c>
      <c r="LG13" s="35" t="n">
        <f aca="false">LF13+1</f>
        <v>308</v>
      </c>
      <c r="LH13" s="35" t="n">
        <f aca="false">LG13+1</f>
        <v>309</v>
      </c>
      <c r="LI13" s="35" t="n">
        <f aca="false">LH13+1</f>
        <v>310</v>
      </c>
      <c r="LJ13" s="35" t="n">
        <f aca="false">LI13+1</f>
        <v>311</v>
      </c>
      <c r="LK13" s="35" t="n">
        <f aca="false">LJ13+1</f>
        <v>312</v>
      </c>
      <c r="LL13" s="35" t="n">
        <f aca="false">LK13+1</f>
        <v>313</v>
      </c>
      <c r="LM13" s="35" t="n">
        <f aca="false">LL13+1</f>
        <v>314</v>
      </c>
      <c r="LN13" s="35" t="n">
        <f aca="false">LM13+1</f>
        <v>315</v>
      </c>
      <c r="LO13" s="35" t="n">
        <f aca="false">LN13+1</f>
        <v>316</v>
      </c>
      <c r="LP13" s="35" t="n">
        <f aca="false">LO13+1</f>
        <v>317</v>
      </c>
      <c r="LQ13" s="35" t="n">
        <f aca="false">LP13+1</f>
        <v>318</v>
      </c>
      <c r="LR13" s="35" t="n">
        <f aca="false">LQ13+1</f>
        <v>319</v>
      </c>
      <c r="LS13" s="35" t="n">
        <f aca="false">LR13+1</f>
        <v>320</v>
      </c>
      <c r="LT13" s="35" t="n">
        <f aca="false">LS13+1</f>
        <v>321</v>
      </c>
      <c r="LU13" s="35" t="n">
        <f aca="false">LT13+1</f>
        <v>322</v>
      </c>
      <c r="LV13" s="35" t="n">
        <f aca="false">LU13+1</f>
        <v>323</v>
      </c>
      <c r="LW13" s="35" t="n">
        <f aca="false">LV13+1</f>
        <v>324</v>
      </c>
      <c r="LX13" s="35" t="n">
        <f aca="false">LW13+1</f>
        <v>325</v>
      </c>
      <c r="LY13" s="35" t="n">
        <f aca="false">LX13+1</f>
        <v>326</v>
      </c>
      <c r="LZ13" s="35" t="n">
        <f aca="false">LY13+1</f>
        <v>327</v>
      </c>
      <c r="MA13" s="35" t="n">
        <f aca="false">LZ13+1</f>
        <v>328</v>
      </c>
      <c r="MB13" s="35" t="n">
        <f aca="false">MA13+1</f>
        <v>329</v>
      </c>
      <c r="MC13" s="35" t="n">
        <f aca="false">MB13+1</f>
        <v>330</v>
      </c>
      <c r="MD13" s="35" t="n">
        <f aca="false">MC13+1</f>
        <v>331</v>
      </c>
      <c r="ME13" s="35" t="n">
        <f aca="false">MD13+1</f>
        <v>332</v>
      </c>
      <c r="MF13" s="35" t="n">
        <f aca="false">ME13+1</f>
        <v>333</v>
      </c>
      <c r="MG13" s="35" t="n">
        <f aca="false">MF13+1</f>
        <v>334</v>
      </c>
      <c r="MH13" s="35" t="n">
        <f aca="false">MG13+1</f>
        <v>335</v>
      </c>
      <c r="MI13" s="35" t="n">
        <f aca="false">MH13+1</f>
        <v>336</v>
      </c>
      <c r="MJ13" s="35" t="n">
        <f aca="false">MI13+1</f>
        <v>337</v>
      </c>
      <c r="MK13" s="35" t="n">
        <f aca="false">MJ13+1</f>
        <v>338</v>
      </c>
      <c r="ML13" s="35" t="n">
        <f aca="false">MK13+1</f>
        <v>339</v>
      </c>
      <c r="MM13" s="35" t="n">
        <f aca="false">ML13+1</f>
        <v>340</v>
      </c>
      <c r="MN13" s="35" t="n">
        <f aca="false">MM13+1</f>
        <v>341</v>
      </c>
      <c r="MO13" s="35" t="n">
        <f aca="false">MN13+1</f>
        <v>342</v>
      </c>
      <c r="MP13" s="35" t="n">
        <f aca="false">MO13+1</f>
        <v>343</v>
      </c>
      <c r="MQ13" s="35" t="n">
        <f aca="false">MP13+1</f>
        <v>344</v>
      </c>
      <c r="MR13" s="35" t="n">
        <f aca="false">MQ13+1</f>
        <v>345</v>
      </c>
      <c r="MS13" s="35" t="n">
        <f aca="false">MR13+1</f>
        <v>346</v>
      </c>
      <c r="MT13" s="35" t="n">
        <f aca="false">MS13+1</f>
        <v>347</v>
      </c>
      <c r="MU13" s="35" t="n">
        <f aca="false">MT13+1</f>
        <v>348</v>
      </c>
      <c r="MV13" s="35" t="n">
        <f aca="false">MU13+1</f>
        <v>349</v>
      </c>
      <c r="MW13" s="35" t="n">
        <f aca="false">MV13+1</f>
        <v>350</v>
      </c>
      <c r="MX13" s="35" t="n">
        <f aca="false">MW13+1</f>
        <v>351</v>
      </c>
      <c r="MY13" s="35" t="n">
        <f aca="false">MX13+1</f>
        <v>352</v>
      </c>
      <c r="MZ13" s="35" t="n">
        <f aca="false">MY13+1</f>
        <v>353</v>
      </c>
      <c r="NA13" s="35" t="n">
        <f aca="false">MZ13+1</f>
        <v>354</v>
      </c>
      <c r="NB13" s="35" t="n">
        <f aca="false">NA13+1</f>
        <v>355</v>
      </c>
      <c r="NC13" s="35" t="n">
        <f aca="false">NB13+1</f>
        <v>356</v>
      </c>
      <c r="ND13" s="35" t="n">
        <f aca="false">NC13+1</f>
        <v>357</v>
      </c>
      <c r="NE13" s="35" t="n">
        <f aca="false">ND13+1</f>
        <v>358</v>
      </c>
      <c r="NF13" s="35" t="n">
        <f aca="false">NE13+1</f>
        <v>359</v>
      </c>
      <c r="NG13" s="35" t="n">
        <f aca="false">NF13+1</f>
        <v>360</v>
      </c>
      <c r="NH13" s="35" t="n">
        <f aca="false">NG13+1</f>
        <v>361</v>
      </c>
      <c r="NI13" s="35" t="n">
        <f aca="false">NH13+1</f>
        <v>362</v>
      </c>
      <c r="NJ13" s="35" t="n">
        <f aca="false">NI13+1</f>
        <v>363</v>
      </c>
      <c r="NK13" s="35" t="n">
        <f aca="false">NJ13+1</f>
        <v>364</v>
      </c>
      <c r="NL13" s="35" t="n">
        <f aca="false">NK13+1</f>
        <v>365</v>
      </c>
      <c r="NM13" s="35" t="n">
        <f aca="false">NL13+1</f>
        <v>366</v>
      </c>
      <c r="NN13" s="35" t="n">
        <f aca="false">NM13+1</f>
        <v>367</v>
      </c>
      <c r="NO13" s="35" t="n">
        <f aca="false">NN13+1</f>
        <v>368</v>
      </c>
      <c r="NP13" s="35" t="n">
        <f aca="false">NO13+1</f>
        <v>369</v>
      </c>
      <c r="NQ13" s="35" t="n">
        <f aca="false">NP13+1</f>
        <v>370</v>
      </c>
      <c r="NR13" s="35" t="n">
        <f aca="false">NQ13+1</f>
        <v>371</v>
      </c>
      <c r="NS13" s="35" t="n">
        <f aca="false">NR13+1</f>
        <v>372</v>
      </c>
      <c r="NT13" s="35" t="n">
        <f aca="false">NS13+1</f>
        <v>373</v>
      </c>
      <c r="NU13" s="35" t="n">
        <f aca="false">NT13+1</f>
        <v>374</v>
      </c>
      <c r="NV13" s="35" t="n">
        <f aca="false">NU13+1</f>
        <v>375</v>
      </c>
      <c r="NW13" s="35" t="n">
        <f aca="false">NV13+1</f>
        <v>376</v>
      </c>
      <c r="NX13" s="35" t="n">
        <f aca="false">NW13+1</f>
        <v>377</v>
      </c>
      <c r="NY13" s="35" t="n">
        <f aca="false">NX13+1</f>
        <v>378</v>
      </c>
      <c r="NZ13" s="35" t="n">
        <f aca="false">NY13+1</f>
        <v>379</v>
      </c>
      <c r="OA13" s="35" t="n">
        <f aca="false">NZ13+1</f>
        <v>380</v>
      </c>
      <c r="OB13" s="35" t="n">
        <f aca="false">OA13+1</f>
        <v>381</v>
      </c>
      <c r="OC13" s="35" t="n">
        <f aca="false">OB13+1</f>
        <v>382</v>
      </c>
      <c r="OD13" s="35" t="n">
        <f aca="false">OC13+1</f>
        <v>383</v>
      </c>
      <c r="OE13" s="35" t="n">
        <f aca="false">OD13+1</f>
        <v>384</v>
      </c>
      <c r="OF13" s="35" t="n">
        <f aca="false">OE13+1</f>
        <v>385</v>
      </c>
      <c r="OG13" s="35" t="n">
        <f aca="false">OF13+1</f>
        <v>386</v>
      </c>
      <c r="OH13" s="35" t="n">
        <f aca="false">OG13+1</f>
        <v>387</v>
      </c>
      <c r="OI13" s="35" t="n">
        <f aca="false">OH13+1</f>
        <v>388</v>
      </c>
      <c r="OJ13" s="35" t="n">
        <f aca="false">OI13+1</f>
        <v>389</v>
      </c>
      <c r="OK13" s="35" t="n">
        <f aca="false">OJ13+1</f>
        <v>390</v>
      </c>
      <c r="OL13" s="35" t="n">
        <f aca="false">OK13+1</f>
        <v>391</v>
      </c>
      <c r="OM13" s="35" t="n">
        <f aca="false">OL13+1</f>
        <v>392</v>
      </c>
      <c r="ON13" s="35" t="n">
        <f aca="false">OM13+1</f>
        <v>393</v>
      </c>
      <c r="OO13" s="35" t="n">
        <f aca="false">ON13+1</f>
        <v>394</v>
      </c>
      <c r="OP13" s="35" t="n">
        <f aca="false">OO13+1</f>
        <v>395</v>
      </c>
      <c r="OQ13" s="35" t="n">
        <f aca="false">OP13+1</f>
        <v>396</v>
      </c>
      <c r="OR13" s="35" t="n">
        <f aca="false">OQ13+1</f>
        <v>397</v>
      </c>
      <c r="OS13" s="35" t="n">
        <f aca="false">OR13+1</f>
        <v>398</v>
      </c>
      <c r="OT13" s="35" t="n">
        <f aca="false">OS13+1</f>
        <v>399</v>
      </c>
      <c r="OU13" s="35" t="n">
        <f aca="false">OT13+1</f>
        <v>400</v>
      </c>
      <c r="OV13" s="35" t="n">
        <f aca="false">OU13+1</f>
        <v>401</v>
      </c>
      <c r="OW13" s="35" t="n">
        <f aca="false">OV13+1</f>
        <v>402</v>
      </c>
      <c r="OX13" s="35" t="n">
        <f aca="false">OW13+1</f>
        <v>403</v>
      </c>
      <c r="OY13" s="35" t="n">
        <f aca="false">OX13+1</f>
        <v>404</v>
      </c>
      <c r="OZ13" s="35" t="n">
        <f aca="false">OY13+1</f>
        <v>405</v>
      </c>
      <c r="PA13" s="35" t="n">
        <f aca="false">OZ13+1</f>
        <v>406</v>
      </c>
      <c r="PB13" s="35" t="n">
        <f aca="false">PA13+1</f>
        <v>407</v>
      </c>
      <c r="PC13" s="35" t="n">
        <f aca="false">PB13+1</f>
        <v>408</v>
      </c>
      <c r="PD13" s="35" t="n">
        <f aca="false">PC13+1</f>
        <v>409</v>
      </c>
      <c r="PE13" s="35" t="n">
        <f aca="false">PD13+1</f>
        <v>410</v>
      </c>
      <c r="PF13" s="35" t="n">
        <f aca="false">PE13+1</f>
        <v>411</v>
      </c>
      <c r="PG13" s="35" t="n">
        <f aca="false">PF13+1</f>
        <v>412</v>
      </c>
      <c r="PH13" s="35" t="n">
        <f aca="false">PG13+1</f>
        <v>413</v>
      </c>
      <c r="PI13" s="35" t="n">
        <f aca="false">PH13+1</f>
        <v>414</v>
      </c>
      <c r="PJ13" s="35" t="n">
        <f aca="false">PI13+1</f>
        <v>415</v>
      </c>
      <c r="PK13" s="35" t="n">
        <f aca="false">PJ13+1</f>
        <v>416</v>
      </c>
      <c r="PL13" s="35" t="n">
        <f aca="false">PK13+1</f>
        <v>417</v>
      </c>
      <c r="PM13" s="35" t="n">
        <f aca="false">PL13+1</f>
        <v>418</v>
      </c>
      <c r="PN13" s="35" t="n">
        <f aca="false">PM13+1</f>
        <v>419</v>
      </c>
      <c r="PO13" s="35" t="n">
        <f aca="false">PN13+1</f>
        <v>420</v>
      </c>
      <c r="PP13" s="35" t="n">
        <f aca="false">PO13+1</f>
        <v>421</v>
      </c>
      <c r="PQ13" s="35" t="n">
        <f aca="false">PP13+1</f>
        <v>422</v>
      </c>
      <c r="PR13" s="35" t="n">
        <f aca="false">PQ13+1</f>
        <v>423</v>
      </c>
      <c r="PS13" s="35" t="n">
        <f aca="false">PR13+1</f>
        <v>424</v>
      </c>
      <c r="PT13" s="35" t="n">
        <f aca="false">PS13+1</f>
        <v>425</v>
      </c>
      <c r="PU13" s="35" t="n">
        <f aca="false">PT13+1</f>
        <v>426</v>
      </c>
      <c r="PV13" s="35" t="n">
        <f aca="false">PU13+1</f>
        <v>427</v>
      </c>
      <c r="PW13" s="35" t="n">
        <f aca="false">PV13+1</f>
        <v>428</v>
      </c>
      <c r="PX13" s="35" t="n">
        <f aca="false">PW13+1</f>
        <v>429</v>
      </c>
      <c r="PY13" s="35" t="n">
        <f aca="false">PX13+1</f>
        <v>430</v>
      </c>
      <c r="PZ13" s="35" t="n">
        <f aca="false">PY13+1</f>
        <v>431</v>
      </c>
      <c r="QA13" s="35" t="n">
        <f aca="false">PZ13+1</f>
        <v>432</v>
      </c>
      <c r="QB13" s="35" t="n">
        <f aca="false">QA13+1</f>
        <v>433</v>
      </c>
      <c r="QC13" s="35" t="n">
        <f aca="false">QB13+1</f>
        <v>434</v>
      </c>
      <c r="QD13" s="35" t="n">
        <f aca="false">QC13+1</f>
        <v>435</v>
      </c>
      <c r="QE13" s="35" t="n">
        <f aca="false">QD13+1</f>
        <v>436</v>
      </c>
      <c r="QF13" s="35" t="n">
        <f aca="false">QE13+1</f>
        <v>437</v>
      </c>
      <c r="QG13" s="35" t="n">
        <f aca="false">QF13+1</f>
        <v>438</v>
      </c>
      <c r="QH13" s="35" t="n">
        <f aca="false">QG13+1</f>
        <v>439</v>
      </c>
      <c r="QI13" s="35" t="n">
        <f aca="false">QH13+1</f>
        <v>440</v>
      </c>
      <c r="QJ13" s="35" t="n">
        <f aca="false">QI13+1</f>
        <v>441</v>
      </c>
      <c r="QK13" s="35" t="n">
        <f aca="false">QJ13+1</f>
        <v>442</v>
      </c>
      <c r="QL13" s="35" t="n">
        <f aca="false">QK13+1</f>
        <v>443</v>
      </c>
      <c r="QM13" s="35" t="n">
        <f aca="false">QL13+1</f>
        <v>444</v>
      </c>
      <c r="QN13" s="35" t="n">
        <f aca="false">QM13+1</f>
        <v>445</v>
      </c>
      <c r="QO13" s="35" t="n">
        <f aca="false">QN13+1</f>
        <v>446</v>
      </c>
      <c r="QP13" s="35" t="n">
        <f aca="false">QO13+1</f>
        <v>447</v>
      </c>
      <c r="QQ13" s="35" t="n">
        <f aca="false">QP13+1</f>
        <v>448</v>
      </c>
      <c r="QR13" s="35" t="n">
        <f aca="false">QQ13+1</f>
        <v>449</v>
      </c>
      <c r="QS13" s="35" t="n">
        <f aca="false">QR13+1</f>
        <v>450</v>
      </c>
      <c r="QT13" s="35" t="n">
        <f aca="false">QS13+1</f>
        <v>451</v>
      </c>
      <c r="QU13" s="35" t="n">
        <f aca="false">QT13+1</f>
        <v>452</v>
      </c>
      <c r="QV13" s="35" t="n">
        <f aca="false">QU13+1</f>
        <v>453</v>
      </c>
      <c r="QW13" s="35" t="n">
        <f aca="false">QV13+1</f>
        <v>454</v>
      </c>
      <c r="QX13" s="35" t="n">
        <f aca="false">QW13+1</f>
        <v>455</v>
      </c>
      <c r="QY13" s="35" t="n">
        <f aca="false">QX13+1</f>
        <v>456</v>
      </c>
      <c r="QZ13" s="35" t="n">
        <f aca="false">QY13+1</f>
        <v>457</v>
      </c>
      <c r="RA13" s="35" t="n">
        <f aca="false">QZ13+1</f>
        <v>458</v>
      </c>
      <c r="RB13" s="35" t="n">
        <f aca="false">RA13+1</f>
        <v>459</v>
      </c>
      <c r="RC13" s="35" t="n">
        <f aca="false">RB13+1</f>
        <v>460</v>
      </c>
      <c r="RD13" s="35" t="n">
        <f aca="false">RC13+1</f>
        <v>461</v>
      </c>
      <c r="RE13" s="35" t="n">
        <f aca="false">RD13+1</f>
        <v>462</v>
      </c>
      <c r="RF13" s="35" t="n">
        <f aca="false">RE13+1</f>
        <v>463</v>
      </c>
      <c r="RG13" s="35" t="n">
        <f aca="false">RF13+1</f>
        <v>464</v>
      </c>
      <c r="RH13" s="35" t="n">
        <f aca="false">RG13+1</f>
        <v>465</v>
      </c>
      <c r="RI13" s="35" t="n">
        <f aca="false">RH13+1</f>
        <v>466</v>
      </c>
      <c r="RJ13" s="35" t="n">
        <f aca="false">RI13+1</f>
        <v>467</v>
      </c>
      <c r="RK13" s="35" t="n">
        <f aca="false">RJ13+1</f>
        <v>468</v>
      </c>
      <c r="RL13" s="35" t="n">
        <f aca="false">RK13+1</f>
        <v>469</v>
      </c>
      <c r="RM13" s="35" t="n">
        <f aca="false">RL13+1</f>
        <v>470</v>
      </c>
      <c r="RN13" s="35" t="n">
        <f aca="false">RM13+1</f>
        <v>471</v>
      </c>
      <c r="RO13" s="35" t="n">
        <f aca="false">RN13+1</f>
        <v>472</v>
      </c>
      <c r="RP13" s="35" t="n">
        <f aca="false">RO13+1</f>
        <v>473</v>
      </c>
      <c r="RQ13" s="35" t="n">
        <f aca="false">RP13+1</f>
        <v>474</v>
      </c>
      <c r="RR13" s="35" t="n">
        <f aca="false">RQ13+1</f>
        <v>475</v>
      </c>
      <c r="RS13" s="35" t="n">
        <f aca="false">RR13+1</f>
        <v>476</v>
      </c>
      <c r="RT13" s="35" t="n">
        <f aca="false">RS13+1</f>
        <v>477</v>
      </c>
      <c r="RU13" s="35" t="n">
        <f aca="false">RT13+1</f>
        <v>478</v>
      </c>
      <c r="RV13" s="35" t="n">
        <f aca="false">RU13+1</f>
        <v>479</v>
      </c>
      <c r="RW13" s="35" t="n">
        <f aca="false">RV13+1</f>
        <v>480</v>
      </c>
      <c r="RX13" s="35" t="n">
        <f aca="false">RW13+1</f>
        <v>481</v>
      </c>
      <c r="RY13" s="35" t="n">
        <f aca="false">RX13+1</f>
        <v>482</v>
      </c>
      <c r="RZ13" s="35" t="n">
        <f aca="false">RY13+1</f>
        <v>483</v>
      </c>
      <c r="SA13" s="35" t="n">
        <f aca="false">RZ13+1</f>
        <v>484</v>
      </c>
      <c r="SB13" s="35" t="n">
        <f aca="false">SA13+1</f>
        <v>485</v>
      </c>
      <c r="SC13" s="35" t="n">
        <f aca="false">SB13+1</f>
        <v>486</v>
      </c>
      <c r="SD13" s="35" t="n">
        <f aca="false">SC13+1</f>
        <v>487</v>
      </c>
      <c r="SE13" s="35" t="n">
        <f aca="false">SD13+1</f>
        <v>488</v>
      </c>
      <c r="SF13" s="35" t="n">
        <f aca="false">SE13+1</f>
        <v>489</v>
      </c>
      <c r="SG13" s="35" t="n">
        <f aca="false">SF13+1</f>
        <v>490</v>
      </c>
      <c r="SH13" s="35" t="n">
        <f aca="false">SG13+1</f>
        <v>491</v>
      </c>
      <c r="SI13" s="35" t="n">
        <f aca="false">SH13+1</f>
        <v>492</v>
      </c>
      <c r="SJ13" s="35" t="n">
        <f aca="false">SI13+1</f>
        <v>493</v>
      </c>
      <c r="SK13" s="35" t="n">
        <f aca="false">SJ13+1</f>
        <v>494</v>
      </c>
      <c r="SL13" s="35" t="n">
        <f aca="false">SK13+1</f>
        <v>495</v>
      </c>
      <c r="SM13" s="35" t="n">
        <f aca="false">SL13+1</f>
        <v>496</v>
      </c>
      <c r="SN13" s="35" t="n">
        <f aca="false">SM13+1</f>
        <v>497</v>
      </c>
      <c r="SO13" s="35" t="n">
        <f aca="false">SN13+1</f>
        <v>498</v>
      </c>
      <c r="SP13" s="35" t="n">
        <f aca="false">SO13+1</f>
        <v>499</v>
      </c>
      <c r="SQ13" s="35" t="n">
        <f aca="false">SP13+1</f>
        <v>500</v>
      </c>
      <c r="SR13" s="35" t="n">
        <f aca="false">SQ13+1</f>
        <v>501</v>
      </c>
      <c r="SS13" s="35" t="n">
        <f aca="false">SR13+1</f>
        <v>502</v>
      </c>
      <c r="ST13" s="35" t="n">
        <f aca="false">SS13+1</f>
        <v>503</v>
      </c>
      <c r="SU13" s="35" t="n">
        <f aca="false">ST13+1</f>
        <v>504</v>
      </c>
      <c r="SV13" s="35" t="n">
        <f aca="false">SU13+1</f>
        <v>505</v>
      </c>
      <c r="SW13" s="35" t="n">
        <f aca="false">SV13+1</f>
        <v>506</v>
      </c>
    </row>
    <row r="14" customFormat="false" ht="17.35" hidden="false" customHeight="false" outlineLevel="0" collapsed="false">
      <c r="C14" s="10"/>
      <c r="D14" s="36" t="s">
        <v>6</v>
      </c>
      <c r="E14" s="36"/>
      <c r="F14" s="36"/>
      <c r="G14" s="36"/>
      <c r="H14" s="36"/>
      <c r="I14" s="36"/>
      <c r="J14" s="36"/>
      <c r="K14" s="37"/>
      <c r="L14" s="38" t="str">
        <f aca="false">TEXT(L16,"MMM")</f>
        <v>Apr</v>
      </c>
      <c r="M14" s="39" t="str">
        <f aca="false">IFERROR(IF(MONTH(M16)=MONTH(L16),"",TEXT(M16,"MMM")),"")</f>
        <v/>
      </c>
      <c r="N14" s="39" t="str">
        <f aca="false">IFERROR(IF(MONTH(N16)=MONTH(M16),"",TEXT(N16,"MMM")),"")</f>
        <v/>
      </c>
      <c r="O14" s="39" t="str">
        <f aca="false">IFERROR(IF(MONTH(O16)=MONTH(N16),"",TEXT(O16,"MMM")),"")</f>
        <v/>
      </c>
      <c r="P14" s="39" t="str">
        <f aca="false">IFERROR(IF(MONTH(P16)=MONTH(O16),"",TEXT(P16,"MMM")),"")</f>
        <v/>
      </c>
      <c r="Q14" s="39" t="str">
        <f aca="false">IFERROR(IF(MONTH(Q16)=MONTH(P16),"",TEXT(Q16,"MMM")),"")</f>
        <v/>
      </c>
      <c r="R14" s="39" t="str">
        <f aca="false">IFERROR(IF(MONTH(R16)=MONTH(Q16),"",TEXT(R16,"MMM")),"")</f>
        <v/>
      </c>
      <c r="S14" s="39" t="str">
        <f aca="false">IFERROR(IF(MONTH(S16)=MONTH(R16),"",TEXT(S16,"MMM")),"")</f>
        <v>May</v>
      </c>
      <c r="T14" s="39" t="str">
        <f aca="false">IFERROR(IF(MONTH(T16)=MONTH(S16),"",TEXT(T16,"MMM")),"")</f>
        <v/>
      </c>
      <c r="U14" s="39" t="str">
        <f aca="false">IFERROR(IF(MONTH(U16)=MONTH(T16),"",TEXT(U16,"MMM")),"")</f>
        <v/>
      </c>
      <c r="V14" s="39" t="str">
        <f aca="false">IFERROR(IF(MONTH(V16)=MONTH(U16),"",TEXT(V16,"MMM")),"")</f>
        <v/>
      </c>
      <c r="W14" s="39" t="str">
        <f aca="false">IFERROR(IF(MONTH(W16)=MONTH(V16),"",TEXT(W16,"MMM")),"")</f>
        <v/>
      </c>
      <c r="X14" s="39" t="str">
        <f aca="false">IFERROR(IF(MONTH(X16)=MONTH(W16),"",TEXT(X16,"MMM")),"")</f>
        <v/>
      </c>
      <c r="Y14" s="39" t="str">
        <f aca="false">IFERROR(IF(MONTH(Y16)=MONTH(X16),"",TEXT(Y16,"MMM")),"")</f>
        <v/>
      </c>
      <c r="Z14" s="39" t="str">
        <f aca="false">IFERROR(IF(MONTH(Z16)=MONTH(Y16),"",TEXT(Z16,"MMM")),"")</f>
        <v/>
      </c>
      <c r="AA14" s="39" t="str">
        <f aca="false">IFERROR(IF(MONTH(AA16)=MONTH(Z16),"",TEXT(AA16,"MMM")),"")</f>
        <v/>
      </c>
      <c r="AB14" s="39" t="str">
        <f aca="false">IFERROR(IF(MONTH(AB16)=MONTH(AA16),"",TEXT(AB16,"MMM")),"")</f>
        <v/>
      </c>
      <c r="AC14" s="39" t="str">
        <f aca="false">IFERROR(IF(MONTH(AC16)=MONTH(AB16),"",TEXT(AC16,"MMM")),"")</f>
        <v/>
      </c>
      <c r="AD14" s="39" t="str">
        <f aca="false">IFERROR(IF(MONTH(AD16)=MONTH(AC16),"",TEXT(AD16,"MMM")),"")</f>
        <v/>
      </c>
      <c r="AE14" s="39" t="str">
        <f aca="false">IFERROR(IF(MONTH(AE16)=MONTH(AD16),"",TEXT(AE16,"MMM")),"")</f>
        <v/>
      </c>
      <c r="AF14" s="39" t="str">
        <f aca="false">IFERROR(IF(MONTH(AF16)=MONTH(AE16),"",TEXT(AF16,"MMM")),"")</f>
        <v/>
      </c>
      <c r="AG14" s="39" t="str">
        <f aca="false">IFERROR(IF(MONTH(AG16)=MONTH(AF16),"",TEXT(AG16,"MMM")),"")</f>
        <v/>
      </c>
      <c r="AH14" s="39" t="str">
        <f aca="false">IFERROR(IF(MONTH(AH16)=MONTH(AG16),"",TEXT(AH16,"MMM")),"")</f>
        <v/>
      </c>
      <c r="AI14" s="39" t="str">
        <f aca="false">IFERROR(IF(MONTH(AI16)=MONTH(AH16),"",TEXT(AI16,"MMM")),"")</f>
        <v/>
      </c>
      <c r="AJ14" s="39" t="str">
        <f aca="false">IFERROR(IF(MONTH(AJ16)=MONTH(AI16),"",TEXT(AJ16,"MMM")),"")</f>
        <v/>
      </c>
      <c r="AK14" s="39" t="str">
        <f aca="false">IFERROR(IF(MONTH(AK16)=MONTH(AJ16),"",TEXT(AK16,"MMM")),"")</f>
        <v/>
      </c>
      <c r="AL14" s="39" t="str">
        <f aca="false">IFERROR(IF(MONTH(AL16)=MONTH(AK16),"",TEXT(AL16,"MMM")),"")</f>
        <v/>
      </c>
      <c r="AM14" s="39" t="str">
        <f aca="false">IFERROR(IF(MONTH(AM16)=MONTH(AL16),"",TEXT(AM16,"MMM")),"")</f>
        <v/>
      </c>
      <c r="AN14" s="39" t="str">
        <f aca="false">IFERROR(IF(MONTH(AN16)=MONTH(AM16),"",TEXT(AN16,"MMM")),"")</f>
        <v/>
      </c>
      <c r="AO14" s="39" t="str">
        <f aca="false">IFERROR(IF(MONTH(AO16)=MONTH(AN16),"",TEXT(AO16,"MMM")),"")</f>
        <v/>
      </c>
      <c r="AP14" s="39" t="str">
        <f aca="false">IFERROR(IF(MONTH(AP16)=MONTH(AO16),"",TEXT(AP16,"MMM")),"")</f>
        <v/>
      </c>
      <c r="AQ14" s="38" t="str">
        <f aca="false">IFERROR(IF(MONTH(AQ16)=MONTH(AP16),"",TEXT(AQ16,"MMM")),"")</f>
        <v/>
      </c>
      <c r="AR14" s="40" t="str">
        <f aca="false">IFERROR(IF(MONTH(AR16)=MONTH(AQ16),"",TEXT(AR16,"MMM")),"")</f>
        <v/>
      </c>
      <c r="AS14" s="40" t="str">
        <f aca="false">IFERROR(IF(MONTH(AS16)=MONTH(AR16),"",TEXT(AS16,"MMM")),"")</f>
        <v/>
      </c>
      <c r="AT14" s="40" t="str">
        <f aca="false">IFERROR(IF(MONTH(AT16)=MONTH(AS16),"",TEXT(AT16,"MMM")),"")</f>
        <v/>
      </c>
      <c r="AU14" s="40" t="str">
        <f aca="false">IFERROR(IF(MONTH(AU16)=MONTH(AT16),"",TEXT(AU16,"MMM")),"")</f>
        <v/>
      </c>
      <c r="AV14" s="40" t="str">
        <f aca="false">IFERROR(IF(MONTH(AV16)=MONTH(AU16),"",TEXT(AV16,"MMM")),"")</f>
        <v/>
      </c>
      <c r="AW14" s="40" t="str">
        <f aca="false">IFERROR(IF(MONTH(AW16)=MONTH(AV16),"",TEXT(AW16,"MMM")),"")</f>
        <v/>
      </c>
      <c r="AX14" s="40" t="str">
        <f aca="false">IFERROR(IF(MONTH(AX16)=MONTH(AW16),"",TEXT(AX16,"MMM")),"")</f>
        <v>Jun</v>
      </c>
      <c r="AY14" s="40" t="str">
        <f aca="false">IFERROR(IF(MONTH(AY16)=MONTH(AX16),"",TEXT(AY16,"MMM")),"")</f>
        <v/>
      </c>
      <c r="AZ14" s="40" t="str">
        <f aca="false">IFERROR(IF(MONTH(AZ16)=MONTH(AY16),"",TEXT(AZ16,"MMM")),"")</f>
        <v/>
      </c>
      <c r="BA14" s="40" t="str">
        <f aca="false">IFERROR(IF(MONTH(BA16)=MONTH(AZ16),"",TEXT(BA16,"MMM")),"")</f>
        <v/>
      </c>
      <c r="BB14" s="40" t="str">
        <f aca="false">IFERROR(IF(MONTH(BB16)=MONTH(BA16),"",TEXT(BB16,"MMM")),"")</f>
        <v/>
      </c>
      <c r="BC14" s="40" t="str">
        <f aca="false">IFERROR(IF(MONTH(BC16)=MONTH(BB16),"",TEXT(BC16,"MMM")),"")</f>
        <v/>
      </c>
      <c r="BD14" s="40" t="str">
        <f aca="false">IFERROR(IF(MONTH(BD16)=MONTH(BC16),"",TEXT(BD16,"MMM")),"")</f>
        <v/>
      </c>
      <c r="BE14" s="40" t="str">
        <f aca="false">IFERROR(IF(MONTH(BE16)=MONTH(BD16),"",TEXT(BE16,"MMM")),"")</f>
        <v/>
      </c>
      <c r="BF14" s="40" t="str">
        <f aca="false">IFERROR(IF(MONTH(BF16)=MONTH(BE16),"",TEXT(BF16,"MMM")),"")</f>
        <v/>
      </c>
      <c r="BG14" s="40" t="str">
        <f aca="false">IFERROR(IF(MONTH(BG16)=MONTH(BF16),"",TEXT(BG16,"MMM")),"")</f>
        <v/>
      </c>
      <c r="BH14" s="40" t="str">
        <f aca="false">IFERROR(IF(MONTH(BH16)=MONTH(BG16),"",TEXT(BH16,"MMM")),"")</f>
        <v/>
      </c>
      <c r="BI14" s="40" t="str">
        <f aca="false">IFERROR(IF(MONTH(BI16)=MONTH(BH16),"",TEXT(BI16,"MMM")),"")</f>
        <v/>
      </c>
      <c r="BJ14" s="40" t="str">
        <f aca="false">IFERROR(IF(MONTH(BJ16)=MONTH(BI16),"",TEXT(BJ16,"MMM")),"")</f>
        <v/>
      </c>
      <c r="BK14" s="40" t="str">
        <f aca="false">IFERROR(IF(MONTH(BK16)=MONTH(BJ16),"",TEXT(BK16,"MMM")),"")</f>
        <v/>
      </c>
      <c r="BL14" s="40" t="str">
        <f aca="false">IFERROR(IF(MONTH(BL16)=MONTH(BK16),"",TEXT(BL16,"MMM")),"")</f>
        <v/>
      </c>
      <c r="BM14" s="40" t="str">
        <f aca="false">IFERROR(IF(MONTH(BM16)=MONTH(BL16),"",TEXT(BM16,"MMM")),"")</f>
        <v/>
      </c>
      <c r="BN14" s="40" t="str">
        <f aca="false">IFERROR(IF(MONTH(BN16)=MONTH(BM16),"",TEXT(BN16,"MMM")),"")</f>
        <v/>
      </c>
      <c r="BO14" s="40" t="str">
        <f aca="false">IFERROR(IF(MONTH(BO16)=MONTH(BN16),"",TEXT(BO16,"MMM")),"")</f>
        <v/>
      </c>
      <c r="BP14" s="40" t="str">
        <f aca="false">IFERROR(IF(MONTH(BP16)=MONTH(BO16),"",TEXT(BP16,"MMM")),"")</f>
        <v/>
      </c>
      <c r="BQ14" s="40" t="str">
        <f aca="false">IFERROR(IF(MONTH(BQ16)=MONTH(BP16),"",TEXT(BQ16,"MMM")),"")</f>
        <v/>
      </c>
      <c r="BR14" s="40" t="str">
        <f aca="false">IFERROR(IF(MONTH(BR16)=MONTH(BQ16),"",TEXT(BR16,"MMM")),"")</f>
        <v/>
      </c>
      <c r="BS14" s="40" t="str">
        <f aca="false">IFERROR(IF(MONTH(BS16)=MONTH(BR16),"",TEXT(BS16,"MMM")),"")</f>
        <v/>
      </c>
      <c r="BT14" s="40" t="str">
        <f aca="false">IFERROR(IF(MONTH(BT16)=MONTH(BS16),"",TEXT(BT16,"MMM")),"")</f>
        <v/>
      </c>
      <c r="BU14" s="40" t="str">
        <f aca="false">IFERROR(IF(MONTH(BU16)=MONTH(BT16),"",TEXT(BU16,"MMM")),"")</f>
        <v/>
      </c>
      <c r="BV14" s="40" t="str">
        <f aca="false">IFERROR(IF(MONTH(BV16)=MONTH(BU16),"",TEXT(BV16,"MMM")),"")</f>
        <v/>
      </c>
      <c r="BW14" s="40" t="str">
        <f aca="false">IFERROR(IF(MONTH(BW16)=MONTH(BV16),"",TEXT(BW16,"MMM")),"")</f>
        <v/>
      </c>
      <c r="BX14" s="40" t="str">
        <f aca="false">IFERROR(IF(MONTH(BX16)=MONTH(BW16),"",TEXT(BX16,"MMM")),"")</f>
        <v/>
      </c>
      <c r="BY14" s="40" t="str">
        <f aca="false">IFERROR(IF(MONTH(BY16)=MONTH(BX16),"",TEXT(BY16,"MMM")),"")</f>
        <v/>
      </c>
      <c r="BZ14" s="40" t="str">
        <f aca="false">IFERROR(IF(MONTH(BZ16)=MONTH(BY16),"",TEXT(BZ16,"MMM")),"")</f>
        <v/>
      </c>
      <c r="CA14" s="40" t="str">
        <f aca="false">IFERROR(IF(MONTH(CA16)=MONTH(BZ16),"",TEXT(CA16,"MMM")),"")</f>
        <v/>
      </c>
      <c r="CB14" s="40" t="str">
        <f aca="false">IFERROR(IF(MONTH(CB16)=MONTH(CA16),"",TEXT(CB16,"MMM")),"")</f>
        <v>Jul</v>
      </c>
      <c r="CC14" s="40" t="str">
        <f aca="false">IFERROR(IF(MONTH(CC16)=MONTH(CB16),"",TEXT(CC16,"MMM")),"")</f>
        <v/>
      </c>
      <c r="CD14" s="40" t="str">
        <f aca="false">IFERROR(IF(MONTH(CD16)=MONTH(CC16),"",TEXT(CD16,"MMM")),"")</f>
        <v/>
      </c>
      <c r="CE14" s="40" t="str">
        <f aca="false">IFERROR(IF(MONTH(CE16)=MONTH(CD16),"",TEXT(CE16,"MMM")),"")</f>
        <v/>
      </c>
      <c r="CF14" s="40" t="str">
        <f aca="false">IFERROR(IF(MONTH(CF16)=MONTH(CE16),"",TEXT(CF16,"MMM")),"")</f>
        <v/>
      </c>
      <c r="CG14" s="40" t="str">
        <f aca="false">IFERROR(IF(MONTH(CG16)=MONTH(CF16),"",TEXT(CG16,"MMM")),"")</f>
        <v/>
      </c>
      <c r="CH14" s="40" t="str">
        <f aca="false">IFERROR(IF(MONTH(CH16)=MONTH(CG16),"",TEXT(CH16,"MMM")),"")</f>
        <v/>
      </c>
      <c r="CI14" s="40" t="str">
        <f aca="false">IFERROR(IF(MONTH(CI16)=MONTH(CH16),"",TEXT(CI16,"MMM")),"")</f>
        <v/>
      </c>
      <c r="CJ14" s="40" t="str">
        <f aca="false">IFERROR(IF(MONTH(CJ16)=MONTH(CI16),"",TEXT(CJ16,"MMM")),"")</f>
        <v/>
      </c>
      <c r="CK14" s="40" t="str">
        <f aca="false">IFERROR(IF(MONTH(CK16)=MONTH(CJ16),"",TEXT(CK16,"MMM")),"")</f>
        <v/>
      </c>
      <c r="CL14" s="40" t="str">
        <f aca="false">IFERROR(IF(MONTH(CL16)=MONTH(CK16),"",TEXT(CL16,"MMM")),"")</f>
        <v/>
      </c>
      <c r="CM14" s="40" t="str">
        <f aca="false">IFERROR(IF(MONTH(CM16)=MONTH(CL16),"",TEXT(CM16,"MMM")),"")</f>
        <v/>
      </c>
      <c r="CN14" s="40" t="str">
        <f aca="false">IFERROR(IF(MONTH(CN16)=MONTH(CM16),"",TEXT(CN16,"MMM")),"")</f>
        <v/>
      </c>
      <c r="CO14" s="40" t="str">
        <f aca="false">IFERROR(IF(MONTH(CO16)=MONTH(CN16),"",TEXT(CO16,"MMM")),"")</f>
        <v/>
      </c>
      <c r="CP14" s="40" t="str">
        <f aca="false">IFERROR(IF(MONTH(CP16)=MONTH(CO16),"",TEXT(CP16,"MMM")),"")</f>
        <v/>
      </c>
      <c r="CQ14" s="40" t="str">
        <f aca="false">IFERROR(IF(MONTH(CQ16)=MONTH(CP16),"",TEXT(CQ16,"MMM")),"")</f>
        <v/>
      </c>
      <c r="CR14" s="40" t="str">
        <f aca="false">IFERROR(IF(MONTH(CR16)=MONTH(CQ16),"",TEXT(CR16,"MMM")),"")</f>
        <v/>
      </c>
      <c r="CS14" s="40" t="str">
        <f aca="false">IFERROR(IF(MONTH(CS16)=MONTH(CR16),"",TEXT(CS16,"MMM")),"")</f>
        <v/>
      </c>
      <c r="CT14" s="40" t="str">
        <f aca="false">IFERROR(IF(MONTH(CT16)=MONTH(CS16),"",TEXT(CT16,"MMM")),"")</f>
        <v/>
      </c>
      <c r="CU14" s="40" t="str">
        <f aca="false">IFERROR(IF(MONTH(CU16)=MONTH(CT16),"",TEXT(CU16,"MMM")),"")</f>
        <v/>
      </c>
      <c r="CV14" s="40" t="str">
        <f aca="false">IFERROR(IF(MONTH(CV16)=MONTH(CU16),"",TEXT(CV16,"MMM")),"")</f>
        <v/>
      </c>
      <c r="CW14" s="40" t="str">
        <f aca="false">IFERROR(IF(MONTH(CW16)=MONTH(CV16),"",TEXT(CW16,"MMM")),"")</f>
        <v/>
      </c>
      <c r="CX14" s="40" t="str">
        <f aca="false">IFERROR(IF(MONTH(CX16)=MONTH(CW16),"",TEXT(CX16,"MMM")),"")</f>
        <v/>
      </c>
      <c r="CY14" s="40" t="str">
        <f aca="false">IFERROR(IF(MONTH(CY16)=MONTH(CX16),"",TEXT(CY16,"MMM")),"")</f>
        <v/>
      </c>
      <c r="CZ14" s="40" t="str">
        <f aca="false">IFERROR(IF(MONTH(CZ16)=MONTH(CY16),"",TEXT(CZ16,"MMM")),"")</f>
        <v/>
      </c>
      <c r="DA14" s="40" t="str">
        <f aca="false">IFERROR(IF(MONTH(DA16)=MONTH(CZ16),"",TEXT(DA16,"MMM")),"")</f>
        <v/>
      </c>
      <c r="DB14" s="40" t="str">
        <f aca="false">IFERROR(IF(MONTH(DB16)=MONTH(DA16),"",TEXT(DB16,"MMM")),"")</f>
        <v/>
      </c>
      <c r="DC14" s="40" t="str">
        <f aca="false">IFERROR(IF(MONTH(DC16)=MONTH(DB16),"",TEXT(DC16,"MMM")),"")</f>
        <v/>
      </c>
      <c r="DD14" s="40" t="str">
        <f aca="false">IFERROR(IF(MONTH(DD16)=MONTH(DC16),"",TEXT(DD16,"MMM")),"")</f>
        <v/>
      </c>
      <c r="DE14" s="40" t="str">
        <f aca="false">IFERROR(IF(MONTH(DE16)=MONTH(DD16),"",TEXT(DE16,"MMM")),"")</f>
        <v/>
      </c>
      <c r="DF14" s="40" t="str">
        <f aca="false">IFERROR(IF(MONTH(DF16)=MONTH(DE16),"",TEXT(DF16,"MMM")),"")</f>
        <v/>
      </c>
      <c r="DG14" s="40" t="str">
        <f aca="false">IFERROR(IF(MONTH(DG16)=MONTH(DF16),"",TEXT(DG16,"MMM")),"")</f>
        <v/>
      </c>
      <c r="DH14" s="40" t="str">
        <f aca="false">IFERROR(IF(MONTH(DH16)=MONTH(DG16),"",TEXT(DH16,"MMM")),"")</f>
        <v/>
      </c>
      <c r="DI14" s="40" t="str">
        <f aca="false">IFERROR(IF(MONTH(DI16)=MONTH(DH16),"",TEXT(DI16,"MMM")),"")</f>
        <v/>
      </c>
      <c r="DJ14" s="40" t="str">
        <f aca="false">IFERROR(IF(MONTH(DJ16)=MONTH(DI16),"",TEXT(DJ16,"MMM")),"")</f>
        <v/>
      </c>
      <c r="DK14" s="40" t="str">
        <f aca="false">IFERROR(IF(MONTH(DK16)=MONTH(DJ16),"",TEXT(DK16,"MMM")),"")</f>
        <v/>
      </c>
      <c r="DL14" s="40" t="str">
        <f aca="false">IFERROR(IF(MONTH(DL16)=MONTH(DK16),"",TEXT(DL16,"MMM")),"")</f>
        <v/>
      </c>
      <c r="DM14" s="40" t="str">
        <f aca="false">IFERROR(IF(MONTH(DM16)=MONTH(DL16),"",TEXT(DM16,"MMM")),"")</f>
        <v/>
      </c>
      <c r="DN14" s="40" t="str">
        <f aca="false">IFERROR(IF(MONTH(DN16)=MONTH(DM16),"",TEXT(DN16,"MMM")),"")</f>
        <v/>
      </c>
      <c r="DO14" s="40" t="str">
        <f aca="false">IFERROR(IF(MONTH(DO16)=MONTH(DN16),"",TEXT(DO16,"MMM")),"")</f>
        <v/>
      </c>
      <c r="DP14" s="40" t="str">
        <f aca="false">IFERROR(IF(MONTH(DP16)=MONTH(DO16),"",TEXT(DP16,"MMM")),"")</f>
        <v/>
      </c>
      <c r="DQ14" s="40" t="str">
        <f aca="false">IFERROR(IF(MONTH(DQ16)=MONTH(DP16),"",TEXT(DQ16,"MMM")),"")</f>
        <v/>
      </c>
      <c r="DR14" s="40" t="str">
        <f aca="false">IFERROR(IF(MONTH(DR16)=MONTH(DQ16),"",TEXT(DR16,"MMM")),"")</f>
        <v/>
      </c>
      <c r="DS14" s="40" t="str">
        <f aca="false">IFERROR(IF(MONTH(DS16)=MONTH(DR16),"",TEXT(DS16,"MMM")),"")</f>
        <v/>
      </c>
      <c r="DT14" s="40" t="str">
        <f aca="false">IFERROR(IF(MONTH(DT16)=MONTH(DS16),"",TEXT(DT16,"MMM")),"")</f>
        <v/>
      </c>
      <c r="DU14" s="40" t="str">
        <f aca="false">IFERROR(IF(MONTH(DU16)=MONTH(DT16),"",TEXT(DU16,"MMM")),"")</f>
        <v/>
      </c>
      <c r="DV14" s="40" t="str">
        <f aca="false">IFERROR(IF(MONTH(DV16)=MONTH(DU16),"",TEXT(DV16,"MMM")),"")</f>
        <v/>
      </c>
      <c r="DW14" s="40" t="str">
        <f aca="false">IFERROR(IF(MONTH(DW16)=MONTH(DV16),"",TEXT(DW16,"MMM")),"")</f>
        <v/>
      </c>
      <c r="DX14" s="40" t="str">
        <f aca="false">IFERROR(IF(MONTH(DX16)=MONTH(DW16),"",TEXT(DX16,"MMM")),"")</f>
        <v/>
      </c>
      <c r="DY14" s="40" t="str">
        <f aca="false">IFERROR(IF(MONTH(DY16)=MONTH(DX16),"",TEXT(DY16,"MMM")),"")</f>
        <v/>
      </c>
      <c r="DZ14" s="40" t="str">
        <f aca="false">IFERROR(IF(MONTH(DZ16)=MONTH(DY16),"",TEXT(DZ16,"MMM")),"")</f>
        <v/>
      </c>
      <c r="EA14" s="40" t="str">
        <f aca="false">IFERROR(IF(MONTH(EA16)=MONTH(DZ16),"",TEXT(EA16,"MMM")),"")</f>
        <v/>
      </c>
      <c r="EB14" s="40" t="str">
        <f aca="false">IFERROR(IF(MONTH(EB16)=MONTH(EA16),"",TEXT(EB16,"MMM")),"")</f>
        <v/>
      </c>
      <c r="EC14" s="40" t="str">
        <f aca="false">IFERROR(IF(MONTH(EC16)=MONTH(EB16),"",TEXT(EC16,"MMM")),"")</f>
        <v/>
      </c>
      <c r="ED14" s="40" t="str">
        <f aca="false">IFERROR(IF(MONTH(ED16)=MONTH(EC16),"",TEXT(ED16,"MMM")),"")</f>
        <v/>
      </c>
      <c r="EE14" s="40" t="str">
        <f aca="false">IFERROR(IF(MONTH(EE16)=MONTH(ED16),"",TEXT(EE16,"MMM")),"")</f>
        <v/>
      </c>
      <c r="EF14" s="40" t="str">
        <f aca="false">IFERROR(IF(MONTH(EF16)=MONTH(EE16),"",TEXT(EF16,"MMM")),"")</f>
        <v/>
      </c>
      <c r="EG14" s="40" t="str">
        <f aca="false">IFERROR(IF(MONTH(EG16)=MONTH(EF16),"",TEXT(EG16,"MMM")),"")</f>
        <v/>
      </c>
      <c r="EH14" s="40" t="str">
        <f aca="false">IFERROR(IF(MONTH(EH16)=MONTH(EG16),"",TEXT(EH16,"MMM")),"")</f>
        <v/>
      </c>
      <c r="EI14" s="40" t="str">
        <f aca="false">IFERROR(IF(MONTH(EI16)=MONTH(EH16),"",TEXT(EI16,"MMM")),"")</f>
        <v/>
      </c>
      <c r="EJ14" s="40" t="str">
        <f aca="false">IFERROR(IF(MONTH(EJ16)=MONTH(EI16),"",TEXT(EJ16,"MMM")),"")</f>
        <v/>
      </c>
      <c r="EK14" s="40" t="str">
        <f aca="false">IFERROR(IF(MONTH(EK16)=MONTH(EJ16),"",TEXT(EK16,"MMM")),"")</f>
        <v/>
      </c>
      <c r="EL14" s="40" t="str">
        <f aca="false">IFERROR(IF(MONTH(EL16)=MONTH(EK16),"",TEXT(EL16,"MMM")),"")</f>
        <v/>
      </c>
      <c r="EM14" s="40" t="str">
        <f aca="false">IFERROR(IF(MONTH(EM16)=MONTH(EL16),"",TEXT(EM16,"MMM")),"")</f>
        <v/>
      </c>
      <c r="EN14" s="40" t="str">
        <f aca="false">IFERROR(IF(MONTH(EN16)=MONTH(EM16),"",TEXT(EN16,"MMM")),"")</f>
        <v/>
      </c>
      <c r="EO14" s="40" t="str">
        <f aca="false">IFERROR(IF(MONTH(EO16)=MONTH(EN16),"",TEXT(EO16,"MMM")),"")</f>
        <v/>
      </c>
      <c r="EP14" s="40" t="str">
        <f aca="false">IFERROR(IF(MONTH(EP16)=MONTH(EO16),"",TEXT(EP16,"MMM")),"")</f>
        <v/>
      </c>
      <c r="EQ14" s="40" t="str">
        <f aca="false">IFERROR(IF(MONTH(EQ16)=MONTH(EP16),"",TEXT(EQ16,"MMM")),"")</f>
        <v/>
      </c>
      <c r="ER14" s="40" t="str">
        <f aca="false">IFERROR(IF(MONTH(ER16)=MONTH(EQ16),"",TEXT(ER16,"MMM")),"")</f>
        <v/>
      </c>
      <c r="ES14" s="40" t="str">
        <f aca="false">IFERROR(IF(MONTH(ES16)=MONTH(ER16),"",TEXT(ES16,"MMM")),"")</f>
        <v/>
      </c>
      <c r="ET14" s="40" t="str">
        <f aca="false">IFERROR(IF(MONTH(ET16)=MONTH(ES16),"",TEXT(ET16,"MMM")),"")</f>
        <v/>
      </c>
      <c r="EU14" s="40" t="str">
        <f aca="false">IFERROR(IF(MONTH(EU16)=MONTH(ET16),"",TEXT(EU16,"MMM")),"")</f>
        <v/>
      </c>
      <c r="EV14" s="40" t="str">
        <f aca="false">IFERROR(IF(MONTH(EV16)=MONTH(EU16),"",TEXT(EV16,"MMM")),"")</f>
        <v/>
      </c>
      <c r="EW14" s="40" t="str">
        <f aca="false">IFERROR(IF(MONTH(EW16)=MONTH(EV16),"",TEXT(EW16,"MMM")),"")</f>
        <v/>
      </c>
      <c r="EX14" s="40" t="str">
        <f aca="false">IFERROR(IF(MONTH(EX16)=MONTH(EW16),"",TEXT(EX16,"MMM")),"")</f>
        <v/>
      </c>
      <c r="EY14" s="40" t="str">
        <f aca="false">IFERROR(IF(MONTH(EY16)=MONTH(EX16),"",TEXT(EY16,"MMM")),"")</f>
        <v/>
      </c>
      <c r="EZ14" s="40" t="str">
        <f aca="false">IFERROR(IF(MONTH(EZ16)=MONTH(EY16),"",TEXT(EZ16,"MMM")),"")</f>
        <v/>
      </c>
      <c r="FA14" s="40" t="str">
        <f aca="false">IFERROR(IF(MONTH(FA16)=MONTH(EZ16),"",TEXT(FA16,"MMM")),"")</f>
        <v/>
      </c>
      <c r="FB14" s="40" t="str">
        <f aca="false">IFERROR(IF(MONTH(FB16)=MONTH(FA16),"",TEXT(FB16,"MMM")),"")</f>
        <v/>
      </c>
      <c r="FC14" s="40" t="str">
        <f aca="false">IFERROR(IF(MONTH(FC16)=MONTH(FB16),"",TEXT(FC16,"MMM")),"")</f>
        <v/>
      </c>
      <c r="FD14" s="40" t="str">
        <f aca="false">IFERROR(IF(MONTH(FD16)=MONTH(FC16),"",TEXT(FD16,"MMM")),"")</f>
        <v/>
      </c>
      <c r="FE14" s="40" t="str">
        <f aca="false">IFERROR(IF(MONTH(FE16)=MONTH(FD16),"",TEXT(FE16,"MMM")),"")</f>
        <v/>
      </c>
      <c r="FF14" s="40" t="str">
        <f aca="false">IFERROR(IF(MONTH(FF16)=MONTH(FE16),"",TEXT(FF16,"MMM")),"")</f>
        <v/>
      </c>
      <c r="FG14" s="40" t="str">
        <f aca="false">IFERROR(IF(MONTH(FG16)=MONTH(FF16),"",TEXT(FG16,"MMM")),"")</f>
        <v/>
      </c>
      <c r="FH14" s="40" t="str">
        <f aca="false">IFERROR(IF(MONTH(FH16)=MONTH(FG16),"",TEXT(FH16,"MMM")),"")</f>
        <v/>
      </c>
      <c r="FI14" s="40" t="str">
        <f aca="false">IFERROR(IF(MONTH(FI16)=MONTH(FH16),"",TEXT(FI16,"MMM")),"")</f>
        <v/>
      </c>
      <c r="FJ14" s="40" t="str">
        <f aca="false">IFERROR(IF(MONTH(FJ16)=MONTH(FI16),"",TEXT(FJ16,"MMM")),"")</f>
        <v/>
      </c>
      <c r="FK14" s="40" t="str">
        <f aca="false">IFERROR(IF(MONTH(FK16)=MONTH(FJ16),"",TEXT(FK16,"MMM")),"")</f>
        <v/>
      </c>
      <c r="FL14" s="40" t="str">
        <f aca="false">IFERROR(IF(MONTH(FL16)=MONTH(FK16),"",TEXT(FL16,"MMM")),"")</f>
        <v/>
      </c>
      <c r="FM14" s="40" t="str">
        <f aca="false">IFERROR(IF(MONTH(FM16)=MONTH(FL16),"",TEXT(FM16,"MMM")),"")</f>
        <v/>
      </c>
      <c r="FN14" s="40" t="str">
        <f aca="false">IFERROR(IF(MONTH(FN16)=MONTH(FM16),"",TEXT(FN16,"MMM")),"")</f>
        <v/>
      </c>
      <c r="FO14" s="40" t="str">
        <f aca="false">IFERROR(IF(MONTH(FO16)=MONTH(FN16),"",TEXT(FO16,"MMM")),"")</f>
        <v/>
      </c>
      <c r="FP14" s="40" t="str">
        <f aca="false">IFERROR(IF(MONTH(FP16)=MONTH(FO16),"",TEXT(FP16,"MMM")),"")</f>
        <v/>
      </c>
      <c r="FQ14" s="40" t="str">
        <f aca="false">IFERROR(IF(MONTH(FQ16)=MONTH(FP16),"",TEXT(FQ16,"MMM")),"")</f>
        <v/>
      </c>
      <c r="FR14" s="40" t="str">
        <f aca="false">IFERROR(IF(MONTH(FR16)=MONTH(FQ16),"",TEXT(FR16,"MMM")),"")</f>
        <v/>
      </c>
      <c r="FS14" s="40" t="str">
        <f aca="false">IFERROR(IF(MONTH(FS16)=MONTH(FR16),"",TEXT(FS16,"MMM")),"")</f>
        <v/>
      </c>
      <c r="FT14" s="40" t="str">
        <f aca="false">IFERROR(IF(MONTH(FT16)=MONTH(FS16),"",TEXT(FT16,"MMM")),"")</f>
        <v/>
      </c>
      <c r="FU14" s="40" t="str">
        <f aca="false">IFERROR(IF(MONTH(FU16)=MONTH(FT16),"",TEXT(FU16,"MMM")),"")</f>
        <v/>
      </c>
      <c r="FV14" s="40" t="str">
        <f aca="false">IFERROR(IF(MONTH(FV16)=MONTH(FU16),"",TEXT(FV16,"MMM")),"")</f>
        <v/>
      </c>
      <c r="FW14" s="40" t="str">
        <f aca="false">IFERROR(IF(MONTH(FW16)=MONTH(FV16),"",TEXT(FW16,"MMM")),"")</f>
        <v/>
      </c>
      <c r="FX14" s="40" t="str">
        <f aca="false">IFERROR(IF(MONTH(FX16)=MONTH(FW16),"",TEXT(FX16,"MMM")),"")</f>
        <v/>
      </c>
      <c r="FY14" s="40" t="str">
        <f aca="false">IFERROR(IF(MONTH(FY16)=MONTH(FX16),"",TEXT(FY16,"MMM")),"")</f>
        <v/>
      </c>
      <c r="FZ14" s="40" t="str">
        <f aca="false">IFERROR(IF(MONTH(FZ16)=MONTH(FY16),"",TEXT(FZ16,"MMM")),"")</f>
        <v/>
      </c>
      <c r="GA14" s="40" t="str">
        <f aca="false">IFERROR(IF(MONTH(GA16)=MONTH(FZ16),"",TEXT(GA16,"MMM")),"")</f>
        <v/>
      </c>
      <c r="GB14" s="40" t="str">
        <f aca="false">IFERROR(IF(MONTH(GB16)=MONTH(GA16),"",TEXT(GB16,"MMM")),"")</f>
        <v/>
      </c>
      <c r="GC14" s="40" t="str">
        <f aca="false">IFERROR(IF(MONTH(GC16)=MONTH(GB16),"",TEXT(GC16,"MMM")),"")</f>
        <v/>
      </c>
      <c r="GD14" s="40" t="str">
        <f aca="false">IFERROR(IF(MONTH(GD16)=MONTH(GC16),"",TEXT(GD16,"MMM")),"")</f>
        <v/>
      </c>
      <c r="GE14" s="40" t="str">
        <f aca="false">IFERROR(IF(MONTH(GE16)=MONTH(GD16),"",TEXT(GE16,"MMM")),"")</f>
        <v/>
      </c>
      <c r="GF14" s="40" t="str">
        <f aca="false">IFERROR(IF(MONTH(GF16)=MONTH(GE16),"",TEXT(GF16,"MMM")),"")</f>
        <v/>
      </c>
      <c r="GG14" s="40" t="str">
        <f aca="false">IFERROR(IF(MONTH(GG16)=MONTH(GF16),"",TEXT(GG16,"MMM")),"")</f>
        <v/>
      </c>
      <c r="GH14" s="40" t="str">
        <f aca="false">IFERROR(IF(MONTH(GH16)=MONTH(GG16),"",TEXT(GH16,"MMM")),"")</f>
        <v/>
      </c>
      <c r="GI14" s="40" t="str">
        <f aca="false">IFERROR(IF(MONTH(GI16)=MONTH(GH16),"",TEXT(GI16,"MMM")),"")</f>
        <v/>
      </c>
      <c r="GJ14" s="40" t="str">
        <f aca="false">IFERROR(IF(MONTH(GJ16)=MONTH(GI16),"",TEXT(GJ16,"MMM")),"")</f>
        <v/>
      </c>
      <c r="GK14" s="40" t="str">
        <f aca="false">IFERROR(IF(MONTH(GK16)=MONTH(GJ16),"",TEXT(GK16,"MMM")),"")</f>
        <v/>
      </c>
      <c r="GL14" s="40" t="str">
        <f aca="false">IFERROR(IF(MONTH(GL16)=MONTH(GK16),"",TEXT(GL16,"MMM")),"")</f>
        <v/>
      </c>
      <c r="GM14" s="40" t="str">
        <f aca="false">IFERROR(IF(MONTH(GM16)=MONTH(GL16),"",TEXT(GM16,"MMM")),"")</f>
        <v/>
      </c>
      <c r="GN14" s="40" t="str">
        <f aca="false">IFERROR(IF(MONTH(GN16)=MONTH(GM16),"",TEXT(GN16,"MMM")),"")</f>
        <v/>
      </c>
      <c r="GO14" s="40" t="str">
        <f aca="false">IFERROR(IF(MONTH(GO16)=MONTH(GN16),"",TEXT(GO16,"MMM")),"")</f>
        <v/>
      </c>
      <c r="GP14" s="40" t="str">
        <f aca="false">IFERROR(IF(MONTH(GP16)=MONTH(GO16),"",TEXT(GP16,"MMM")),"")</f>
        <v/>
      </c>
      <c r="GQ14" s="40" t="str">
        <f aca="false">IFERROR(IF(MONTH(GQ16)=MONTH(GP16),"",TEXT(GQ16,"MMM")),"")</f>
        <v/>
      </c>
      <c r="GR14" s="40" t="str">
        <f aca="false">IFERROR(IF(MONTH(GR16)=MONTH(GQ16),"",TEXT(GR16,"MMM")),"")</f>
        <v/>
      </c>
      <c r="GS14" s="40" t="str">
        <f aca="false">IFERROR(IF(MONTH(GS16)=MONTH(GR16),"",TEXT(GS16,"MMM")),"")</f>
        <v/>
      </c>
      <c r="GT14" s="40" t="str">
        <f aca="false">IFERROR(IF(MONTH(GT16)=MONTH(GS16),"",TEXT(GT16,"MMM")),"")</f>
        <v/>
      </c>
      <c r="GU14" s="40" t="str">
        <f aca="false">IFERROR(IF(MONTH(GU16)=MONTH(GT16),"",TEXT(GU16,"MMM")),"")</f>
        <v/>
      </c>
      <c r="GV14" s="40" t="str">
        <f aca="false">IFERROR(IF(MONTH(GV16)=MONTH(GU16),"",TEXT(GV16,"MMM")),"")</f>
        <v/>
      </c>
      <c r="GW14" s="40" t="str">
        <f aca="false">IFERROR(IF(MONTH(GW16)=MONTH(GV16),"",TEXT(GW16,"MMM")),"")</f>
        <v/>
      </c>
      <c r="GX14" s="40" t="str">
        <f aca="false">IFERROR(IF(MONTH(GX16)=MONTH(GW16),"",TEXT(GX16,"MMM")),"")</f>
        <v/>
      </c>
      <c r="GY14" s="40" t="str">
        <f aca="false">IFERROR(IF(MONTH(GY16)=MONTH(GX16),"",TEXT(GY16,"MMM")),"")</f>
        <v/>
      </c>
      <c r="GZ14" s="40" t="str">
        <f aca="false">IFERROR(IF(MONTH(GZ16)=MONTH(GY16),"",TEXT(GZ16,"MMM")),"")</f>
        <v/>
      </c>
      <c r="HA14" s="40" t="str">
        <f aca="false">IFERROR(IF(MONTH(HA16)=MONTH(GZ16),"",TEXT(HA16,"MMM")),"")</f>
        <v/>
      </c>
      <c r="HB14" s="40" t="str">
        <f aca="false">IFERROR(IF(MONTH(HB16)=MONTH(HA16),"",TEXT(HB16,"MMM")),"")</f>
        <v/>
      </c>
      <c r="HC14" s="40" t="str">
        <f aca="false">IFERROR(IF(MONTH(HC16)=MONTH(HB16),"",TEXT(HC16,"MMM")),"")</f>
        <v/>
      </c>
      <c r="HD14" s="40" t="str">
        <f aca="false">IFERROR(IF(MONTH(HD16)=MONTH(HC16),"",TEXT(HD16,"MMM")),"")</f>
        <v/>
      </c>
      <c r="HE14" s="40" t="str">
        <f aca="false">IFERROR(IF(MONTH(HE16)=MONTH(HD16),"",TEXT(HE16,"MMM")),"")</f>
        <v/>
      </c>
      <c r="HF14" s="40" t="str">
        <f aca="false">IFERROR(IF(MONTH(HF16)=MONTH(HE16),"",TEXT(HF16,"MMM")),"")</f>
        <v/>
      </c>
      <c r="HG14" s="40" t="str">
        <f aca="false">IFERROR(IF(MONTH(HG16)=MONTH(HF16),"",TEXT(HG16,"MMM")),"")</f>
        <v/>
      </c>
      <c r="HH14" s="40" t="str">
        <f aca="false">IFERROR(IF(MONTH(HH16)=MONTH(HG16),"",TEXT(HH16,"MMM")),"")</f>
        <v/>
      </c>
      <c r="HI14" s="40" t="str">
        <f aca="false">IFERROR(IF(MONTH(HI16)=MONTH(HH16),"",TEXT(HI16,"MMM")),"")</f>
        <v/>
      </c>
      <c r="HJ14" s="40" t="str">
        <f aca="false">IFERROR(IF(MONTH(HJ16)=MONTH(HI16),"",TEXT(HJ16,"MMM")),"")</f>
        <v/>
      </c>
      <c r="HK14" s="40" t="str">
        <f aca="false">IFERROR(IF(MONTH(HK16)=MONTH(HJ16),"",TEXT(HK16,"MMM")),"")</f>
        <v/>
      </c>
      <c r="HL14" s="40" t="str">
        <f aca="false">IFERROR(IF(MONTH(HL16)=MONTH(HK16),"",TEXT(HL16,"MMM")),"")</f>
        <v/>
      </c>
      <c r="HM14" s="40" t="str">
        <f aca="false">IFERROR(IF(MONTH(HM16)=MONTH(HL16),"",TEXT(HM16,"MMM")),"")</f>
        <v/>
      </c>
      <c r="HN14" s="40" t="str">
        <f aca="false">IFERROR(IF(MONTH(HN16)=MONTH(HM16),"",TEXT(HN16,"MMM")),"")</f>
        <v/>
      </c>
      <c r="HO14" s="40" t="str">
        <f aca="false">IFERROR(IF(MONTH(HO16)=MONTH(HN16),"",TEXT(HO16,"MMM")),"")</f>
        <v/>
      </c>
      <c r="HP14" s="40" t="str">
        <f aca="false">IFERROR(IF(MONTH(HP16)=MONTH(HO16),"",TEXT(HP16,"MMM")),"")</f>
        <v/>
      </c>
      <c r="HQ14" s="40" t="str">
        <f aca="false">IFERROR(IF(MONTH(HQ16)=MONTH(HP16),"",TEXT(HQ16,"MMM")),"")</f>
        <v/>
      </c>
      <c r="HR14" s="40" t="str">
        <f aca="false">IFERROR(IF(MONTH(HR16)=MONTH(HQ16),"",TEXT(HR16,"MMM")),"")</f>
        <v/>
      </c>
      <c r="HS14" s="40" t="str">
        <f aca="false">IFERROR(IF(MONTH(HS16)=MONTH(HR16),"",TEXT(HS16,"MMM")),"")</f>
        <v/>
      </c>
      <c r="HT14" s="40" t="str">
        <f aca="false">IFERROR(IF(MONTH(HT16)=MONTH(HS16),"",TEXT(HT16,"MMM")),"")</f>
        <v/>
      </c>
      <c r="HU14" s="40" t="str">
        <f aca="false">IFERROR(IF(MONTH(HU16)=MONTH(HT16),"",TEXT(HU16,"MMM")),"")</f>
        <v/>
      </c>
      <c r="HV14" s="40" t="str">
        <f aca="false">IFERROR(IF(MONTH(HV16)=MONTH(HU16),"",TEXT(HV16,"MMM")),"")</f>
        <v/>
      </c>
      <c r="HW14" s="40" t="str">
        <f aca="false">IFERROR(IF(MONTH(HW16)=MONTH(HV16),"",TEXT(HW16,"MMM")),"")</f>
        <v/>
      </c>
      <c r="HX14" s="40" t="str">
        <f aca="false">IFERROR(IF(MONTH(HX16)=MONTH(HW16),"",TEXT(HX16,"MMM")),"")</f>
        <v/>
      </c>
      <c r="HY14" s="40" t="str">
        <f aca="false">IFERROR(IF(MONTH(HY16)=MONTH(HX16),"",TEXT(HY16,"MMM")),"")</f>
        <v/>
      </c>
      <c r="HZ14" s="40" t="str">
        <f aca="false">IFERROR(IF(MONTH(HZ16)=MONTH(HY16),"",TEXT(HZ16,"MMM")),"")</f>
        <v/>
      </c>
      <c r="IA14" s="40" t="str">
        <f aca="false">IFERROR(IF(MONTH(IA16)=MONTH(HZ16),"",TEXT(IA16,"MMM")),"")</f>
        <v/>
      </c>
      <c r="IB14" s="40" t="str">
        <f aca="false">IFERROR(IF(MONTH(IB16)=MONTH(IA16),"",TEXT(IB16,"MMM")),"")</f>
        <v/>
      </c>
      <c r="IC14" s="40" t="str">
        <f aca="false">IFERROR(IF(MONTH(IC16)=MONTH(IB16),"",TEXT(IC16,"MMM")),"")</f>
        <v/>
      </c>
      <c r="ID14" s="40" t="str">
        <f aca="false">IFERROR(IF(MONTH(ID16)=MONTH(IC16),"",TEXT(ID16,"MMM")),"")</f>
        <v/>
      </c>
      <c r="IE14" s="40" t="str">
        <f aca="false">IFERROR(IF(MONTH(IE16)=MONTH(ID16),"",TEXT(IE16,"MMM")),"")</f>
        <v/>
      </c>
      <c r="IF14" s="40" t="str">
        <f aca="false">IFERROR(IF(MONTH(IF16)=MONTH(IE16),"",TEXT(IF16,"MMM")),"")</f>
        <v/>
      </c>
      <c r="IG14" s="40" t="str">
        <f aca="false">IFERROR(IF(MONTH(IG16)=MONTH(IF16),"",TEXT(IG16,"MMM")),"")</f>
        <v/>
      </c>
      <c r="IH14" s="40" t="str">
        <f aca="false">IFERROR(IF(MONTH(IH16)=MONTH(IG16),"",TEXT(IH16,"MMM")),"")</f>
        <v/>
      </c>
      <c r="II14" s="40" t="str">
        <f aca="false">IFERROR(IF(MONTH(II16)=MONTH(IH16),"",TEXT(II16,"MMM")),"")</f>
        <v/>
      </c>
      <c r="IJ14" s="40" t="str">
        <f aca="false">IFERROR(IF(MONTH(IJ16)=MONTH(II16),"",TEXT(IJ16,"MMM")),"")</f>
        <v/>
      </c>
      <c r="IK14" s="40" t="str">
        <f aca="false">IFERROR(IF(MONTH(IK16)=MONTH(IJ16),"",TEXT(IK16,"MMM")),"")</f>
        <v/>
      </c>
      <c r="IL14" s="40" t="str">
        <f aca="false">IFERROR(IF(MONTH(IL16)=MONTH(IK16),"",TEXT(IL16,"MMM")),"")</f>
        <v/>
      </c>
      <c r="IM14" s="40" t="str">
        <f aca="false">IFERROR(IF(MONTH(IM16)=MONTH(IL16),"",TEXT(IM16,"MMM")),"")</f>
        <v/>
      </c>
      <c r="IN14" s="40" t="str">
        <f aca="false">IFERROR(IF(MONTH(IN16)=MONTH(IM16),"",TEXT(IN16,"MMM")),"")</f>
        <v/>
      </c>
      <c r="IO14" s="40" t="str">
        <f aca="false">IFERROR(IF(MONTH(IO16)=MONTH(IN16),"",TEXT(IO16,"MMM")),"")</f>
        <v/>
      </c>
      <c r="IP14" s="40" t="str">
        <f aca="false">IFERROR(IF(MONTH(IP16)=MONTH(IO16),"",TEXT(IP16,"MMM")),"")</f>
        <v/>
      </c>
      <c r="IQ14" s="40" t="str">
        <f aca="false">IFERROR(IF(MONTH(IQ16)=MONTH(IP16),"",TEXT(IQ16,"MMM")),"")</f>
        <v/>
      </c>
      <c r="IR14" s="40" t="str">
        <f aca="false">IFERROR(IF(MONTH(IR16)=MONTH(IQ16),"",TEXT(IR16,"MMM")),"")</f>
        <v/>
      </c>
      <c r="IS14" s="40" t="str">
        <f aca="false">IFERROR(IF(MONTH(IS16)=MONTH(IR16),"",TEXT(IS16,"MMM")),"")</f>
        <v/>
      </c>
      <c r="IT14" s="40" t="str">
        <f aca="false">IFERROR(IF(MONTH(IT16)=MONTH(IS16),"",TEXT(IT16,"MMM")),"")</f>
        <v/>
      </c>
      <c r="IU14" s="40" t="str">
        <f aca="false">IFERROR(IF(MONTH(IU16)=MONTH(IT16),"",TEXT(IU16,"MMM")),"")</f>
        <v/>
      </c>
      <c r="IV14" s="40" t="str">
        <f aca="false">IFERROR(IF(MONTH(IV16)=MONTH(IU16),"",TEXT(IV16,"MMM")),"")</f>
        <v/>
      </c>
      <c r="IW14" s="40" t="str">
        <f aca="false">IFERROR(IF(MONTH(IW16)=MONTH(IV16),"",TEXT(IW16,"MMM")),"")</f>
        <v/>
      </c>
      <c r="IX14" s="40" t="str">
        <f aca="false">IFERROR(IF(MONTH(IX16)=MONTH(IW16),"",TEXT(IX16,"MMM")),"")</f>
        <v/>
      </c>
      <c r="IY14" s="40" t="str">
        <f aca="false">IFERROR(IF(MONTH(IY16)=MONTH(IX16),"",TEXT(IY16,"MMM")),"")</f>
        <v/>
      </c>
      <c r="IZ14" s="40" t="str">
        <f aca="false">IFERROR(IF(MONTH(IZ16)=MONTH(IY16),"",TEXT(IZ16,"MMM")),"")</f>
        <v/>
      </c>
      <c r="JA14" s="40" t="str">
        <f aca="false">IFERROR(IF(MONTH(JA16)=MONTH(IZ16),"",TEXT(JA16,"MMM")),"")</f>
        <v/>
      </c>
      <c r="JB14" s="40" t="str">
        <f aca="false">IFERROR(IF(MONTH(JB16)=MONTH(JA16),"",TEXT(JB16,"MMM")),"")</f>
        <v/>
      </c>
      <c r="JC14" s="40" t="str">
        <f aca="false">IFERROR(IF(MONTH(JC16)=MONTH(JB16),"",TEXT(JC16,"MMM")),"")</f>
        <v/>
      </c>
      <c r="JD14" s="40" t="str">
        <f aca="false">IFERROR(IF(MONTH(JD16)=MONTH(JC16),"",TEXT(JD16,"MMM")),"")</f>
        <v/>
      </c>
      <c r="JE14" s="40" t="str">
        <f aca="false">IFERROR(IF(MONTH(JE16)=MONTH(JD16),"",TEXT(JE16,"MMM")),"")</f>
        <v/>
      </c>
      <c r="JF14" s="40" t="str">
        <f aca="false">IFERROR(IF(MONTH(JF16)=MONTH(JE16),"",TEXT(JF16,"MMM")),"")</f>
        <v/>
      </c>
      <c r="JG14" s="40" t="str">
        <f aca="false">IFERROR(IF(MONTH(JG16)=MONTH(JF16),"",TEXT(JG16,"MMM")),"")</f>
        <v/>
      </c>
      <c r="JH14" s="40" t="str">
        <f aca="false">IFERROR(IF(MONTH(JH16)=MONTH(JG16),"",TEXT(JH16,"MMM")),"")</f>
        <v/>
      </c>
      <c r="JI14" s="40" t="str">
        <f aca="false">IFERROR(IF(MONTH(JI16)=MONTH(JH16),"",TEXT(JI16,"MMM")),"")</f>
        <v/>
      </c>
      <c r="JJ14" s="40" t="str">
        <f aca="false">IFERROR(IF(MONTH(JJ16)=MONTH(JI16),"",TEXT(JJ16,"MMM")),"")</f>
        <v/>
      </c>
      <c r="JK14" s="40" t="str">
        <f aca="false">IFERROR(IF(MONTH(JK16)=MONTH(JJ16),"",TEXT(JK16,"MMM")),"")</f>
        <v/>
      </c>
      <c r="JL14" s="40" t="str">
        <f aca="false">IFERROR(IF(MONTH(JL16)=MONTH(JK16),"",TEXT(JL16,"MMM")),"")</f>
        <v/>
      </c>
      <c r="JM14" s="40" t="str">
        <f aca="false">IFERROR(IF(MONTH(JM16)=MONTH(JL16),"",TEXT(JM16,"MMM")),"")</f>
        <v/>
      </c>
      <c r="JN14" s="40" t="str">
        <f aca="false">IFERROR(IF(MONTH(JN16)=MONTH(JM16),"",TEXT(JN16,"MMM")),"")</f>
        <v/>
      </c>
      <c r="JO14" s="40" t="str">
        <f aca="false">IFERROR(IF(MONTH(JO16)=MONTH(JN16),"",TEXT(JO16,"MMM")),"")</f>
        <v/>
      </c>
      <c r="JP14" s="40" t="str">
        <f aca="false">IFERROR(IF(MONTH(JP16)=MONTH(JO16),"",TEXT(JP16,"MMM")),"")</f>
        <v/>
      </c>
      <c r="JQ14" s="40" t="str">
        <f aca="false">IFERROR(IF(MONTH(JQ16)=MONTH(JP16),"",TEXT(JQ16,"MMM")),"")</f>
        <v/>
      </c>
      <c r="JR14" s="40" t="str">
        <f aca="false">IFERROR(IF(MONTH(JR16)=MONTH(JQ16),"",TEXT(JR16,"MMM")),"")</f>
        <v/>
      </c>
      <c r="JS14" s="40" t="str">
        <f aca="false">IFERROR(IF(MONTH(JS16)=MONTH(JR16),"",TEXT(JS16,"MMM")),"")</f>
        <v/>
      </c>
      <c r="JT14" s="40" t="str">
        <f aca="false">IFERROR(IF(MONTH(JT16)=MONTH(JS16),"",TEXT(JT16,"MMM")),"")</f>
        <v/>
      </c>
      <c r="JU14" s="40" t="str">
        <f aca="false">IFERROR(IF(MONTH(JU16)=MONTH(JT16),"",TEXT(JU16,"MMM")),"")</f>
        <v/>
      </c>
      <c r="JV14" s="40" t="str">
        <f aca="false">IFERROR(IF(MONTH(JV16)=MONTH(JU16),"",TEXT(JV16,"MMM")),"")</f>
        <v/>
      </c>
      <c r="JW14" s="40" t="str">
        <f aca="false">IFERROR(IF(MONTH(JW16)=MONTH(JV16),"",TEXT(JW16,"MMM")),"")</f>
        <v/>
      </c>
      <c r="JX14" s="40" t="str">
        <f aca="false">IFERROR(IF(MONTH(JX16)=MONTH(JW16),"",TEXT(JX16,"MMM")),"")</f>
        <v/>
      </c>
      <c r="JY14" s="40" t="str">
        <f aca="false">IFERROR(IF(MONTH(JY16)=MONTH(JX16),"",TEXT(JY16,"MMM")),"")</f>
        <v/>
      </c>
      <c r="JZ14" s="40" t="str">
        <f aca="false">IFERROR(IF(MONTH(JZ16)=MONTH(JY16),"",TEXT(JZ16,"MMM")),"")</f>
        <v/>
      </c>
      <c r="KA14" s="40" t="str">
        <f aca="false">IFERROR(IF(MONTH(KA16)=MONTH(JZ16),"",TEXT(KA16,"MMM")),"")</f>
        <v/>
      </c>
      <c r="KB14" s="40" t="str">
        <f aca="false">IFERROR(IF(MONTH(KB16)=MONTH(KA16),"",TEXT(KB16,"MMM")),"")</f>
        <v/>
      </c>
      <c r="KC14" s="40" t="str">
        <f aca="false">IFERROR(IF(MONTH(KC16)=MONTH(KB16),"",TEXT(KC16,"MMM")),"")</f>
        <v/>
      </c>
      <c r="KD14" s="40" t="str">
        <f aca="false">IFERROR(IF(MONTH(KD16)=MONTH(KC16),"",TEXT(KD16,"MMM")),"")</f>
        <v/>
      </c>
      <c r="KE14" s="40" t="str">
        <f aca="false">IFERROR(IF(MONTH(KE16)=MONTH(KD16),"",TEXT(KE16,"MMM")),"")</f>
        <v/>
      </c>
      <c r="KF14" s="40" t="str">
        <f aca="false">IFERROR(IF(MONTH(KF16)=MONTH(KE16),"",TEXT(KF16,"MMM")),"")</f>
        <v/>
      </c>
      <c r="KG14" s="40" t="str">
        <f aca="false">IFERROR(IF(MONTH(KG16)=MONTH(KF16),"",TEXT(KG16,"MMM")),"")</f>
        <v/>
      </c>
      <c r="KH14" s="40" t="str">
        <f aca="false">IFERROR(IF(MONTH(KH16)=MONTH(KG16),"",TEXT(KH16,"MMM")),"")</f>
        <v/>
      </c>
      <c r="KI14" s="40" t="str">
        <f aca="false">IFERROR(IF(MONTH(KI16)=MONTH(KH16),"",TEXT(KI16,"MMM")),"")</f>
        <v/>
      </c>
      <c r="KJ14" s="40" t="str">
        <f aca="false">IFERROR(IF(MONTH(KJ16)=MONTH(KI16),"",TEXT(KJ16,"MMM")),"")</f>
        <v/>
      </c>
      <c r="KK14" s="40" t="str">
        <f aca="false">IFERROR(IF(MONTH(KK16)=MONTH(KJ16),"",TEXT(KK16,"MMM")),"")</f>
        <v/>
      </c>
      <c r="KL14" s="40" t="str">
        <f aca="false">IFERROR(IF(MONTH(KL16)=MONTH(KK16),"",TEXT(KL16,"MMM")),"")</f>
        <v/>
      </c>
      <c r="KM14" s="40" t="str">
        <f aca="false">IFERROR(IF(MONTH(KM16)=MONTH(KL16),"",TEXT(KM16,"MMM")),"")</f>
        <v/>
      </c>
      <c r="KN14" s="40" t="str">
        <f aca="false">IFERROR(IF(MONTH(KN16)=MONTH(KM16),"",TEXT(KN16,"MMM")),"")</f>
        <v/>
      </c>
      <c r="KO14" s="40" t="str">
        <f aca="false">IFERROR(IF(MONTH(KO16)=MONTH(KN16),"",TEXT(KO16,"MMM")),"")</f>
        <v/>
      </c>
      <c r="KP14" s="40" t="str">
        <f aca="false">IFERROR(IF(MONTH(KP16)=MONTH(KO16),"",TEXT(KP16,"MMM")),"")</f>
        <v/>
      </c>
      <c r="KQ14" s="40" t="str">
        <f aca="false">IFERROR(IF(MONTH(KQ16)=MONTH(KP16),"",TEXT(KQ16,"MMM")),"")</f>
        <v/>
      </c>
      <c r="KR14" s="40" t="str">
        <f aca="false">IFERROR(IF(MONTH(KR16)=MONTH(KQ16),"",TEXT(KR16,"MMM")),"")</f>
        <v/>
      </c>
      <c r="KS14" s="40" t="str">
        <f aca="false">IFERROR(IF(MONTH(KS16)=MONTH(KR16),"",TEXT(KS16,"MMM")),"")</f>
        <v/>
      </c>
      <c r="KT14" s="40" t="str">
        <f aca="false">IFERROR(IF(MONTH(KT16)=MONTH(KS16),"",TEXT(KT16,"MMM")),"")</f>
        <v/>
      </c>
      <c r="KU14" s="40" t="str">
        <f aca="false">IFERROR(IF(MONTH(KU16)=MONTH(KT16),"",TEXT(KU16,"MMM")),"")</f>
        <v/>
      </c>
      <c r="KV14" s="40" t="str">
        <f aca="false">IFERROR(IF(MONTH(KV16)=MONTH(KU16),"",TEXT(KV16,"MMM")),"")</f>
        <v/>
      </c>
      <c r="KW14" s="40" t="str">
        <f aca="false">IFERROR(IF(MONTH(KW16)=MONTH(KV16),"",TEXT(KW16,"MMM")),"")</f>
        <v/>
      </c>
      <c r="KX14" s="40" t="str">
        <f aca="false">IFERROR(IF(MONTH(KX16)=MONTH(KW16),"",TEXT(KX16,"MMM")),"")</f>
        <v/>
      </c>
      <c r="KY14" s="40" t="str">
        <f aca="false">IFERROR(IF(MONTH(KY16)=MONTH(KX16),"",TEXT(KY16,"MMM")),"")</f>
        <v/>
      </c>
      <c r="KZ14" s="40" t="str">
        <f aca="false">IFERROR(IF(MONTH(KZ16)=MONTH(KY16),"",TEXT(KZ16,"MMM")),"")</f>
        <v/>
      </c>
      <c r="LA14" s="40" t="str">
        <f aca="false">IFERROR(IF(MONTH(LA16)=MONTH(KZ16),"",TEXT(LA16,"MMM")),"")</f>
        <v/>
      </c>
      <c r="LB14" s="40" t="str">
        <f aca="false">IFERROR(IF(MONTH(LB16)=MONTH(LA16),"",TEXT(LB16,"MMM")),"")</f>
        <v/>
      </c>
      <c r="LC14" s="40" t="str">
        <f aca="false">IFERROR(IF(MONTH(LC16)=MONTH(LB16),"",TEXT(LC16,"MMM")),"")</f>
        <v/>
      </c>
      <c r="LD14" s="40" t="str">
        <f aca="false">IFERROR(IF(MONTH(LD16)=MONTH(LC16),"",TEXT(LD16,"MMM")),"")</f>
        <v/>
      </c>
      <c r="LE14" s="40" t="str">
        <f aca="false">IFERROR(IF(MONTH(LE16)=MONTH(LD16),"",TEXT(LE16,"MMM")),"")</f>
        <v/>
      </c>
      <c r="LF14" s="40" t="str">
        <f aca="false">IFERROR(IF(MONTH(LF16)=MONTH(LE16),"",TEXT(LF16,"MMM")),"")</f>
        <v/>
      </c>
      <c r="LG14" s="40" t="str">
        <f aca="false">IFERROR(IF(MONTH(LG16)=MONTH(LF16),"",TEXT(LG16,"MMM")),"")</f>
        <v/>
      </c>
      <c r="LH14" s="40" t="str">
        <f aca="false">IFERROR(IF(MONTH(LH16)=MONTH(LG16),"",TEXT(LH16,"MMM")),"")</f>
        <v/>
      </c>
      <c r="LI14" s="40" t="str">
        <f aca="false">IFERROR(IF(MONTH(LI16)=MONTH(LH16),"",TEXT(LI16,"MMM")),"")</f>
        <v/>
      </c>
      <c r="LJ14" s="40" t="str">
        <f aca="false">IFERROR(IF(MONTH(LJ16)=MONTH(LI16),"",TEXT(LJ16,"MMM")),"")</f>
        <v/>
      </c>
      <c r="LK14" s="40" t="str">
        <f aca="false">IFERROR(IF(MONTH(LK16)=MONTH(LJ16),"",TEXT(LK16,"MMM")),"")</f>
        <v/>
      </c>
      <c r="LL14" s="40" t="str">
        <f aca="false">IFERROR(IF(MONTH(LL16)=MONTH(LK16),"",TEXT(LL16,"MMM")),"")</f>
        <v/>
      </c>
      <c r="LM14" s="40" t="str">
        <f aca="false">IFERROR(IF(MONTH(LM16)=MONTH(LL16),"",TEXT(LM16,"MMM")),"")</f>
        <v/>
      </c>
      <c r="LN14" s="40" t="str">
        <f aca="false">IFERROR(IF(MONTH(LN16)=MONTH(LM16),"",TEXT(LN16,"MMM")),"")</f>
        <v/>
      </c>
      <c r="LO14" s="40" t="str">
        <f aca="false">IFERROR(IF(MONTH(LO16)=MONTH(LN16),"",TEXT(LO16,"MMM")),"")</f>
        <v/>
      </c>
      <c r="LP14" s="40" t="str">
        <f aca="false">IFERROR(IF(MONTH(LP16)=MONTH(LO16),"",TEXT(LP16,"MMM")),"")</f>
        <v/>
      </c>
      <c r="LQ14" s="40" t="str">
        <f aca="false">IFERROR(IF(MONTH(LQ16)=MONTH(LP16),"",TEXT(LQ16,"MMM")),"")</f>
        <v/>
      </c>
      <c r="LR14" s="40" t="str">
        <f aca="false">IFERROR(IF(MONTH(LR16)=MONTH(LQ16),"",TEXT(LR16,"MMM")),"")</f>
        <v/>
      </c>
      <c r="LS14" s="40" t="str">
        <f aca="false">IFERROR(IF(MONTH(LS16)=MONTH(LR16),"",TEXT(LS16,"MMM")),"")</f>
        <v/>
      </c>
      <c r="LT14" s="40" t="str">
        <f aca="false">IFERROR(IF(MONTH(LT16)=MONTH(LS16),"",TEXT(LT16,"MMM")),"")</f>
        <v/>
      </c>
      <c r="LU14" s="40" t="str">
        <f aca="false">IFERROR(IF(MONTH(LU16)=MONTH(LT16),"",TEXT(LU16,"MMM")),"")</f>
        <v/>
      </c>
      <c r="LV14" s="40" t="str">
        <f aca="false">IFERROR(IF(MONTH(LV16)=MONTH(LU16),"",TEXT(LV16,"MMM")),"")</f>
        <v/>
      </c>
      <c r="LW14" s="40" t="str">
        <f aca="false">IFERROR(IF(MONTH(LW16)=MONTH(LV16),"",TEXT(LW16,"MMM")),"")</f>
        <v/>
      </c>
      <c r="LX14" s="40" t="str">
        <f aca="false">IFERROR(IF(MONTH(LX16)=MONTH(LW16),"",TEXT(LX16,"MMM")),"")</f>
        <v/>
      </c>
      <c r="LY14" s="40" t="str">
        <f aca="false">IFERROR(IF(MONTH(LY16)=MONTH(LX16),"",TEXT(LY16,"MMM")),"")</f>
        <v/>
      </c>
      <c r="LZ14" s="40" t="str">
        <f aca="false">IFERROR(IF(MONTH(LZ16)=MONTH(LY16),"",TEXT(LZ16,"MMM")),"")</f>
        <v/>
      </c>
      <c r="MA14" s="40" t="str">
        <f aca="false">IFERROR(IF(MONTH(MA16)=MONTH(LZ16),"",TEXT(MA16,"MMM")),"")</f>
        <v/>
      </c>
      <c r="MB14" s="40" t="str">
        <f aca="false">IFERROR(IF(MONTH(MB16)=MONTH(MA16),"",TEXT(MB16,"MMM")),"")</f>
        <v/>
      </c>
      <c r="MC14" s="40" t="str">
        <f aca="false">IFERROR(IF(MONTH(MC16)=MONTH(MB16),"",TEXT(MC16,"MMM")),"")</f>
        <v/>
      </c>
      <c r="MD14" s="40" t="str">
        <f aca="false">IFERROR(IF(MONTH(MD16)=MONTH(MC16),"",TEXT(MD16,"MMM")),"")</f>
        <v/>
      </c>
      <c r="ME14" s="40" t="str">
        <f aca="false">IFERROR(IF(MONTH(ME16)=MONTH(MD16),"",TEXT(ME16,"MMM")),"")</f>
        <v/>
      </c>
      <c r="MF14" s="40" t="str">
        <f aca="false">IFERROR(IF(MONTH(MF16)=MONTH(ME16),"",TEXT(MF16,"MMM")),"")</f>
        <v/>
      </c>
      <c r="MG14" s="40" t="str">
        <f aca="false">IFERROR(IF(MONTH(MG16)=MONTH(MF16),"",TEXT(MG16,"MMM")),"")</f>
        <v/>
      </c>
      <c r="MH14" s="40" t="str">
        <f aca="false">IFERROR(IF(MONTH(MH16)=MONTH(MG16),"",TEXT(MH16,"MMM")),"")</f>
        <v/>
      </c>
      <c r="MI14" s="40" t="str">
        <f aca="false">IFERROR(IF(MONTH(MI16)=MONTH(MH16),"",TEXT(MI16,"MMM")),"")</f>
        <v/>
      </c>
      <c r="MJ14" s="40" t="str">
        <f aca="false">IFERROR(IF(MONTH(MJ16)=MONTH(MI16),"",TEXT(MJ16,"MMM")),"")</f>
        <v/>
      </c>
      <c r="MK14" s="40" t="str">
        <f aca="false">IFERROR(IF(MONTH(MK16)=MONTH(MJ16),"",TEXT(MK16,"MMM")),"")</f>
        <v/>
      </c>
      <c r="ML14" s="40" t="str">
        <f aca="false">IFERROR(IF(MONTH(ML16)=MONTH(MK16),"",TEXT(ML16,"MMM")),"")</f>
        <v/>
      </c>
      <c r="MM14" s="40" t="str">
        <f aca="false">IFERROR(IF(MONTH(MM16)=MONTH(ML16),"",TEXT(MM16,"MMM")),"")</f>
        <v/>
      </c>
      <c r="MN14" s="40" t="str">
        <f aca="false">IFERROR(IF(MONTH(MN16)=MONTH(MM16),"",TEXT(MN16,"MMM")),"")</f>
        <v/>
      </c>
      <c r="MO14" s="40" t="str">
        <f aca="false">IFERROR(IF(MONTH(MO16)=MONTH(MN16),"",TEXT(MO16,"MMM")),"")</f>
        <v/>
      </c>
      <c r="MP14" s="40" t="str">
        <f aca="false">IFERROR(IF(MONTH(MP16)=MONTH(MO16),"",TEXT(MP16,"MMM")),"")</f>
        <v/>
      </c>
      <c r="MQ14" s="40" t="str">
        <f aca="false">IFERROR(IF(MONTH(MQ16)=MONTH(MP16),"",TEXT(MQ16,"MMM")),"")</f>
        <v/>
      </c>
      <c r="MR14" s="40" t="str">
        <f aca="false">IFERROR(IF(MONTH(MR16)=MONTH(MQ16),"",TEXT(MR16,"MMM")),"")</f>
        <v/>
      </c>
      <c r="MS14" s="40" t="str">
        <f aca="false">IFERROR(IF(MONTH(MS16)=MONTH(MR16),"",TEXT(MS16,"MMM")),"")</f>
        <v/>
      </c>
      <c r="MT14" s="40" t="str">
        <f aca="false">IFERROR(IF(MONTH(MT16)=MONTH(MS16),"",TEXT(MT16,"MMM")),"")</f>
        <v/>
      </c>
      <c r="MU14" s="40" t="str">
        <f aca="false">IFERROR(IF(MONTH(MU16)=MONTH(MT16),"",TEXT(MU16,"MMM")),"")</f>
        <v/>
      </c>
      <c r="MV14" s="40" t="str">
        <f aca="false">IFERROR(IF(MONTH(MV16)=MONTH(MU16),"",TEXT(MV16,"MMM")),"")</f>
        <v/>
      </c>
      <c r="MW14" s="40" t="str">
        <f aca="false">IFERROR(IF(MONTH(MW16)=MONTH(MV16),"",TEXT(MW16,"MMM")),"")</f>
        <v/>
      </c>
      <c r="MX14" s="40" t="str">
        <f aca="false">IFERROR(IF(MONTH(MX16)=MONTH(MW16),"",TEXT(MX16,"MMM")),"")</f>
        <v/>
      </c>
      <c r="MY14" s="40" t="str">
        <f aca="false">IFERROR(IF(MONTH(MY16)=MONTH(MX16),"",TEXT(MY16,"MMM")),"")</f>
        <v/>
      </c>
      <c r="MZ14" s="40" t="str">
        <f aca="false">IFERROR(IF(MONTH(MZ16)=MONTH(MY16),"",TEXT(MZ16,"MMM")),"")</f>
        <v/>
      </c>
      <c r="NA14" s="40" t="str">
        <f aca="false">IFERROR(IF(MONTH(NA16)=MONTH(MZ16),"",TEXT(NA16,"MMM")),"")</f>
        <v/>
      </c>
      <c r="NB14" s="40" t="str">
        <f aca="false">IFERROR(IF(MONTH(NB16)=MONTH(NA16),"",TEXT(NB16,"MMM")),"")</f>
        <v/>
      </c>
      <c r="NC14" s="40" t="str">
        <f aca="false">IFERROR(IF(MONTH(NC16)=MONTH(NB16),"",TEXT(NC16,"MMM")),"")</f>
        <v/>
      </c>
      <c r="ND14" s="40" t="str">
        <f aca="false">IFERROR(IF(MONTH(ND16)=MONTH(NC16),"",TEXT(ND16,"MMM")),"")</f>
        <v/>
      </c>
      <c r="NE14" s="40" t="str">
        <f aca="false">IFERROR(IF(MONTH(NE16)=MONTH(ND16),"",TEXT(NE16,"MMM")),"")</f>
        <v/>
      </c>
      <c r="NF14" s="40" t="str">
        <f aca="false">IFERROR(IF(MONTH(NF16)=MONTH(NE16),"",TEXT(NF16,"MMM")),"")</f>
        <v/>
      </c>
      <c r="NG14" s="40" t="str">
        <f aca="false">IFERROR(IF(MONTH(NG16)=MONTH(NF16),"",TEXT(NG16,"MMM")),"")</f>
        <v/>
      </c>
      <c r="NH14" s="40" t="str">
        <f aca="false">IFERROR(IF(MONTH(NH16)=MONTH(NG16),"",TEXT(NH16,"MMM")),"")</f>
        <v/>
      </c>
      <c r="NI14" s="40" t="str">
        <f aca="false">IFERROR(IF(MONTH(NI16)=MONTH(NH16),"",TEXT(NI16,"MMM")),"")</f>
        <v/>
      </c>
      <c r="NJ14" s="40" t="str">
        <f aca="false">IFERROR(IF(MONTH(NJ16)=MONTH(NI16),"",TEXT(NJ16,"MMM")),"")</f>
        <v/>
      </c>
      <c r="NK14" s="40" t="str">
        <f aca="false">IFERROR(IF(MONTH(NK16)=MONTH(NJ16),"",TEXT(NK16,"MMM")),"")</f>
        <v/>
      </c>
      <c r="NL14" s="40" t="str">
        <f aca="false">IFERROR(IF(MONTH(NL16)=MONTH(NK16),"",TEXT(NL16,"MMM")),"")</f>
        <v/>
      </c>
      <c r="NM14" s="40" t="str">
        <f aca="false">IFERROR(IF(MONTH(NM16)=MONTH(NL16),"",TEXT(NM16,"MMM")),"")</f>
        <v/>
      </c>
      <c r="NN14" s="40" t="str">
        <f aca="false">IFERROR(IF(MONTH(NN16)=MONTH(NM16),"",TEXT(NN16,"MMM")),"")</f>
        <v/>
      </c>
      <c r="NO14" s="40" t="str">
        <f aca="false">IFERROR(IF(MONTH(NO16)=MONTH(NN16),"",TEXT(NO16,"MMM")),"")</f>
        <v/>
      </c>
      <c r="NP14" s="40" t="str">
        <f aca="false">IFERROR(IF(MONTH(NP16)=MONTH(NO16),"",TEXT(NP16,"MMM")),"")</f>
        <v/>
      </c>
      <c r="NQ14" s="40" t="str">
        <f aca="false">IFERROR(IF(MONTH(NQ16)=MONTH(NP16),"",TEXT(NQ16,"MMM")),"")</f>
        <v/>
      </c>
      <c r="NR14" s="40" t="str">
        <f aca="false">IFERROR(IF(MONTH(NR16)=MONTH(NQ16),"",TEXT(NR16,"MMM")),"")</f>
        <v/>
      </c>
      <c r="NS14" s="40" t="str">
        <f aca="false">IFERROR(IF(MONTH(NS16)=MONTH(NR16),"",TEXT(NS16,"MMM")),"")</f>
        <v/>
      </c>
      <c r="NT14" s="40" t="str">
        <f aca="false">IFERROR(IF(MONTH(NT16)=MONTH(NS16),"",TEXT(NT16,"MMM")),"")</f>
        <v/>
      </c>
      <c r="NU14" s="40" t="str">
        <f aca="false">IFERROR(IF(MONTH(NU16)=MONTH(NT16),"",TEXT(NU16,"MMM")),"")</f>
        <v/>
      </c>
      <c r="NV14" s="40" t="str">
        <f aca="false">IFERROR(IF(MONTH(NV16)=MONTH(NU16),"",TEXT(NV16,"MMM")),"")</f>
        <v/>
      </c>
      <c r="NW14" s="40" t="str">
        <f aca="false">IFERROR(IF(MONTH(NW16)=MONTH(NV16),"",TEXT(NW16,"MMM")),"")</f>
        <v/>
      </c>
      <c r="NX14" s="40" t="str">
        <f aca="false">IFERROR(IF(MONTH(NX16)=MONTH(NW16),"",TEXT(NX16,"MMM")),"")</f>
        <v/>
      </c>
      <c r="NY14" s="40" t="str">
        <f aca="false">IFERROR(IF(MONTH(NY16)=MONTH(NX16),"",TEXT(NY16,"MMM")),"")</f>
        <v/>
      </c>
      <c r="NZ14" s="40" t="str">
        <f aca="false">IFERROR(IF(MONTH(NZ16)=MONTH(NY16),"",TEXT(NZ16,"MMM")),"")</f>
        <v/>
      </c>
      <c r="OA14" s="40" t="str">
        <f aca="false">IFERROR(IF(MONTH(OA16)=MONTH(NZ16),"",TEXT(OA16,"MMM")),"")</f>
        <v/>
      </c>
      <c r="OB14" s="40" t="str">
        <f aca="false">IFERROR(IF(MONTH(OB16)=MONTH(OA16),"",TEXT(OB16,"MMM")),"")</f>
        <v/>
      </c>
      <c r="OC14" s="40" t="str">
        <f aca="false">IFERROR(IF(MONTH(OC16)=MONTH(OB16),"",TEXT(OC16,"MMM")),"")</f>
        <v/>
      </c>
      <c r="OD14" s="40" t="str">
        <f aca="false">IFERROR(IF(MONTH(OD16)=MONTH(OC16),"",TEXT(OD16,"MMM")),"")</f>
        <v/>
      </c>
      <c r="OE14" s="40" t="str">
        <f aca="false">IFERROR(IF(MONTH(OE16)=MONTH(OD16),"",TEXT(OE16,"MMM")),"")</f>
        <v/>
      </c>
      <c r="OF14" s="40" t="str">
        <f aca="false">IFERROR(IF(MONTH(OF16)=MONTH(OE16),"",TEXT(OF16,"MMM")),"")</f>
        <v/>
      </c>
      <c r="OG14" s="40" t="str">
        <f aca="false">IFERROR(IF(MONTH(OG16)=MONTH(OF16),"",TEXT(OG16,"MMM")),"")</f>
        <v/>
      </c>
      <c r="OH14" s="40" t="str">
        <f aca="false">IFERROR(IF(MONTH(OH16)=MONTH(OG16),"",TEXT(OH16,"MMM")),"")</f>
        <v/>
      </c>
      <c r="OI14" s="40" t="str">
        <f aca="false">IFERROR(IF(MONTH(OI16)=MONTH(OH16),"",TEXT(OI16,"MMM")),"")</f>
        <v/>
      </c>
      <c r="OJ14" s="40" t="str">
        <f aca="false">IFERROR(IF(MONTH(OJ16)=MONTH(OI16),"",TEXT(OJ16,"MMM")),"")</f>
        <v/>
      </c>
      <c r="OK14" s="40" t="str">
        <f aca="false">IFERROR(IF(MONTH(OK16)=MONTH(OJ16),"",TEXT(OK16,"MMM")),"")</f>
        <v/>
      </c>
      <c r="OL14" s="40" t="str">
        <f aca="false">IFERROR(IF(MONTH(OL16)=MONTH(OK16),"",TEXT(OL16,"MMM")),"")</f>
        <v/>
      </c>
      <c r="OM14" s="40" t="str">
        <f aca="false">IFERROR(IF(MONTH(OM16)=MONTH(OL16),"",TEXT(OM16,"MMM")),"")</f>
        <v/>
      </c>
      <c r="ON14" s="40" t="str">
        <f aca="false">IFERROR(IF(MONTH(ON16)=MONTH(OM16),"",TEXT(ON16,"MMM")),"")</f>
        <v/>
      </c>
      <c r="OO14" s="40" t="str">
        <f aca="false">IFERROR(IF(MONTH(OO16)=MONTH(ON16),"",TEXT(OO16,"MMM")),"")</f>
        <v/>
      </c>
      <c r="OP14" s="40" t="str">
        <f aca="false">IFERROR(IF(MONTH(OP16)=MONTH(OO16),"",TEXT(OP16,"MMM")),"")</f>
        <v/>
      </c>
      <c r="OQ14" s="40" t="str">
        <f aca="false">IFERROR(IF(MONTH(OQ16)=MONTH(OP16),"",TEXT(OQ16,"MMM")),"")</f>
        <v/>
      </c>
      <c r="OR14" s="40" t="str">
        <f aca="false">IFERROR(IF(MONTH(OR16)=MONTH(OQ16),"",TEXT(OR16,"MMM")),"")</f>
        <v/>
      </c>
      <c r="OS14" s="40" t="str">
        <f aca="false">IFERROR(IF(MONTH(OS16)=MONTH(OR16),"",TEXT(OS16,"MMM")),"")</f>
        <v/>
      </c>
      <c r="OT14" s="40" t="str">
        <f aca="false">IFERROR(IF(MONTH(OT16)=MONTH(OS16),"",TEXT(OT16,"MMM")),"")</f>
        <v/>
      </c>
      <c r="OU14" s="40" t="str">
        <f aca="false">IFERROR(IF(MONTH(OU16)=MONTH(OT16),"",TEXT(OU16,"MMM")),"")</f>
        <v/>
      </c>
      <c r="OV14" s="40" t="str">
        <f aca="false">IFERROR(IF(MONTH(OV16)=MONTH(OU16),"",TEXT(OV16,"MMM")),"")</f>
        <v/>
      </c>
      <c r="OW14" s="40" t="str">
        <f aca="false">IFERROR(IF(MONTH(OW16)=MONTH(OV16),"",TEXT(OW16,"MMM")),"")</f>
        <v/>
      </c>
      <c r="OX14" s="40" t="str">
        <f aca="false">IFERROR(IF(MONTH(OX16)=MONTH(OW16),"",TEXT(OX16,"MMM")),"")</f>
        <v/>
      </c>
      <c r="OY14" s="40" t="str">
        <f aca="false">IFERROR(IF(MONTH(OY16)=MONTH(OX16),"",TEXT(OY16,"MMM")),"")</f>
        <v/>
      </c>
      <c r="OZ14" s="40" t="str">
        <f aca="false">IFERROR(IF(MONTH(OZ16)=MONTH(OY16),"",TEXT(OZ16,"MMM")),"")</f>
        <v/>
      </c>
      <c r="PA14" s="40" t="str">
        <f aca="false">IFERROR(IF(MONTH(PA16)=MONTH(OZ16),"",TEXT(PA16,"MMM")),"")</f>
        <v/>
      </c>
      <c r="PB14" s="40" t="str">
        <f aca="false">IFERROR(IF(MONTH(PB16)=MONTH(PA16),"",TEXT(PB16,"MMM")),"")</f>
        <v/>
      </c>
      <c r="PC14" s="40" t="str">
        <f aca="false">IFERROR(IF(MONTH(PC16)=MONTH(PB16),"",TEXT(PC16,"MMM")),"")</f>
        <v/>
      </c>
      <c r="PD14" s="40" t="str">
        <f aca="false">IFERROR(IF(MONTH(PD16)=MONTH(PC16),"",TEXT(PD16,"MMM")),"")</f>
        <v/>
      </c>
      <c r="PE14" s="40" t="str">
        <f aca="false">IFERROR(IF(MONTH(PE16)=MONTH(PD16),"",TEXT(PE16,"MMM")),"")</f>
        <v/>
      </c>
      <c r="PF14" s="40" t="str">
        <f aca="false">IFERROR(IF(MONTH(PF16)=MONTH(PE16),"",TEXT(PF16,"MMM")),"")</f>
        <v/>
      </c>
      <c r="PG14" s="40" t="str">
        <f aca="false">IFERROR(IF(MONTH(PG16)=MONTH(PF16),"",TEXT(PG16,"MMM")),"")</f>
        <v/>
      </c>
      <c r="PH14" s="40" t="str">
        <f aca="false">IFERROR(IF(MONTH(PH16)=MONTH(PG16),"",TEXT(PH16,"MMM")),"")</f>
        <v/>
      </c>
      <c r="PI14" s="40" t="str">
        <f aca="false">IFERROR(IF(MONTH(PI16)=MONTH(PH16),"",TEXT(PI16,"MMM")),"")</f>
        <v/>
      </c>
      <c r="PJ14" s="40" t="str">
        <f aca="false">IFERROR(IF(MONTH(PJ16)=MONTH(PI16),"",TEXT(PJ16,"MMM")),"")</f>
        <v/>
      </c>
      <c r="PK14" s="40" t="str">
        <f aca="false">IFERROR(IF(MONTH(PK16)=MONTH(PJ16),"",TEXT(PK16,"MMM")),"")</f>
        <v/>
      </c>
      <c r="PL14" s="40" t="str">
        <f aca="false">IFERROR(IF(MONTH(PL16)=MONTH(PK16),"",TEXT(PL16,"MMM")),"")</f>
        <v/>
      </c>
      <c r="PM14" s="40" t="str">
        <f aca="false">IFERROR(IF(MONTH(PM16)=MONTH(PL16),"",TEXT(PM16,"MMM")),"")</f>
        <v/>
      </c>
      <c r="PN14" s="40" t="str">
        <f aca="false">IFERROR(IF(MONTH(PN16)=MONTH(PM16),"",TEXT(PN16,"MMM")),"")</f>
        <v/>
      </c>
      <c r="PO14" s="40" t="str">
        <f aca="false">IFERROR(IF(MONTH(PO16)=MONTH(PN16),"",TEXT(PO16,"MMM")),"")</f>
        <v/>
      </c>
      <c r="PP14" s="40" t="str">
        <f aca="false">IFERROR(IF(MONTH(PP16)=MONTH(PO16),"",TEXT(PP16,"MMM")),"")</f>
        <v/>
      </c>
      <c r="PQ14" s="40" t="str">
        <f aca="false">IFERROR(IF(MONTH(PQ16)=MONTH(PP16),"",TEXT(PQ16,"MMM")),"")</f>
        <v/>
      </c>
      <c r="PR14" s="40" t="str">
        <f aca="false">IFERROR(IF(MONTH(PR16)=MONTH(PQ16),"",TEXT(PR16,"MMM")),"")</f>
        <v/>
      </c>
      <c r="PS14" s="40" t="str">
        <f aca="false">IFERROR(IF(MONTH(PS16)=MONTH(PR16),"",TEXT(PS16,"MMM")),"")</f>
        <v/>
      </c>
      <c r="PT14" s="40" t="str">
        <f aca="false">IFERROR(IF(MONTH(PT16)=MONTH(PS16),"",TEXT(PT16,"MMM")),"")</f>
        <v/>
      </c>
      <c r="PU14" s="40" t="str">
        <f aca="false">IFERROR(IF(MONTH(PU16)=MONTH(PT16),"",TEXT(PU16,"MMM")),"")</f>
        <v/>
      </c>
      <c r="PV14" s="40" t="str">
        <f aca="false">IFERROR(IF(MONTH(PV16)=MONTH(PU16),"",TEXT(PV16,"MMM")),"")</f>
        <v/>
      </c>
      <c r="PW14" s="40" t="str">
        <f aca="false">IFERROR(IF(MONTH(PW16)=MONTH(PV16),"",TEXT(PW16,"MMM")),"")</f>
        <v/>
      </c>
      <c r="PX14" s="40" t="str">
        <f aca="false">IFERROR(IF(MONTH(PX16)=MONTH(PW16),"",TEXT(PX16,"MMM")),"")</f>
        <v/>
      </c>
      <c r="PY14" s="40" t="str">
        <f aca="false">IFERROR(IF(MONTH(PY16)=MONTH(PX16),"",TEXT(PY16,"MMM")),"")</f>
        <v/>
      </c>
      <c r="PZ14" s="40" t="str">
        <f aca="false">IFERROR(IF(MONTH(PZ16)=MONTH(PY16),"",TEXT(PZ16,"MMM")),"")</f>
        <v/>
      </c>
      <c r="QA14" s="40" t="str">
        <f aca="false">IFERROR(IF(MONTH(QA16)=MONTH(PZ16),"",TEXT(QA16,"MMM")),"")</f>
        <v/>
      </c>
      <c r="QB14" s="40" t="str">
        <f aca="false">IFERROR(IF(MONTH(QB16)=MONTH(QA16),"",TEXT(QB16,"MMM")),"")</f>
        <v/>
      </c>
      <c r="QC14" s="40" t="str">
        <f aca="false">IFERROR(IF(MONTH(QC16)=MONTH(QB16),"",TEXT(QC16,"MMM")),"")</f>
        <v/>
      </c>
      <c r="QD14" s="40" t="str">
        <f aca="false">IFERROR(IF(MONTH(QD16)=MONTH(QC16),"",TEXT(QD16,"MMM")),"")</f>
        <v/>
      </c>
      <c r="QE14" s="40" t="str">
        <f aca="false">IFERROR(IF(MONTH(QE16)=MONTH(QD16),"",TEXT(QE16,"MMM")),"")</f>
        <v/>
      </c>
      <c r="QF14" s="40" t="str">
        <f aca="false">IFERROR(IF(MONTH(QF16)=MONTH(QE16),"",TEXT(QF16,"MMM")),"")</f>
        <v/>
      </c>
      <c r="QG14" s="40" t="str">
        <f aca="false">IFERROR(IF(MONTH(QG16)=MONTH(QF16),"",TEXT(QG16,"MMM")),"")</f>
        <v/>
      </c>
      <c r="QH14" s="40" t="str">
        <f aca="false">IFERROR(IF(MONTH(QH16)=MONTH(QG16),"",TEXT(QH16,"MMM")),"")</f>
        <v/>
      </c>
      <c r="QI14" s="40" t="str">
        <f aca="false">IFERROR(IF(MONTH(QI16)=MONTH(QH16),"",TEXT(QI16,"MMM")),"")</f>
        <v/>
      </c>
      <c r="QJ14" s="40" t="str">
        <f aca="false">IFERROR(IF(MONTH(QJ16)=MONTH(QI16),"",TEXT(QJ16,"MMM")),"")</f>
        <v/>
      </c>
      <c r="QK14" s="40" t="str">
        <f aca="false">IFERROR(IF(MONTH(QK16)=MONTH(QJ16),"",TEXT(QK16,"MMM")),"")</f>
        <v/>
      </c>
      <c r="QL14" s="40" t="str">
        <f aca="false">IFERROR(IF(MONTH(QL16)=MONTH(QK16),"",TEXT(QL16,"MMM")),"")</f>
        <v/>
      </c>
      <c r="QM14" s="40" t="str">
        <f aca="false">IFERROR(IF(MONTH(QM16)=MONTH(QL16),"",TEXT(QM16,"MMM")),"")</f>
        <v/>
      </c>
      <c r="QN14" s="40" t="str">
        <f aca="false">IFERROR(IF(MONTH(QN16)=MONTH(QM16),"",TEXT(QN16,"MMM")),"")</f>
        <v/>
      </c>
      <c r="QO14" s="40" t="str">
        <f aca="false">IFERROR(IF(MONTH(QO16)=MONTH(QN16),"",TEXT(QO16,"MMM")),"")</f>
        <v/>
      </c>
      <c r="QP14" s="40" t="str">
        <f aca="false">IFERROR(IF(MONTH(QP16)=MONTH(QO16),"",TEXT(QP16,"MMM")),"")</f>
        <v/>
      </c>
      <c r="QQ14" s="40" t="str">
        <f aca="false">IFERROR(IF(MONTH(QQ16)=MONTH(QP16),"",TEXT(QQ16,"MMM")),"")</f>
        <v/>
      </c>
      <c r="QR14" s="40" t="str">
        <f aca="false">IFERROR(IF(MONTH(QR16)=MONTH(QQ16),"",TEXT(QR16,"MMM")),"")</f>
        <v/>
      </c>
      <c r="QS14" s="40" t="str">
        <f aca="false">IFERROR(IF(MONTH(QS16)=MONTH(QR16),"",TEXT(QS16,"MMM")),"")</f>
        <v/>
      </c>
      <c r="QT14" s="40" t="str">
        <f aca="false">IFERROR(IF(MONTH(QT16)=MONTH(QS16),"",TEXT(QT16,"MMM")),"")</f>
        <v/>
      </c>
      <c r="QU14" s="40" t="str">
        <f aca="false">IFERROR(IF(MONTH(QU16)=MONTH(QT16),"",TEXT(QU16,"MMM")),"")</f>
        <v/>
      </c>
      <c r="QV14" s="40" t="str">
        <f aca="false">IFERROR(IF(MONTH(QV16)=MONTH(QU16),"",TEXT(QV16,"MMM")),"")</f>
        <v/>
      </c>
      <c r="QW14" s="40" t="str">
        <f aca="false">IFERROR(IF(MONTH(QW16)=MONTH(QV16),"",TEXT(QW16,"MMM")),"")</f>
        <v/>
      </c>
      <c r="QX14" s="40" t="str">
        <f aca="false">IFERROR(IF(MONTH(QX16)=MONTH(QW16),"",TEXT(QX16,"MMM")),"")</f>
        <v/>
      </c>
      <c r="QY14" s="40" t="str">
        <f aca="false">IFERROR(IF(MONTH(QY16)=MONTH(QX16),"",TEXT(QY16,"MMM")),"")</f>
        <v/>
      </c>
      <c r="QZ14" s="40" t="str">
        <f aca="false">IFERROR(IF(MONTH(QZ16)=MONTH(QY16),"",TEXT(QZ16,"MMM")),"")</f>
        <v/>
      </c>
      <c r="RA14" s="40" t="str">
        <f aca="false">IFERROR(IF(MONTH(RA16)=MONTH(QZ16),"",TEXT(RA16,"MMM")),"")</f>
        <v/>
      </c>
      <c r="RB14" s="40" t="str">
        <f aca="false">IFERROR(IF(MONTH(RB16)=MONTH(RA16),"",TEXT(RB16,"MMM")),"")</f>
        <v/>
      </c>
      <c r="RC14" s="40" t="str">
        <f aca="false">IFERROR(IF(MONTH(RC16)=MONTH(RB16),"",TEXT(RC16,"MMM")),"")</f>
        <v/>
      </c>
      <c r="RD14" s="40" t="str">
        <f aca="false">IFERROR(IF(MONTH(RD16)=MONTH(RC16),"",TEXT(RD16,"MMM")),"")</f>
        <v/>
      </c>
      <c r="RE14" s="40" t="str">
        <f aca="false">IFERROR(IF(MONTH(RE16)=MONTH(RD16),"",TEXT(RE16,"MMM")),"")</f>
        <v/>
      </c>
      <c r="RF14" s="40" t="str">
        <f aca="false">IFERROR(IF(MONTH(RF16)=MONTH(RE16),"",TEXT(RF16,"MMM")),"")</f>
        <v/>
      </c>
      <c r="RG14" s="40" t="str">
        <f aca="false">IFERROR(IF(MONTH(RG16)=MONTH(RF16),"",TEXT(RG16,"MMM")),"")</f>
        <v/>
      </c>
      <c r="RH14" s="40" t="str">
        <f aca="false">IFERROR(IF(MONTH(RH16)=MONTH(RG16),"",TEXT(RH16,"MMM")),"")</f>
        <v/>
      </c>
      <c r="RI14" s="40" t="str">
        <f aca="false">IFERROR(IF(MONTH(RI16)=MONTH(RH16),"",TEXT(RI16,"MMM")),"")</f>
        <v/>
      </c>
      <c r="RJ14" s="40" t="str">
        <f aca="false">IFERROR(IF(MONTH(RJ16)=MONTH(RI16),"",TEXT(RJ16,"MMM")),"")</f>
        <v/>
      </c>
      <c r="RK14" s="40" t="str">
        <f aca="false">IFERROR(IF(MONTH(RK16)=MONTH(RJ16),"",TEXT(RK16,"MMM")),"")</f>
        <v/>
      </c>
      <c r="RL14" s="40" t="str">
        <f aca="false">IFERROR(IF(MONTH(RL16)=MONTH(RK16),"",TEXT(RL16,"MMM")),"")</f>
        <v/>
      </c>
      <c r="RM14" s="40" t="str">
        <f aca="false">IFERROR(IF(MONTH(RM16)=MONTH(RL16),"",TEXT(RM16,"MMM")),"")</f>
        <v/>
      </c>
      <c r="RN14" s="40" t="str">
        <f aca="false">IFERROR(IF(MONTH(RN16)=MONTH(RM16),"",TEXT(RN16,"MMM")),"")</f>
        <v/>
      </c>
      <c r="RO14" s="40" t="str">
        <f aca="false">IFERROR(IF(MONTH(RO16)=MONTH(RN16),"",TEXT(RO16,"MMM")),"")</f>
        <v/>
      </c>
      <c r="RP14" s="40" t="str">
        <f aca="false">IFERROR(IF(MONTH(RP16)=MONTH(RO16),"",TEXT(RP16,"MMM")),"")</f>
        <v/>
      </c>
      <c r="RQ14" s="40" t="str">
        <f aca="false">IFERROR(IF(MONTH(RQ16)=MONTH(RP16),"",TEXT(RQ16,"MMM")),"")</f>
        <v/>
      </c>
      <c r="RR14" s="40" t="str">
        <f aca="false">IFERROR(IF(MONTH(RR16)=MONTH(RQ16),"",TEXT(RR16,"MMM")),"")</f>
        <v/>
      </c>
      <c r="RS14" s="40" t="str">
        <f aca="false">IFERROR(IF(MONTH(RS16)=MONTH(RR16),"",TEXT(RS16,"MMM")),"")</f>
        <v/>
      </c>
      <c r="RT14" s="40" t="str">
        <f aca="false">IFERROR(IF(MONTH(RT16)=MONTH(RS16),"",TEXT(RT16,"MMM")),"")</f>
        <v/>
      </c>
      <c r="RU14" s="40" t="str">
        <f aca="false">IFERROR(IF(MONTH(RU16)=MONTH(RT16),"",TEXT(RU16,"MMM")),"")</f>
        <v/>
      </c>
      <c r="RV14" s="40" t="str">
        <f aca="false">IFERROR(IF(MONTH(RV16)=MONTH(RU16),"",TEXT(RV16,"MMM")),"")</f>
        <v/>
      </c>
      <c r="RW14" s="40" t="str">
        <f aca="false">IFERROR(IF(MONTH(RW16)=MONTH(RV16),"",TEXT(RW16,"MMM")),"")</f>
        <v/>
      </c>
      <c r="RX14" s="40" t="str">
        <f aca="false">IFERROR(IF(MONTH(RX16)=MONTH(RW16),"",TEXT(RX16,"MMM")),"")</f>
        <v/>
      </c>
      <c r="RY14" s="40" t="str">
        <f aca="false">IFERROR(IF(MONTH(RY16)=MONTH(RX16),"",TEXT(RY16,"MMM")),"")</f>
        <v/>
      </c>
      <c r="RZ14" s="40" t="str">
        <f aca="false">IFERROR(IF(MONTH(RZ16)=MONTH(RY16),"",TEXT(RZ16,"MMM")),"")</f>
        <v/>
      </c>
      <c r="SA14" s="40" t="str">
        <f aca="false">IFERROR(IF(MONTH(SA16)=MONTH(RZ16),"",TEXT(SA16,"MMM")),"")</f>
        <v/>
      </c>
      <c r="SB14" s="40" t="str">
        <f aca="false">IFERROR(IF(MONTH(SB16)=MONTH(SA16),"",TEXT(SB16,"MMM")),"")</f>
        <v/>
      </c>
      <c r="SC14" s="40" t="str">
        <f aca="false">IFERROR(IF(MONTH(SC16)=MONTH(SB16),"",TEXT(SC16,"MMM")),"")</f>
        <v/>
      </c>
      <c r="SD14" s="40" t="str">
        <f aca="false">IFERROR(IF(MONTH(SD16)=MONTH(SC16),"",TEXT(SD16,"MMM")),"")</f>
        <v/>
      </c>
      <c r="SE14" s="40" t="str">
        <f aca="false">IFERROR(IF(MONTH(SE16)=MONTH(SD16),"",TEXT(SE16,"MMM")),"")</f>
        <v/>
      </c>
      <c r="SF14" s="40" t="str">
        <f aca="false">IFERROR(IF(MONTH(SF16)=MONTH(SE16),"",TEXT(SF16,"MMM")),"")</f>
        <v/>
      </c>
      <c r="SG14" s="40" t="str">
        <f aca="false">IFERROR(IF(MONTH(SG16)=MONTH(SF16),"",TEXT(SG16,"MMM")),"")</f>
        <v/>
      </c>
      <c r="SH14" s="40" t="str">
        <f aca="false">IFERROR(IF(MONTH(SH16)=MONTH(SG16),"",TEXT(SH16,"MMM")),"")</f>
        <v/>
      </c>
      <c r="SI14" s="40" t="str">
        <f aca="false">IFERROR(IF(MONTH(SI16)=MONTH(SH16),"",TEXT(SI16,"MMM")),"")</f>
        <v/>
      </c>
      <c r="SJ14" s="40" t="str">
        <f aca="false">IFERROR(IF(MONTH(SJ16)=MONTH(SI16),"",TEXT(SJ16,"MMM")),"")</f>
        <v/>
      </c>
      <c r="SK14" s="40" t="str">
        <f aca="false">IFERROR(IF(MONTH(SK16)=MONTH(SJ16),"",TEXT(SK16,"MMM")),"")</f>
        <v/>
      </c>
      <c r="SL14" s="40" t="str">
        <f aca="false">IFERROR(IF(MONTH(SL16)=MONTH(SK16),"",TEXT(SL16,"MMM")),"")</f>
        <v/>
      </c>
      <c r="SM14" s="40" t="str">
        <f aca="false">IFERROR(IF(MONTH(SM16)=MONTH(SL16),"",TEXT(SM16,"MMM")),"")</f>
        <v/>
      </c>
      <c r="SN14" s="40" t="str">
        <f aca="false">IFERROR(IF(MONTH(SN16)=MONTH(SM16),"",TEXT(SN16,"MMM")),"")</f>
        <v/>
      </c>
      <c r="SO14" s="40" t="str">
        <f aca="false">IFERROR(IF(MONTH(SO16)=MONTH(SN16),"",TEXT(SO16,"MMM")),"")</f>
        <v/>
      </c>
      <c r="SP14" s="40" t="str">
        <f aca="false">IFERROR(IF(MONTH(SP16)=MONTH(SO16),"",TEXT(SP16,"MMM")),"")</f>
        <v/>
      </c>
      <c r="SQ14" s="40" t="str">
        <f aca="false">IFERROR(IF(MONTH(SQ16)=MONTH(SP16),"",TEXT(SQ16,"MMM")),"")</f>
        <v/>
      </c>
      <c r="SR14" s="40" t="str">
        <f aca="false">IFERROR(IF(MONTH(SR16)=MONTH(SQ16),"",TEXT(SR16,"MMM")),"")</f>
        <v/>
      </c>
      <c r="SS14" s="40" t="str">
        <f aca="false">IFERROR(IF(MONTH(SS16)=MONTH(SR16),"",TEXT(SS16,"MMM")),"")</f>
        <v/>
      </c>
      <c r="ST14" s="40" t="str">
        <f aca="false">IFERROR(IF(MONTH(ST16)=MONTH(SS16),"",TEXT(ST16,"MMM")),"")</f>
        <v/>
      </c>
      <c r="SU14" s="40" t="str">
        <f aca="false">IFERROR(IF(MONTH(SU16)=MONTH(ST16),"",TEXT(SU16,"MMM")),"")</f>
        <v/>
      </c>
      <c r="SV14" s="40" t="str">
        <f aca="false">IFERROR(IF(MONTH(SV16)=MONTH(SU16),"",TEXT(SV16,"MMM")),"")</f>
        <v/>
      </c>
      <c r="SW14" s="41" t="str">
        <f aca="false">IFERROR(IF(MONTH(SW16)=MONTH(SV16),"",TEXT(SW16,"MMM")),"")</f>
        <v/>
      </c>
    </row>
    <row r="15" s="42" customFormat="true" ht="10.5" hidden="false" customHeight="true" outlineLevel="0" collapsed="false">
      <c r="C15" s="43"/>
      <c r="D15" s="44"/>
      <c r="E15" s="45"/>
      <c r="F15" s="45"/>
      <c r="G15" s="45"/>
      <c r="H15" s="45"/>
      <c r="I15" s="46"/>
      <c r="J15" s="46"/>
      <c r="K15" s="47"/>
      <c r="L15" s="48" t="str">
        <f aca="false">TEXT(L16,"ddd")</f>
        <v>Fri</v>
      </c>
      <c r="M15" s="49" t="str">
        <f aca="false">TEXT(M16,"ddd")</f>
        <v>Sat</v>
      </c>
      <c r="N15" s="49" t="str">
        <f aca="false">TEXT(N16,"ddd")</f>
        <v>Sun</v>
      </c>
      <c r="O15" s="49" t="str">
        <f aca="false">TEXT(O16,"ddd")</f>
        <v>Mon</v>
      </c>
      <c r="P15" s="49" t="str">
        <f aca="false">TEXT(P16,"ddd")</f>
        <v>Tue</v>
      </c>
      <c r="Q15" s="49" t="str">
        <f aca="false">TEXT(Q16,"ddd")</f>
        <v>Wed</v>
      </c>
      <c r="R15" s="49" t="str">
        <f aca="false">TEXT(R16,"ddd")</f>
        <v>Thu</v>
      </c>
      <c r="S15" s="49" t="str">
        <f aca="false">TEXT(S16,"ddd")</f>
        <v>Fri</v>
      </c>
      <c r="T15" s="49" t="str">
        <f aca="false">TEXT(T16,"ddd")</f>
        <v>Sat</v>
      </c>
      <c r="U15" s="49" t="str">
        <f aca="false">TEXT(U16,"ddd")</f>
        <v>Sun</v>
      </c>
      <c r="V15" s="49" t="str">
        <f aca="false">TEXT(V16,"ddd")</f>
        <v>Mon</v>
      </c>
      <c r="W15" s="49" t="str">
        <f aca="false">TEXT(W16,"ddd")</f>
        <v>Tue</v>
      </c>
      <c r="X15" s="49" t="str">
        <f aca="false">TEXT(X16,"ddd")</f>
        <v>Wed</v>
      </c>
      <c r="Y15" s="49" t="str">
        <f aca="false">TEXT(Y16,"ddd")</f>
        <v>Thu</v>
      </c>
      <c r="Z15" s="49" t="str">
        <f aca="false">TEXT(Z16,"ddd")</f>
        <v>Fri</v>
      </c>
      <c r="AA15" s="49" t="str">
        <f aca="false">TEXT(AA16,"ddd")</f>
        <v>Sat</v>
      </c>
      <c r="AB15" s="49" t="str">
        <f aca="false">TEXT(AB16,"ddd")</f>
        <v>Sun</v>
      </c>
      <c r="AC15" s="49" t="str">
        <f aca="false">TEXT(AC16,"ddd")</f>
        <v>Mon</v>
      </c>
      <c r="AD15" s="49" t="str">
        <f aca="false">TEXT(AD16,"ddd")</f>
        <v>Tue</v>
      </c>
      <c r="AE15" s="49" t="str">
        <f aca="false">TEXT(AE16,"ddd")</f>
        <v>Wed</v>
      </c>
      <c r="AF15" s="49" t="str">
        <f aca="false">TEXT(AF16,"ddd")</f>
        <v>Thu</v>
      </c>
      <c r="AG15" s="49" t="str">
        <f aca="false">TEXT(AG16,"ddd")</f>
        <v>Fri</v>
      </c>
      <c r="AH15" s="49" t="str">
        <f aca="false">TEXT(AH16,"ddd")</f>
        <v>Sat</v>
      </c>
      <c r="AI15" s="49" t="str">
        <f aca="false">TEXT(AI16,"ddd")</f>
        <v>Sun</v>
      </c>
      <c r="AJ15" s="49" t="str">
        <f aca="false">TEXT(AJ16,"ddd")</f>
        <v>Mon</v>
      </c>
      <c r="AK15" s="49" t="str">
        <f aca="false">TEXT(AK16,"ddd")</f>
        <v>Tue</v>
      </c>
      <c r="AL15" s="49" t="str">
        <f aca="false">TEXT(AL16,"ddd")</f>
        <v>Wed</v>
      </c>
      <c r="AM15" s="49" t="str">
        <f aca="false">TEXT(AM16,"ddd")</f>
        <v>Thu</v>
      </c>
      <c r="AN15" s="49" t="str">
        <f aca="false">TEXT(AN16,"ddd")</f>
        <v>Fri</v>
      </c>
      <c r="AO15" s="49" t="str">
        <f aca="false">TEXT(AO16,"ddd")</f>
        <v>Sat</v>
      </c>
      <c r="AP15" s="49" t="str">
        <f aca="false">TEXT(AP16,"ddd")</f>
        <v>Sun</v>
      </c>
      <c r="AQ15" s="48" t="str">
        <f aca="false">TEXT(AQ16,"ddd")</f>
        <v>Mon</v>
      </c>
      <c r="AR15" s="49" t="str">
        <f aca="false">TEXT(AR16,"ddd")</f>
        <v>Tue</v>
      </c>
      <c r="AS15" s="49" t="str">
        <f aca="false">TEXT(AS16,"ddd")</f>
        <v>Wed</v>
      </c>
      <c r="AT15" s="49" t="str">
        <f aca="false">TEXT(AT16,"ddd")</f>
        <v>Thu</v>
      </c>
      <c r="AU15" s="49" t="str">
        <f aca="false">TEXT(AU16,"ddd")</f>
        <v>Fri</v>
      </c>
      <c r="AV15" s="49" t="str">
        <f aca="false">TEXT(AV16,"ddd")</f>
        <v>Sat</v>
      </c>
      <c r="AW15" s="49" t="str">
        <f aca="false">TEXT(AW16,"ddd")</f>
        <v>Sun</v>
      </c>
      <c r="AX15" s="49" t="str">
        <f aca="false">TEXT(AX16,"ddd")</f>
        <v>Mon</v>
      </c>
      <c r="AY15" s="49" t="str">
        <f aca="false">TEXT(AY16,"ddd")</f>
        <v>Tue</v>
      </c>
      <c r="AZ15" s="49" t="str">
        <f aca="false">TEXT(AZ16,"ddd")</f>
        <v>Wed</v>
      </c>
      <c r="BA15" s="49" t="str">
        <f aca="false">TEXT(BA16,"ddd")</f>
        <v>Thu</v>
      </c>
      <c r="BB15" s="49" t="str">
        <f aca="false">TEXT(BB16,"ddd")</f>
        <v>Fri</v>
      </c>
      <c r="BC15" s="49" t="str">
        <f aca="false">TEXT(BC16,"ddd")</f>
        <v>Sat</v>
      </c>
      <c r="BD15" s="49" t="str">
        <f aca="false">TEXT(BD16,"ddd")</f>
        <v>Sun</v>
      </c>
      <c r="BE15" s="49" t="str">
        <f aca="false">TEXT(BE16,"ddd")</f>
        <v>Mon</v>
      </c>
      <c r="BF15" s="49" t="str">
        <f aca="false">TEXT(BF16,"ddd")</f>
        <v>Tue</v>
      </c>
      <c r="BG15" s="49" t="str">
        <f aca="false">TEXT(BG16,"ddd")</f>
        <v>Wed</v>
      </c>
      <c r="BH15" s="49" t="str">
        <f aca="false">TEXT(BH16,"ddd")</f>
        <v>Thu</v>
      </c>
      <c r="BI15" s="49" t="str">
        <f aca="false">TEXT(BI16,"ddd")</f>
        <v>Fri</v>
      </c>
      <c r="BJ15" s="49" t="str">
        <f aca="false">TEXT(BJ16,"ddd")</f>
        <v>Sat</v>
      </c>
      <c r="BK15" s="49" t="str">
        <f aca="false">TEXT(BK16,"ddd")</f>
        <v>Sun</v>
      </c>
      <c r="BL15" s="49" t="str">
        <f aca="false">TEXT(BL16,"ddd")</f>
        <v>Mon</v>
      </c>
      <c r="BM15" s="49" t="str">
        <f aca="false">TEXT(BM16,"ddd")</f>
        <v>Tue</v>
      </c>
      <c r="BN15" s="49" t="str">
        <f aca="false">TEXT(BN16,"ddd")</f>
        <v>Wed</v>
      </c>
      <c r="BO15" s="49" t="str">
        <f aca="false">TEXT(BO16,"ddd")</f>
        <v>Thu</v>
      </c>
      <c r="BP15" s="49" t="str">
        <f aca="false">TEXT(BP16,"ddd")</f>
        <v>Fri</v>
      </c>
      <c r="BQ15" s="49" t="str">
        <f aca="false">TEXT(BQ16,"ddd")</f>
        <v>Sat</v>
      </c>
      <c r="BR15" s="49" t="str">
        <f aca="false">TEXT(BR16,"ddd")</f>
        <v>Sun</v>
      </c>
      <c r="BS15" s="49" t="str">
        <f aca="false">TEXT(BS16,"ddd")</f>
        <v>Mon</v>
      </c>
      <c r="BT15" s="49" t="str">
        <f aca="false">TEXT(BT16,"ddd")</f>
        <v>Tue</v>
      </c>
      <c r="BU15" s="49" t="str">
        <f aca="false">TEXT(BU16,"ddd")</f>
        <v>Wed</v>
      </c>
      <c r="BV15" s="49" t="str">
        <f aca="false">TEXT(BV16,"ddd")</f>
        <v>Thu</v>
      </c>
      <c r="BW15" s="49" t="str">
        <f aca="false">TEXT(BW16,"ddd")</f>
        <v>Fri</v>
      </c>
      <c r="BX15" s="49" t="str">
        <f aca="false">TEXT(BX16,"ddd")</f>
        <v>Sat</v>
      </c>
      <c r="BY15" s="49" t="str">
        <f aca="false">TEXT(BY16,"ddd")</f>
        <v>Sun</v>
      </c>
      <c r="BZ15" s="49" t="str">
        <f aca="false">TEXT(BZ16,"ddd")</f>
        <v>Mon</v>
      </c>
      <c r="CA15" s="49" t="str">
        <f aca="false">TEXT(CA16,"ddd")</f>
        <v>Tue</v>
      </c>
      <c r="CB15" s="49" t="str">
        <f aca="false">TEXT(CB16,"ddd")</f>
        <v>Wed</v>
      </c>
      <c r="CC15" s="49" t="str">
        <f aca="false">TEXT(CC16,"ddd")</f>
        <v>Thu</v>
      </c>
      <c r="CD15" s="49" t="str">
        <f aca="false">TEXT(CD16,"ddd")</f>
        <v>Fri</v>
      </c>
      <c r="CE15" s="49" t="str">
        <f aca="false">TEXT(CE16,"ddd")</f>
        <v>Sat</v>
      </c>
      <c r="CF15" s="49" t="str">
        <f aca="false">TEXT(CF16,"ddd")</f>
        <v>Sun</v>
      </c>
      <c r="CG15" s="49" t="str">
        <f aca="false">TEXT(CG16,"ddd")</f>
        <v>Mon</v>
      </c>
      <c r="CH15" s="49" t="str">
        <f aca="false">TEXT(CH16,"ddd")</f>
        <v>Tue</v>
      </c>
      <c r="CI15" s="49" t="str">
        <f aca="false">TEXT(CI16,"ddd")</f>
        <v>Wed</v>
      </c>
      <c r="CJ15" s="49" t="str">
        <f aca="false">TEXT(CJ16,"ddd")</f>
        <v>Thu</v>
      </c>
      <c r="CK15" s="49" t="str">
        <f aca="false">TEXT(CK16,"ddd")</f>
        <v>Fri</v>
      </c>
      <c r="CL15" s="49" t="str">
        <f aca="false">TEXT(CL16,"ddd")</f>
        <v>Sat</v>
      </c>
      <c r="CM15" s="49" t="str">
        <f aca="false">TEXT(CM16,"ddd")</f>
        <v>Sun</v>
      </c>
      <c r="CN15" s="49" t="str">
        <f aca="false">TEXT(CN16,"ddd")</f>
        <v>Mon</v>
      </c>
      <c r="CO15" s="49" t="str">
        <f aca="false">TEXT(CO16,"ddd")</f>
        <v>Tue</v>
      </c>
      <c r="CP15" s="49" t="str">
        <f aca="false">TEXT(CP16,"ddd")</f>
        <v>Wed</v>
      </c>
      <c r="CQ15" s="49" t="str">
        <f aca="false">TEXT(CQ16,"ddd")</f>
        <v/>
      </c>
      <c r="CR15" s="49" t="str">
        <f aca="false">TEXT(CR16,"ddd")</f>
        <v/>
      </c>
      <c r="CS15" s="49" t="str">
        <f aca="false">TEXT(CS16,"ddd")</f>
        <v/>
      </c>
      <c r="CT15" s="49" t="str">
        <f aca="false">TEXT(CT16,"ddd")</f>
        <v/>
      </c>
      <c r="CU15" s="49" t="str">
        <f aca="false">TEXT(CU16,"ddd")</f>
        <v/>
      </c>
      <c r="CV15" s="49" t="str">
        <f aca="false">TEXT(CV16,"ddd")</f>
        <v/>
      </c>
      <c r="CW15" s="49" t="str">
        <f aca="false">TEXT(CW16,"ddd")</f>
        <v/>
      </c>
      <c r="CX15" s="49" t="str">
        <f aca="false">TEXT(CX16,"ddd")</f>
        <v/>
      </c>
      <c r="CY15" s="49" t="str">
        <f aca="false">TEXT(CY16,"ddd")</f>
        <v/>
      </c>
      <c r="CZ15" s="49" t="str">
        <f aca="false">TEXT(CZ16,"ddd")</f>
        <v/>
      </c>
      <c r="DA15" s="49" t="str">
        <f aca="false">TEXT(DA16,"ddd")</f>
        <v/>
      </c>
      <c r="DB15" s="49" t="str">
        <f aca="false">TEXT(DB16,"ddd")</f>
        <v/>
      </c>
      <c r="DC15" s="49" t="str">
        <f aca="false">TEXT(DC16,"ddd")</f>
        <v/>
      </c>
      <c r="DD15" s="49" t="str">
        <f aca="false">TEXT(DD16,"ddd")</f>
        <v/>
      </c>
      <c r="DE15" s="49" t="str">
        <f aca="false">TEXT(DE16,"ddd")</f>
        <v/>
      </c>
      <c r="DF15" s="49" t="str">
        <f aca="false">TEXT(DF16,"ddd")</f>
        <v/>
      </c>
      <c r="DG15" s="49" t="str">
        <f aca="false">TEXT(DG16,"ddd")</f>
        <v/>
      </c>
      <c r="DH15" s="49" t="str">
        <f aca="false">TEXT(DH16,"ddd")</f>
        <v/>
      </c>
      <c r="DI15" s="49" t="str">
        <f aca="false">TEXT(DI16,"ddd")</f>
        <v/>
      </c>
      <c r="DJ15" s="49" t="str">
        <f aca="false">TEXT(DJ16,"ddd")</f>
        <v/>
      </c>
      <c r="DK15" s="49" t="str">
        <f aca="false">TEXT(DK16,"ddd")</f>
        <v/>
      </c>
      <c r="DL15" s="49" t="str">
        <f aca="false">TEXT(DL16,"ddd")</f>
        <v/>
      </c>
      <c r="DM15" s="49" t="str">
        <f aca="false">TEXT(DM16,"ddd")</f>
        <v/>
      </c>
      <c r="DN15" s="49" t="str">
        <f aca="false">TEXT(DN16,"ddd")</f>
        <v/>
      </c>
      <c r="DO15" s="49" t="str">
        <f aca="false">TEXT(DO16,"ddd")</f>
        <v/>
      </c>
      <c r="DP15" s="49" t="str">
        <f aca="false">TEXT(DP16,"ddd")</f>
        <v/>
      </c>
      <c r="DQ15" s="49" t="str">
        <f aca="false">TEXT(DQ16,"ddd")</f>
        <v/>
      </c>
      <c r="DR15" s="49" t="str">
        <f aca="false">TEXT(DR16,"ddd")</f>
        <v/>
      </c>
      <c r="DS15" s="49" t="str">
        <f aca="false">TEXT(DS16,"ddd")</f>
        <v/>
      </c>
      <c r="DT15" s="49" t="str">
        <f aca="false">TEXT(DT16,"ddd")</f>
        <v/>
      </c>
      <c r="DU15" s="49" t="str">
        <f aca="false">TEXT(DU16,"ddd")</f>
        <v/>
      </c>
      <c r="DV15" s="49" t="str">
        <f aca="false">TEXT(DV16,"ddd")</f>
        <v/>
      </c>
      <c r="DW15" s="49" t="str">
        <f aca="false">TEXT(DW16,"ddd")</f>
        <v/>
      </c>
      <c r="DX15" s="49" t="str">
        <f aca="false">TEXT(DX16,"ddd")</f>
        <v/>
      </c>
      <c r="DY15" s="49" t="str">
        <f aca="false">TEXT(DY16,"ddd")</f>
        <v/>
      </c>
      <c r="DZ15" s="49" t="str">
        <f aca="false">TEXT(DZ16,"ddd")</f>
        <v/>
      </c>
      <c r="EA15" s="49" t="str">
        <f aca="false">TEXT(EA16,"ddd")</f>
        <v/>
      </c>
      <c r="EB15" s="49" t="str">
        <f aca="false">TEXT(EB16,"ddd")</f>
        <v/>
      </c>
      <c r="EC15" s="49" t="str">
        <f aca="false">TEXT(EC16,"ddd")</f>
        <v/>
      </c>
      <c r="ED15" s="49" t="str">
        <f aca="false">TEXT(ED16,"ddd")</f>
        <v/>
      </c>
      <c r="EE15" s="49" t="str">
        <f aca="false">TEXT(EE16,"ddd")</f>
        <v/>
      </c>
      <c r="EF15" s="49" t="str">
        <f aca="false">TEXT(EF16,"ddd")</f>
        <v/>
      </c>
      <c r="EG15" s="49" t="str">
        <f aca="false">TEXT(EG16,"ddd")</f>
        <v/>
      </c>
      <c r="EH15" s="49" t="str">
        <f aca="false">TEXT(EH16,"ddd")</f>
        <v/>
      </c>
      <c r="EI15" s="49" t="str">
        <f aca="false">TEXT(EI16,"ddd")</f>
        <v/>
      </c>
      <c r="EJ15" s="49" t="str">
        <f aca="false">TEXT(EJ16,"ddd")</f>
        <v/>
      </c>
      <c r="EK15" s="49" t="str">
        <f aca="false">TEXT(EK16,"ddd")</f>
        <v/>
      </c>
      <c r="EL15" s="49" t="str">
        <f aca="false">TEXT(EL16,"ddd")</f>
        <v/>
      </c>
      <c r="EM15" s="49" t="str">
        <f aca="false">TEXT(EM16,"ddd")</f>
        <v/>
      </c>
      <c r="EN15" s="49" t="str">
        <f aca="false">TEXT(EN16,"ddd")</f>
        <v/>
      </c>
      <c r="EO15" s="49" t="str">
        <f aca="false">TEXT(EO16,"ddd")</f>
        <v/>
      </c>
      <c r="EP15" s="49" t="str">
        <f aca="false">TEXT(EP16,"ddd")</f>
        <v/>
      </c>
      <c r="EQ15" s="49" t="str">
        <f aca="false">TEXT(EQ16,"ddd")</f>
        <v/>
      </c>
      <c r="ER15" s="49" t="str">
        <f aca="false">TEXT(ER16,"ddd")</f>
        <v/>
      </c>
      <c r="ES15" s="49" t="str">
        <f aca="false">TEXT(ES16,"ddd")</f>
        <v/>
      </c>
      <c r="ET15" s="49" t="str">
        <f aca="false">TEXT(ET16,"ddd")</f>
        <v/>
      </c>
      <c r="EU15" s="49" t="str">
        <f aca="false">TEXT(EU16,"ddd")</f>
        <v/>
      </c>
      <c r="EV15" s="49" t="str">
        <f aca="false">TEXT(EV16,"ddd")</f>
        <v/>
      </c>
      <c r="EW15" s="49" t="str">
        <f aca="false">TEXT(EW16,"ddd")</f>
        <v/>
      </c>
      <c r="EX15" s="49" t="str">
        <f aca="false">TEXT(EX16,"ddd")</f>
        <v/>
      </c>
      <c r="EY15" s="49" t="str">
        <f aca="false">TEXT(EY16,"ddd")</f>
        <v/>
      </c>
      <c r="EZ15" s="49" t="str">
        <f aca="false">TEXT(EZ16,"ddd")</f>
        <v/>
      </c>
      <c r="FA15" s="49" t="str">
        <f aca="false">TEXT(FA16,"ddd")</f>
        <v/>
      </c>
      <c r="FB15" s="49" t="str">
        <f aca="false">TEXT(FB16,"ddd")</f>
        <v/>
      </c>
      <c r="FC15" s="49" t="str">
        <f aca="false">TEXT(FC16,"ddd")</f>
        <v/>
      </c>
      <c r="FD15" s="49" t="str">
        <f aca="false">TEXT(FD16,"ddd")</f>
        <v/>
      </c>
      <c r="FE15" s="49" t="str">
        <f aca="false">TEXT(FE16,"ddd")</f>
        <v/>
      </c>
      <c r="FF15" s="49" t="str">
        <f aca="false">TEXT(FF16,"ddd")</f>
        <v/>
      </c>
      <c r="FG15" s="49" t="str">
        <f aca="false">TEXT(FG16,"ddd")</f>
        <v/>
      </c>
      <c r="FH15" s="49" t="str">
        <f aca="false">TEXT(FH16,"ddd")</f>
        <v/>
      </c>
      <c r="FI15" s="49" t="str">
        <f aca="false">TEXT(FI16,"ddd")</f>
        <v/>
      </c>
      <c r="FJ15" s="49" t="str">
        <f aca="false">TEXT(FJ16,"ddd")</f>
        <v/>
      </c>
      <c r="FK15" s="49" t="str">
        <f aca="false">TEXT(FK16,"ddd")</f>
        <v/>
      </c>
      <c r="FL15" s="49" t="str">
        <f aca="false">TEXT(FL16,"ddd")</f>
        <v/>
      </c>
      <c r="FM15" s="49" t="str">
        <f aca="false">TEXT(FM16,"ddd")</f>
        <v/>
      </c>
      <c r="FN15" s="49" t="str">
        <f aca="false">TEXT(FN16,"ddd")</f>
        <v/>
      </c>
      <c r="FO15" s="49" t="str">
        <f aca="false">TEXT(FO16,"ddd")</f>
        <v/>
      </c>
      <c r="FP15" s="49" t="str">
        <f aca="false">TEXT(FP16,"ddd")</f>
        <v/>
      </c>
      <c r="FQ15" s="49" t="str">
        <f aca="false">TEXT(FQ16,"ddd")</f>
        <v/>
      </c>
      <c r="FR15" s="49" t="str">
        <f aca="false">TEXT(FR16,"ddd")</f>
        <v/>
      </c>
      <c r="FS15" s="49" t="str">
        <f aca="false">TEXT(FS16,"ddd")</f>
        <v/>
      </c>
      <c r="FT15" s="49" t="str">
        <f aca="false">TEXT(FT16,"ddd")</f>
        <v/>
      </c>
      <c r="FU15" s="49" t="str">
        <f aca="false">TEXT(FU16,"ddd")</f>
        <v/>
      </c>
      <c r="FV15" s="49" t="str">
        <f aca="false">TEXT(FV16,"ddd")</f>
        <v/>
      </c>
      <c r="FW15" s="49" t="str">
        <f aca="false">TEXT(FW16,"ddd")</f>
        <v/>
      </c>
      <c r="FX15" s="49" t="str">
        <f aca="false">TEXT(FX16,"ddd")</f>
        <v/>
      </c>
      <c r="FY15" s="49" t="str">
        <f aca="false">TEXT(FY16,"ddd")</f>
        <v/>
      </c>
      <c r="FZ15" s="49" t="str">
        <f aca="false">TEXT(FZ16,"ddd")</f>
        <v/>
      </c>
      <c r="GA15" s="49" t="str">
        <f aca="false">TEXT(GA16,"ddd")</f>
        <v/>
      </c>
      <c r="GB15" s="49" t="str">
        <f aca="false">TEXT(GB16,"ddd")</f>
        <v/>
      </c>
      <c r="GC15" s="49" t="str">
        <f aca="false">TEXT(GC16,"ddd")</f>
        <v/>
      </c>
      <c r="GD15" s="49" t="str">
        <f aca="false">TEXT(GD16,"ddd")</f>
        <v/>
      </c>
      <c r="GE15" s="49" t="str">
        <f aca="false">TEXT(GE16,"ddd")</f>
        <v/>
      </c>
      <c r="GF15" s="49" t="str">
        <f aca="false">TEXT(GF16,"ddd")</f>
        <v/>
      </c>
      <c r="GG15" s="49" t="str">
        <f aca="false">TEXT(GG16,"ddd")</f>
        <v/>
      </c>
      <c r="GH15" s="49" t="str">
        <f aca="false">TEXT(GH16,"ddd")</f>
        <v/>
      </c>
      <c r="GI15" s="49" t="str">
        <f aca="false">TEXT(GI16,"ddd")</f>
        <v/>
      </c>
      <c r="GJ15" s="49" t="str">
        <f aca="false">TEXT(GJ16,"ddd")</f>
        <v/>
      </c>
      <c r="GK15" s="49" t="str">
        <f aca="false">TEXT(GK16,"ddd")</f>
        <v/>
      </c>
      <c r="GL15" s="49" t="str">
        <f aca="false">TEXT(GL16,"ddd")</f>
        <v/>
      </c>
      <c r="GM15" s="49" t="str">
        <f aca="false">TEXT(GM16,"ddd")</f>
        <v/>
      </c>
      <c r="GN15" s="49" t="str">
        <f aca="false">TEXT(GN16,"ddd")</f>
        <v/>
      </c>
      <c r="GO15" s="49" t="str">
        <f aca="false">TEXT(GO16,"ddd")</f>
        <v/>
      </c>
      <c r="GP15" s="49" t="str">
        <f aca="false">TEXT(GP16,"ddd")</f>
        <v/>
      </c>
      <c r="GQ15" s="49" t="str">
        <f aca="false">TEXT(GQ16,"ddd")</f>
        <v/>
      </c>
      <c r="GR15" s="49" t="str">
        <f aca="false">TEXT(GR16,"ddd")</f>
        <v/>
      </c>
      <c r="GS15" s="49" t="str">
        <f aca="false">TEXT(GS16,"ddd")</f>
        <v/>
      </c>
      <c r="GT15" s="49" t="str">
        <f aca="false">TEXT(GT16,"ddd")</f>
        <v/>
      </c>
      <c r="GU15" s="49" t="str">
        <f aca="false">TEXT(GU16,"ddd")</f>
        <v/>
      </c>
      <c r="GV15" s="49" t="str">
        <f aca="false">TEXT(GV16,"ddd")</f>
        <v/>
      </c>
      <c r="GW15" s="49" t="str">
        <f aca="false">TEXT(GW16,"ddd")</f>
        <v/>
      </c>
      <c r="GX15" s="49" t="str">
        <f aca="false">TEXT(GX16,"ddd")</f>
        <v/>
      </c>
      <c r="GY15" s="49" t="str">
        <f aca="false">TEXT(GY16,"ddd")</f>
        <v/>
      </c>
      <c r="GZ15" s="49" t="str">
        <f aca="false">TEXT(GZ16,"ddd")</f>
        <v/>
      </c>
      <c r="HA15" s="49" t="str">
        <f aca="false">TEXT(HA16,"ddd")</f>
        <v/>
      </c>
      <c r="HB15" s="49" t="str">
        <f aca="false">TEXT(HB16,"ddd")</f>
        <v/>
      </c>
      <c r="HC15" s="49" t="str">
        <f aca="false">TEXT(HC16,"ddd")</f>
        <v/>
      </c>
      <c r="HD15" s="49" t="str">
        <f aca="false">TEXT(HD16,"ddd")</f>
        <v/>
      </c>
      <c r="HE15" s="49" t="str">
        <f aca="false">TEXT(HE16,"ddd")</f>
        <v/>
      </c>
      <c r="HF15" s="49" t="str">
        <f aca="false">TEXT(HF16,"ddd")</f>
        <v/>
      </c>
      <c r="HG15" s="49" t="str">
        <f aca="false">TEXT(HG16,"ddd")</f>
        <v/>
      </c>
      <c r="HH15" s="49" t="str">
        <f aca="false">TEXT(HH16,"ddd")</f>
        <v/>
      </c>
      <c r="HI15" s="49" t="str">
        <f aca="false">TEXT(HI16,"ddd")</f>
        <v/>
      </c>
      <c r="HJ15" s="49" t="str">
        <f aca="false">TEXT(HJ16,"ddd")</f>
        <v/>
      </c>
      <c r="HK15" s="49" t="str">
        <f aca="false">TEXT(HK16,"ddd")</f>
        <v/>
      </c>
      <c r="HL15" s="49" t="str">
        <f aca="false">TEXT(HL16,"ddd")</f>
        <v/>
      </c>
      <c r="HM15" s="49" t="str">
        <f aca="false">TEXT(HM16,"ddd")</f>
        <v/>
      </c>
      <c r="HN15" s="49" t="str">
        <f aca="false">TEXT(HN16,"ddd")</f>
        <v/>
      </c>
      <c r="HO15" s="49" t="str">
        <f aca="false">TEXT(HO16,"ddd")</f>
        <v/>
      </c>
      <c r="HP15" s="49" t="str">
        <f aca="false">TEXT(HP16,"ddd")</f>
        <v/>
      </c>
      <c r="HQ15" s="49" t="str">
        <f aca="false">TEXT(HQ16,"ddd")</f>
        <v/>
      </c>
      <c r="HR15" s="49" t="str">
        <f aca="false">TEXT(HR16,"ddd")</f>
        <v/>
      </c>
      <c r="HS15" s="49" t="str">
        <f aca="false">TEXT(HS16,"ddd")</f>
        <v/>
      </c>
      <c r="HT15" s="49" t="str">
        <f aca="false">TEXT(HT16,"ddd")</f>
        <v/>
      </c>
      <c r="HU15" s="49" t="str">
        <f aca="false">TEXT(HU16,"ddd")</f>
        <v/>
      </c>
      <c r="HV15" s="49" t="str">
        <f aca="false">TEXT(HV16,"ddd")</f>
        <v/>
      </c>
      <c r="HW15" s="49" t="str">
        <f aca="false">TEXT(HW16,"ddd")</f>
        <v/>
      </c>
      <c r="HX15" s="49" t="str">
        <f aca="false">TEXT(HX16,"ddd")</f>
        <v/>
      </c>
      <c r="HY15" s="49" t="str">
        <f aca="false">TEXT(HY16,"ddd")</f>
        <v/>
      </c>
      <c r="HZ15" s="49" t="str">
        <f aca="false">TEXT(HZ16,"ddd")</f>
        <v/>
      </c>
      <c r="IA15" s="49" t="str">
        <f aca="false">TEXT(IA16,"ddd")</f>
        <v/>
      </c>
      <c r="IB15" s="49" t="str">
        <f aca="false">TEXT(IB16,"ddd")</f>
        <v/>
      </c>
      <c r="IC15" s="49" t="str">
        <f aca="false">TEXT(IC16,"ddd")</f>
        <v/>
      </c>
      <c r="ID15" s="49" t="str">
        <f aca="false">TEXT(ID16,"ddd")</f>
        <v/>
      </c>
      <c r="IE15" s="49" t="str">
        <f aca="false">TEXT(IE16,"ddd")</f>
        <v/>
      </c>
      <c r="IF15" s="49" t="str">
        <f aca="false">TEXT(IF16,"ddd")</f>
        <v/>
      </c>
      <c r="IG15" s="49" t="str">
        <f aca="false">TEXT(IG16,"ddd")</f>
        <v/>
      </c>
      <c r="IH15" s="49" t="str">
        <f aca="false">TEXT(IH16,"ddd")</f>
        <v/>
      </c>
      <c r="II15" s="49" t="str">
        <f aca="false">TEXT(II16,"ddd")</f>
        <v/>
      </c>
      <c r="IJ15" s="49" t="str">
        <f aca="false">TEXT(IJ16,"ddd")</f>
        <v/>
      </c>
      <c r="IK15" s="49" t="str">
        <f aca="false">TEXT(IK16,"ddd")</f>
        <v/>
      </c>
      <c r="IL15" s="49" t="str">
        <f aca="false">TEXT(IL16,"ddd")</f>
        <v/>
      </c>
      <c r="IM15" s="49" t="str">
        <f aca="false">TEXT(IM16,"ddd")</f>
        <v/>
      </c>
      <c r="IN15" s="49" t="str">
        <f aca="false">TEXT(IN16,"ddd")</f>
        <v/>
      </c>
      <c r="IO15" s="49" t="str">
        <f aca="false">TEXT(IO16,"ddd")</f>
        <v/>
      </c>
      <c r="IP15" s="49" t="str">
        <f aca="false">TEXT(IP16,"ddd")</f>
        <v/>
      </c>
      <c r="IQ15" s="49" t="str">
        <f aca="false">TEXT(IQ16,"ddd")</f>
        <v/>
      </c>
      <c r="IR15" s="49" t="str">
        <f aca="false">TEXT(IR16,"ddd")</f>
        <v/>
      </c>
      <c r="IS15" s="49" t="str">
        <f aca="false">TEXT(IS16,"ddd")</f>
        <v/>
      </c>
      <c r="IT15" s="49" t="str">
        <f aca="false">TEXT(IT16,"ddd")</f>
        <v/>
      </c>
      <c r="IU15" s="49" t="str">
        <f aca="false">TEXT(IU16,"ddd")</f>
        <v/>
      </c>
      <c r="IV15" s="49" t="str">
        <f aca="false">TEXT(IV16,"ddd")</f>
        <v/>
      </c>
      <c r="IW15" s="49" t="str">
        <f aca="false">TEXT(IW16,"ddd")</f>
        <v/>
      </c>
      <c r="IX15" s="49" t="str">
        <f aca="false">TEXT(IX16,"ddd")</f>
        <v/>
      </c>
      <c r="IY15" s="49" t="str">
        <f aca="false">TEXT(IY16,"ddd")</f>
        <v/>
      </c>
      <c r="IZ15" s="49" t="str">
        <f aca="false">TEXT(IZ16,"ddd")</f>
        <v/>
      </c>
      <c r="JA15" s="49" t="str">
        <f aca="false">TEXT(JA16,"ddd")</f>
        <v/>
      </c>
      <c r="JB15" s="49" t="str">
        <f aca="false">TEXT(JB16,"ddd")</f>
        <v/>
      </c>
      <c r="JC15" s="49" t="str">
        <f aca="false">TEXT(JC16,"ddd")</f>
        <v/>
      </c>
      <c r="JD15" s="49" t="str">
        <f aca="false">TEXT(JD16,"ddd")</f>
        <v/>
      </c>
      <c r="JE15" s="49" t="str">
        <f aca="false">TEXT(JE16,"ddd")</f>
        <v/>
      </c>
      <c r="JF15" s="49" t="str">
        <f aca="false">TEXT(JF16,"ddd")</f>
        <v/>
      </c>
      <c r="JG15" s="49" t="str">
        <f aca="false">TEXT(JG16,"ddd")</f>
        <v/>
      </c>
      <c r="JH15" s="49" t="str">
        <f aca="false">TEXT(JH16,"ddd")</f>
        <v/>
      </c>
      <c r="JI15" s="49" t="str">
        <f aca="false">TEXT(JI16,"ddd")</f>
        <v/>
      </c>
      <c r="JJ15" s="49" t="str">
        <f aca="false">TEXT(JJ16,"ddd")</f>
        <v/>
      </c>
      <c r="JK15" s="49" t="str">
        <f aca="false">TEXT(JK16,"ddd")</f>
        <v/>
      </c>
      <c r="JL15" s="49" t="str">
        <f aca="false">TEXT(JL16,"ddd")</f>
        <v/>
      </c>
      <c r="JM15" s="49" t="str">
        <f aca="false">TEXT(JM16,"ddd")</f>
        <v/>
      </c>
      <c r="JN15" s="49" t="str">
        <f aca="false">TEXT(JN16,"ddd")</f>
        <v/>
      </c>
      <c r="JO15" s="49" t="str">
        <f aca="false">TEXT(JO16,"ddd")</f>
        <v/>
      </c>
      <c r="JP15" s="49" t="str">
        <f aca="false">TEXT(JP16,"ddd")</f>
        <v/>
      </c>
      <c r="JQ15" s="49" t="str">
        <f aca="false">TEXT(JQ16,"ddd")</f>
        <v/>
      </c>
      <c r="JR15" s="49" t="str">
        <f aca="false">TEXT(JR16,"ddd")</f>
        <v/>
      </c>
      <c r="JS15" s="49" t="str">
        <f aca="false">TEXT(JS16,"ddd")</f>
        <v/>
      </c>
      <c r="JT15" s="49" t="str">
        <f aca="false">TEXT(JT16,"ddd")</f>
        <v/>
      </c>
      <c r="JU15" s="49" t="str">
        <f aca="false">TEXT(JU16,"ddd")</f>
        <v/>
      </c>
      <c r="JV15" s="49" t="str">
        <f aca="false">TEXT(JV16,"ddd")</f>
        <v/>
      </c>
      <c r="JW15" s="49" t="str">
        <f aca="false">TEXT(JW16,"ddd")</f>
        <v/>
      </c>
      <c r="JX15" s="49" t="str">
        <f aca="false">TEXT(JX16,"ddd")</f>
        <v/>
      </c>
      <c r="JY15" s="49" t="str">
        <f aca="false">TEXT(JY16,"ddd")</f>
        <v/>
      </c>
      <c r="JZ15" s="49" t="str">
        <f aca="false">TEXT(JZ16,"ddd")</f>
        <v/>
      </c>
      <c r="KA15" s="49" t="str">
        <f aca="false">TEXT(KA16,"ddd")</f>
        <v/>
      </c>
      <c r="KB15" s="49" t="str">
        <f aca="false">TEXT(KB16,"ddd")</f>
        <v/>
      </c>
      <c r="KC15" s="49" t="str">
        <f aca="false">TEXT(KC16,"ddd")</f>
        <v/>
      </c>
      <c r="KD15" s="49" t="str">
        <f aca="false">TEXT(KD16,"ddd")</f>
        <v/>
      </c>
      <c r="KE15" s="49" t="str">
        <f aca="false">TEXT(KE16,"ddd")</f>
        <v/>
      </c>
      <c r="KF15" s="49" t="str">
        <f aca="false">TEXT(KF16,"ddd")</f>
        <v/>
      </c>
      <c r="KG15" s="49" t="str">
        <f aca="false">TEXT(KG16,"ddd")</f>
        <v/>
      </c>
      <c r="KH15" s="49" t="str">
        <f aca="false">TEXT(KH16,"ddd")</f>
        <v/>
      </c>
      <c r="KI15" s="49" t="str">
        <f aca="false">TEXT(KI16,"ddd")</f>
        <v/>
      </c>
      <c r="KJ15" s="49" t="str">
        <f aca="false">TEXT(KJ16,"ddd")</f>
        <v/>
      </c>
      <c r="KK15" s="49" t="str">
        <f aca="false">TEXT(KK16,"ddd")</f>
        <v/>
      </c>
      <c r="KL15" s="49" t="str">
        <f aca="false">TEXT(KL16,"ddd")</f>
        <v/>
      </c>
      <c r="KM15" s="49" t="str">
        <f aca="false">TEXT(KM16,"ddd")</f>
        <v/>
      </c>
      <c r="KN15" s="49" t="str">
        <f aca="false">TEXT(KN16,"ddd")</f>
        <v/>
      </c>
      <c r="KO15" s="49" t="str">
        <f aca="false">TEXT(KO16,"ddd")</f>
        <v/>
      </c>
      <c r="KP15" s="49" t="str">
        <f aca="false">TEXT(KP16,"ddd")</f>
        <v/>
      </c>
      <c r="KQ15" s="49" t="str">
        <f aca="false">TEXT(KQ16,"ddd")</f>
        <v/>
      </c>
      <c r="KR15" s="49" t="str">
        <f aca="false">TEXT(KR16,"ddd")</f>
        <v/>
      </c>
      <c r="KS15" s="49" t="str">
        <f aca="false">TEXT(KS16,"ddd")</f>
        <v/>
      </c>
      <c r="KT15" s="49" t="str">
        <f aca="false">TEXT(KT16,"ddd")</f>
        <v/>
      </c>
      <c r="KU15" s="49" t="str">
        <f aca="false">TEXT(KU16,"ddd")</f>
        <v/>
      </c>
      <c r="KV15" s="49" t="str">
        <f aca="false">TEXT(KV16,"ddd")</f>
        <v/>
      </c>
      <c r="KW15" s="49" t="str">
        <f aca="false">TEXT(KW16,"ddd")</f>
        <v/>
      </c>
      <c r="KX15" s="49" t="str">
        <f aca="false">TEXT(KX16,"ddd")</f>
        <v/>
      </c>
      <c r="KY15" s="49" t="str">
        <f aca="false">TEXT(KY16,"ddd")</f>
        <v/>
      </c>
      <c r="KZ15" s="49" t="str">
        <f aca="false">TEXT(KZ16,"ddd")</f>
        <v/>
      </c>
      <c r="LA15" s="49" t="str">
        <f aca="false">TEXT(LA16,"ddd")</f>
        <v/>
      </c>
      <c r="LB15" s="49" t="str">
        <f aca="false">TEXT(LB16,"ddd")</f>
        <v/>
      </c>
      <c r="LC15" s="49" t="str">
        <f aca="false">TEXT(LC16,"ddd")</f>
        <v/>
      </c>
      <c r="LD15" s="49" t="str">
        <f aca="false">TEXT(LD16,"ddd")</f>
        <v/>
      </c>
      <c r="LE15" s="49" t="str">
        <f aca="false">TEXT(LE16,"ddd")</f>
        <v/>
      </c>
      <c r="LF15" s="49" t="str">
        <f aca="false">TEXT(LF16,"ddd")</f>
        <v/>
      </c>
      <c r="LG15" s="49" t="str">
        <f aca="false">TEXT(LG16,"ddd")</f>
        <v/>
      </c>
      <c r="LH15" s="49" t="str">
        <f aca="false">TEXT(LH16,"ddd")</f>
        <v/>
      </c>
      <c r="LI15" s="49" t="str">
        <f aca="false">TEXT(LI16,"ddd")</f>
        <v/>
      </c>
      <c r="LJ15" s="49" t="str">
        <f aca="false">TEXT(LJ16,"ddd")</f>
        <v/>
      </c>
      <c r="LK15" s="49" t="str">
        <f aca="false">TEXT(LK16,"ddd")</f>
        <v/>
      </c>
      <c r="LL15" s="49" t="str">
        <f aca="false">TEXT(LL16,"ddd")</f>
        <v/>
      </c>
      <c r="LM15" s="49" t="str">
        <f aca="false">TEXT(LM16,"ddd")</f>
        <v/>
      </c>
      <c r="LN15" s="49" t="str">
        <f aca="false">TEXT(LN16,"ddd")</f>
        <v/>
      </c>
      <c r="LO15" s="49" t="str">
        <f aca="false">TEXT(LO16,"ddd")</f>
        <v/>
      </c>
      <c r="LP15" s="49" t="str">
        <f aca="false">TEXT(LP16,"ddd")</f>
        <v/>
      </c>
      <c r="LQ15" s="49" t="str">
        <f aca="false">TEXT(LQ16,"ddd")</f>
        <v/>
      </c>
      <c r="LR15" s="49" t="str">
        <f aca="false">TEXT(LR16,"ddd")</f>
        <v/>
      </c>
      <c r="LS15" s="49" t="str">
        <f aca="false">TEXT(LS16,"ddd")</f>
        <v/>
      </c>
      <c r="LT15" s="49" t="str">
        <f aca="false">TEXT(LT16,"ddd")</f>
        <v/>
      </c>
      <c r="LU15" s="49" t="str">
        <f aca="false">TEXT(LU16,"ddd")</f>
        <v/>
      </c>
      <c r="LV15" s="49" t="str">
        <f aca="false">TEXT(LV16,"ddd")</f>
        <v/>
      </c>
      <c r="LW15" s="49" t="str">
        <f aca="false">TEXT(LW16,"ddd")</f>
        <v/>
      </c>
      <c r="LX15" s="49" t="str">
        <f aca="false">TEXT(LX16,"ddd")</f>
        <v/>
      </c>
      <c r="LY15" s="49" t="str">
        <f aca="false">TEXT(LY16,"ddd")</f>
        <v/>
      </c>
      <c r="LZ15" s="49" t="str">
        <f aca="false">TEXT(LZ16,"ddd")</f>
        <v/>
      </c>
      <c r="MA15" s="49" t="str">
        <f aca="false">TEXT(MA16,"ddd")</f>
        <v/>
      </c>
      <c r="MB15" s="49" t="str">
        <f aca="false">TEXT(MB16,"ddd")</f>
        <v/>
      </c>
      <c r="MC15" s="49" t="str">
        <f aca="false">TEXT(MC16,"ddd")</f>
        <v/>
      </c>
      <c r="MD15" s="49" t="str">
        <f aca="false">TEXT(MD16,"ddd")</f>
        <v/>
      </c>
      <c r="ME15" s="49" t="str">
        <f aca="false">TEXT(ME16,"ddd")</f>
        <v/>
      </c>
      <c r="MF15" s="49" t="str">
        <f aca="false">TEXT(MF16,"ddd")</f>
        <v/>
      </c>
      <c r="MG15" s="49" t="str">
        <f aca="false">TEXT(MG16,"ddd")</f>
        <v/>
      </c>
      <c r="MH15" s="49" t="str">
        <f aca="false">TEXT(MH16,"ddd")</f>
        <v/>
      </c>
      <c r="MI15" s="49" t="str">
        <f aca="false">TEXT(MI16,"ddd")</f>
        <v/>
      </c>
      <c r="MJ15" s="49" t="str">
        <f aca="false">TEXT(MJ16,"ddd")</f>
        <v/>
      </c>
      <c r="MK15" s="49" t="str">
        <f aca="false">TEXT(MK16,"ddd")</f>
        <v/>
      </c>
      <c r="ML15" s="49" t="str">
        <f aca="false">TEXT(ML16,"ddd")</f>
        <v/>
      </c>
      <c r="MM15" s="49" t="str">
        <f aca="false">TEXT(MM16,"ddd")</f>
        <v/>
      </c>
      <c r="MN15" s="49" t="str">
        <f aca="false">TEXT(MN16,"ddd")</f>
        <v/>
      </c>
      <c r="MO15" s="49" t="str">
        <f aca="false">TEXT(MO16,"ddd")</f>
        <v/>
      </c>
      <c r="MP15" s="49" t="str">
        <f aca="false">TEXT(MP16,"ddd")</f>
        <v/>
      </c>
      <c r="MQ15" s="49" t="str">
        <f aca="false">TEXT(MQ16,"ddd")</f>
        <v/>
      </c>
      <c r="MR15" s="49" t="str">
        <f aca="false">TEXT(MR16,"ddd")</f>
        <v/>
      </c>
      <c r="MS15" s="49" t="str">
        <f aca="false">TEXT(MS16,"ddd")</f>
        <v/>
      </c>
      <c r="MT15" s="49" t="str">
        <f aca="false">TEXT(MT16,"ddd")</f>
        <v/>
      </c>
      <c r="MU15" s="49" t="str">
        <f aca="false">TEXT(MU16,"ddd")</f>
        <v/>
      </c>
      <c r="MV15" s="49" t="str">
        <f aca="false">TEXT(MV16,"ddd")</f>
        <v/>
      </c>
      <c r="MW15" s="49" t="str">
        <f aca="false">TEXT(MW16,"ddd")</f>
        <v/>
      </c>
      <c r="MX15" s="49" t="str">
        <f aca="false">TEXT(MX16,"ddd")</f>
        <v/>
      </c>
      <c r="MY15" s="49" t="str">
        <f aca="false">TEXT(MY16,"ddd")</f>
        <v/>
      </c>
      <c r="MZ15" s="49" t="str">
        <f aca="false">TEXT(MZ16,"ddd")</f>
        <v/>
      </c>
      <c r="NA15" s="49" t="str">
        <f aca="false">TEXT(NA16,"ddd")</f>
        <v/>
      </c>
      <c r="NB15" s="49" t="str">
        <f aca="false">TEXT(NB16,"ddd")</f>
        <v/>
      </c>
      <c r="NC15" s="49" t="str">
        <f aca="false">TEXT(NC16,"ddd")</f>
        <v/>
      </c>
      <c r="ND15" s="49" t="str">
        <f aca="false">TEXT(ND16,"ddd")</f>
        <v/>
      </c>
      <c r="NE15" s="49" t="str">
        <f aca="false">TEXT(NE16,"ddd")</f>
        <v/>
      </c>
      <c r="NF15" s="49" t="str">
        <f aca="false">TEXT(NF16,"ddd")</f>
        <v/>
      </c>
      <c r="NG15" s="49" t="str">
        <f aca="false">TEXT(NG16,"ddd")</f>
        <v/>
      </c>
      <c r="NH15" s="49" t="str">
        <f aca="false">TEXT(NH16,"ddd")</f>
        <v/>
      </c>
      <c r="NI15" s="49" t="str">
        <f aca="false">TEXT(NI16,"ddd")</f>
        <v/>
      </c>
      <c r="NJ15" s="49" t="str">
        <f aca="false">TEXT(NJ16,"ddd")</f>
        <v/>
      </c>
      <c r="NK15" s="49" t="str">
        <f aca="false">TEXT(NK16,"ddd")</f>
        <v/>
      </c>
      <c r="NL15" s="49" t="str">
        <f aca="false">TEXT(NL16,"ddd")</f>
        <v/>
      </c>
      <c r="NM15" s="49" t="str">
        <f aca="false">TEXT(NM16,"ddd")</f>
        <v/>
      </c>
      <c r="NN15" s="49" t="str">
        <f aca="false">TEXT(NN16,"ddd")</f>
        <v/>
      </c>
      <c r="NO15" s="49" t="str">
        <f aca="false">TEXT(NO16,"ddd")</f>
        <v/>
      </c>
      <c r="NP15" s="49" t="str">
        <f aca="false">TEXT(NP16,"ddd")</f>
        <v/>
      </c>
      <c r="NQ15" s="49" t="str">
        <f aca="false">TEXT(NQ16,"ddd")</f>
        <v/>
      </c>
      <c r="NR15" s="49" t="str">
        <f aca="false">TEXT(NR16,"ddd")</f>
        <v/>
      </c>
      <c r="NS15" s="49" t="str">
        <f aca="false">TEXT(NS16,"ddd")</f>
        <v/>
      </c>
      <c r="NT15" s="49" t="str">
        <f aca="false">TEXT(NT16,"ddd")</f>
        <v/>
      </c>
      <c r="NU15" s="49" t="str">
        <f aca="false">TEXT(NU16,"ddd")</f>
        <v/>
      </c>
      <c r="NV15" s="49" t="str">
        <f aca="false">TEXT(NV16,"ddd")</f>
        <v/>
      </c>
      <c r="NW15" s="49" t="str">
        <f aca="false">TEXT(NW16,"ddd")</f>
        <v/>
      </c>
      <c r="NX15" s="49" t="str">
        <f aca="false">TEXT(NX16,"ddd")</f>
        <v/>
      </c>
      <c r="NY15" s="49" t="str">
        <f aca="false">TEXT(NY16,"ddd")</f>
        <v/>
      </c>
      <c r="NZ15" s="49" t="str">
        <f aca="false">TEXT(NZ16,"ddd")</f>
        <v/>
      </c>
      <c r="OA15" s="49" t="str">
        <f aca="false">TEXT(OA16,"ddd")</f>
        <v/>
      </c>
      <c r="OB15" s="49" t="str">
        <f aca="false">TEXT(OB16,"ddd")</f>
        <v/>
      </c>
      <c r="OC15" s="49" t="str">
        <f aca="false">TEXT(OC16,"ddd")</f>
        <v/>
      </c>
      <c r="OD15" s="49" t="str">
        <f aca="false">TEXT(OD16,"ddd")</f>
        <v/>
      </c>
      <c r="OE15" s="49" t="str">
        <f aca="false">TEXT(OE16,"ddd")</f>
        <v/>
      </c>
      <c r="OF15" s="49" t="str">
        <f aca="false">TEXT(OF16,"ddd")</f>
        <v/>
      </c>
      <c r="OG15" s="49" t="str">
        <f aca="false">TEXT(OG16,"ddd")</f>
        <v/>
      </c>
      <c r="OH15" s="49" t="str">
        <f aca="false">TEXT(OH16,"ddd")</f>
        <v/>
      </c>
      <c r="OI15" s="49" t="str">
        <f aca="false">TEXT(OI16,"ddd")</f>
        <v/>
      </c>
      <c r="OJ15" s="49" t="str">
        <f aca="false">TEXT(OJ16,"ddd")</f>
        <v/>
      </c>
      <c r="OK15" s="49" t="str">
        <f aca="false">TEXT(OK16,"ddd")</f>
        <v/>
      </c>
      <c r="OL15" s="49" t="str">
        <f aca="false">TEXT(OL16,"ddd")</f>
        <v/>
      </c>
      <c r="OM15" s="49" t="str">
        <f aca="false">TEXT(OM16,"ddd")</f>
        <v/>
      </c>
      <c r="ON15" s="49" t="str">
        <f aca="false">TEXT(ON16,"ddd")</f>
        <v/>
      </c>
      <c r="OO15" s="49" t="str">
        <f aca="false">TEXT(OO16,"ddd")</f>
        <v/>
      </c>
      <c r="OP15" s="49" t="str">
        <f aca="false">TEXT(OP16,"ddd")</f>
        <v/>
      </c>
      <c r="OQ15" s="49" t="str">
        <f aca="false">TEXT(OQ16,"ddd")</f>
        <v/>
      </c>
      <c r="OR15" s="49" t="str">
        <f aca="false">TEXT(OR16,"ddd")</f>
        <v/>
      </c>
      <c r="OS15" s="49" t="str">
        <f aca="false">TEXT(OS16,"ddd")</f>
        <v/>
      </c>
      <c r="OT15" s="49" t="str">
        <f aca="false">TEXT(OT16,"ddd")</f>
        <v/>
      </c>
      <c r="OU15" s="49" t="str">
        <f aca="false">TEXT(OU16,"ddd")</f>
        <v/>
      </c>
      <c r="OV15" s="49" t="str">
        <f aca="false">TEXT(OV16,"ddd")</f>
        <v/>
      </c>
      <c r="OW15" s="49" t="str">
        <f aca="false">TEXT(OW16,"ddd")</f>
        <v/>
      </c>
      <c r="OX15" s="49" t="str">
        <f aca="false">TEXT(OX16,"ddd")</f>
        <v/>
      </c>
      <c r="OY15" s="49" t="str">
        <f aca="false">TEXT(OY16,"ddd")</f>
        <v/>
      </c>
      <c r="OZ15" s="49" t="str">
        <f aca="false">TEXT(OZ16,"ddd")</f>
        <v/>
      </c>
      <c r="PA15" s="49" t="str">
        <f aca="false">TEXT(PA16,"ddd")</f>
        <v/>
      </c>
      <c r="PB15" s="49" t="str">
        <f aca="false">TEXT(PB16,"ddd")</f>
        <v/>
      </c>
      <c r="PC15" s="49" t="str">
        <f aca="false">TEXT(PC16,"ddd")</f>
        <v/>
      </c>
      <c r="PD15" s="49" t="str">
        <f aca="false">TEXT(PD16,"ddd")</f>
        <v/>
      </c>
      <c r="PE15" s="49" t="str">
        <f aca="false">TEXT(PE16,"ddd")</f>
        <v/>
      </c>
      <c r="PF15" s="49" t="str">
        <f aca="false">TEXT(PF16,"ddd")</f>
        <v/>
      </c>
      <c r="PG15" s="49" t="str">
        <f aca="false">TEXT(PG16,"ddd")</f>
        <v/>
      </c>
      <c r="PH15" s="49" t="str">
        <f aca="false">TEXT(PH16,"ddd")</f>
        <v/>
      </c>
      <c r="PI15" s="49" t="str">
        <f aca="false">TEXT(PI16,"ddd")</f>
        <v/>
      </c>
      <c r="PJ15" s="49" t="str">
        <f aca="false">TEXT(PJ16,"ddd")</f>
        <v/>
      </c>
      <c r="PK15" s="49" t="str">
        <f aca="false">TEXT(PK16,"ddd")</f>
        <v/>
      </c>
      <c r="PL15" s="49" t="str">
        <f aca="false">TEXT(PL16,"ddd")</f>
        <v/>
      </c>
      <c r="PM15" s="49" t="str">
        <f aca="false">TEXT(PM16,"ddd")</f>
        <v/>
      </c>
      <c r="PN15" s="49" t="str">
        <f aca="false">TEXT(PN16,"ddd")</f>
        <v/>
      </c>
      <c r="PO15" s="49" t="str">
        <f aca="false">TEXT(PO16,"ddd")</f>
        <v/>
      </c>
      <c r="PP15" s="49" t="str">
        <f aca="false">TEXT(PP16,"ddd")</f>
        <v/>
      </c>
      <c r="PQ15" s="49" t="str">
        <f aca="false">TEXT(PQ16,"ddd")</f>
        <v/>
      </c>
      <c r="PR15" s="49" t="str">
        <f aca="false">TEXT(PR16,"ddd")</f>
        <v/>
      </c>
      <c r="PS15" s="49" t="str">
        <f aca="false">TEXT(PS16,"ddd")</f>
        <v/>
      </c>
      <c r="PT15" s="49" t="str">
        <f aca="false">TEXT(PT16,"ddd")</f>
        <v/>
      </c>
      <c r="PU15" s="49" t="str">
        <f aca="false">TEXT(PU16,"ddd")</f>
        <v/>
      </c>
      <c r="PV15" s="49" t="str">
        <f aca="false">TEXT(PV16,"ddd")</f>
        <v/>
      </c>
      <c r="PW15" s="49" t="str">
        <f aca="false">TEXT(PW16,"ddd")</f>
        <v/>
      </c>
      <c r="PX15" s="49" t="str">
        <f aca="false">TEXT(PX16,"ddd")</f>
        <v/>
      </c>
      <c r="PY15" s="49" t="str">
        <f aca="false">TEXT(PY16,"ddd")</f>
        <v/>
      </c>
      <c r="PZ15" s="49" t="str">
        <f aca="false">TEXT(PZ16,"ddd")</f>
        <v/>
      </c>
      <c r="QA15" s="49" t="str">
        <f aca="false">TEXT(QA16,"ddd")</f>
        <v/>
      </c>
      <c r="QB15" s="49" t="str">
        <f aca="false">TEXT(QB16,"ddd")</f>
        <v/>
      </c>
      <c r="QC15" s="49" t="str">
        <f aca="false">TEXT(QC16,"ddd")</f>
        <v/>
      </c>
      <c r="QD15" s="49" t="str">
        <f aca="false">TEXT(QD16,"ddd")</f>
        <v/>
      </c>
      <c r="QE15" s="49" t="str">
        <f aca="false">TEXT(QE16,"ddd")</f>
        <v/>
      </c>
      <c r="QF15" s="49" t="str">
        <f aca="false">TEXT(QF16,"ddd")</f>
        <v/>
      </c>
      <c r="QG15" s="49" t="str">
        <f aca="false">TEXT(QG16,"ddd")</f>
        <v/>
      </c>
      <c r="QH15" s="49" t="str">
        <f aca="false">TEXT(QH16,"ddd")</f>
        <v/>
      </c>
      <c r="QI15" s="49" t="str">
        <f aca="false">TEXT(QI16,"ddd")</f>
        <v/>
      </c>
      <c r="QJ15" s="49" t="str">
        <f aca="false">TEXT(QJ16,"ddd")</f>
        <v/>
      </c>
      <c r="QK15" s="49" t="str">
        <f aca="false">TEXT(QK16,"ddd")</f>
        <v/>
      </c>
      <c r="QL15" s="49" t="str">
        <f aca="false">TEXT(QL16,"ddd")</f>
        <v/>
      </c>
      <c r="QM15" s="49" t="str">
        <f aca="false">TEXT(QM16,"ddd")</f>
        <v/>
      </c>
      <c r="QN15" s="49" t="str">
        <f aca="false">TEXT(QN16,"ddd")</f>
        <v/>
      </c>
      <c r="QO15" s="49" t="str">
        <f aca="false">TEXT(QO16,"ddd")</f>
        <v/>
      </c>
      <c r="QP15" s="49" t="str">
        <f aca="false">TEXT(QP16,"ddd")</f>
        <v/>
      </c>
      <c r="QQ15" s="49" t="str">
        <f aca="false">TEXT(QQ16,"ddd")</f>
        <v/>
      </c>
      <c r="QR15" s="49" t="str">
        <f aca="false">TEXT(QR16,"ddd")</f>
        <v/>
      </c>
      <c r="QS15" s="49" t="str">
        <f aca="false">TEXT(QS16,"ddd")</f>
        <v/>
      </c>
      <c r="QT15" s="49" t="str">
        <f aca="false">TEXT(QT16,"ddd")</f>
        <v/>
      </c>
      <c r="QU15" s="49" t="str">
        <f aca="false">TEXT(QU16,"ddd")</f>
        <v/>
      </c>
      <c r="QV15" s="49" t="str">
        <f aca="false">TEXT(QV16,"ddd")</f>
        <v/>
      </c>
      <c r="QW15" s="49" t="str">
        <f aca="false">TEXT(QW16,"ddd")</f>
        <v/>
      </c>
      <c r="QX15" s="49" t="str">
        <f aca="false">TEXT(QX16,"ddd")</f>
        <v/>
      </c>
      <c r="QY15" s="49" t="str">
        <f aca="false">TEXT(QY16,"ddd")</f>
        <v/>
      </c>
      <c r="QZ15" s="49" t="str">
        <f aca="false">TEXT(QZ16,"ddd")</f>
        <v/>
      </c>
      <c r="RA15" s="49" t="str">
        <f aca="false">TEXT(RA16,"ddd")</f>
        <v/>
      </c>
      <c r="RB15" s="49" t="str">
        <f aca="false">TEXT(RB16,"ddd")</f>
        <v/>
      </c>
      <c r="RC15" s="49" t="str">
        <f aca="false">TEXT(RC16,"ddd")</f>
        <v/>
      </c>
      <c r="RD15" s="49" t="str">
        <f aca="false">TEXT(RD16,"ddd")</f>
        <v/>
      </c>
      <c r="RE15" s="49" t="str">
        <f aca="false">TEXT(RE16,"ddd")</f>
        <v/>
      </c>
      <c r="RF15" s="49" t="str">
        <f aca="false">TEXT(RF16,"ddd")</f>
        <v/>
      </c>
      <c r="RG15" s="49" t="str">
        <f aca="false">TEXT(RG16,"ddd")</f>
        <v/>
      </c>
      <c r="RH15" s="49" t="str">
        <f aca="false">TEXT(RH16,"ddd")</f>
        <v/>
      </c>
      <c r="RI15" s="49" t="str">
        <f aca="false">TEXT(RI16,"ddd")</f>
        <v/>
      </c>
      <c r="RJ15" s="49" t="str">
        <f aca="false">TEXT(RJ16,"ddd")</f>
        <v/>
      </c>
      <c r="RK15" s="49" t="str">
        <f aca="false">TEXT(RK16,"ddd")</f>
        <v/>
      </c>
      <c r="RL15" s="49" t="str">
        <f aca="false">TEXT(RL16,"ddd")</f>
        <v/>
      </c>
      <c r="RM15" s="49" t="str">
        <f aca="false">TEXT(RM16,"ddd")</f>
        <v/>
      </c>
      <c r="RN15" s="49" t="str">
        <f aca="false">TEXT(RN16,"ddd")</f>
        <v/>
      </c>
      <c r="RO15" s="49" t="str">
        <f aca="false">TEXT(RO16,"ddd")</f>
        <v/>
      </c>
      <c r="RP15" s="49" t="str">
        <f aca="false">TEXT(RP16,"ddd")</f>
        <v/>
      </c>
      <c r="RQ15" s="49" t="str">
        <f aca="false">TEXT(RQ16,"ddd")</f>
        <v/>
      </c>
      <c r="RR15" s="49" t="str">
        <f aca="false">TEXT(RR16,"ddd")</f>
        <v/>
      </c>
      <c r="RS15" s="49" t="str">
        <f aca="false">TEXT(RS16,"ddd")</f>
        <v/>
      </c>
      <c r="RT15" s="49" t="str">
        <f aca="false">TEXT(RT16,"ddd")</f>
        <v/>
      </c>
      <c r="RU15" s="49" t="str">
        <f aca="false">TEXT(RU16,"ddd")</f>
        <v/>
      </c>
      <c r="RV15" s="49" t="str">
        <f aca="false">TEXT(RV16,"ddd")</f>
        <v/>
      </c>
      <c r="RW15" s="49" t="str">
        <f aca="false">TEXT(RW16,"ddd")</f>
        <v/>
      </c>
      <c r="RX15" s="49" t="str">
        <f aca="false">TEXT(RX16,"ddd")</f>
        <v/>
      </c>
      <c r="RY15" s="49" t="str">
        <f aca="false">TEXT(RY16,"ddd")</f>
        <v/>
      </c>
      <c r="RZ15" s="49" t="str">
        <f aca="false">TEXT(RZ16,"ddd")</f>
        <v/>
      </c>
      <c r="SA15" s="49" t="str">
        <f aca="false">TEXT(SA16,"ddd")</f>
        <v/>
      </c>
      <c r="SB15" s="49" t="str">
        <f aca="false">TEXT(SB16,"ddd")</f>
        <v/>
      </c>
      <c r="SC15" s="49" t="str">
        <f aca="false">TEXT(SC16,"ddd")</f>
        <v/>
      </c>
      <c r="SD15" s="49" t="str">
        <f aca="false">TEXT(SD16,"ddd")</f>
        <v/>
      </c>
      <c r="SE15" s="49" t="str">
        <f aca="false">TEXT(SE16,"ddd")</f>
        <v/>
      </c>
      <c r="SF15" s="49" t="str">
        <f aca="false">TEXT(SF16,"ddd")</f>
        <v/>
      </c>
      <c r="SG15" s="49" t="str">
        <f aca="false">TEXT(SG16,"ddd")</f>
        <v/>
      </c>
      <c r="SH15" s="49" t="str">
        <f aca="false">TEXT(SH16,"ddd")</f>
        <v/>
      </c>
      <c r="SI15" s="49" t="str">
        <f aca="false">TEXT(SI16,"ddd")</f>
        <v/>
      </c>
      <c r="SJ15" s="49" t="str">
        <f aca="false">TEXT(SJ16,"ddd")</f>
        <v/>
      </c>
      <c r="SK15" s="49" t="str">
        <f aca="false">TEXT(SK16,"ddd")</f>
        <v/>
      </c>
      <c r="SL15" s="49" t="str">
        <f aca="false">TEXT(SL16,"ddd")</f>
        <v/>
      </c>
      <c r="SM15" s="49" t="str">
        <f aca="false">TEXT(SM16,"ddd")</f>
        <v/>
      </c>
      <c r="SN15" s="49" t="str">
        <f aca="false">TEXT(SN16,"ddd")</f>
        <v/>
      </c>
      <c r="SO15" s="49" t="str">
        <f aca="false">TEXT(SO16,"ddd")</f>
        <v/>
      </c>
      <c r="SP15" s="49" t="str">
        <f aca="false">TEXT(SP16,"ddd")</f>
        <v/>
      </c>
      <c r="SQ15" s="49" t="str">
        <f aca="false">TEXT(SQ16,"ddd")</f>
        <v/>
      </c>
      <c r="SR15" s="49" t="str">
        <f aca="false">TEXT(SR16,"ddd")</f>
        <v/>
      </c>
      <c r="SS15" s="49" t="str">
        <f aca="false">TEXT(SS16,"ddd")</f>
        <v/>
      </c>
      <c r="ST15" s="49" t="str">
        <f aca="false">TEXT(ST16,"ddd")</f>
        <v/>
      </c>
      <c r="SU15" s="49" t="str">
        <f aca="false">TEXT(SU16,"ddd")</f>
        <v/>
      </c>
      <c r="SV15" s="49" t="str">
        <f aca="false">TEXT(SV16,"ddd")</f>
        <v/>
      </c>
      <c r="SW15" s="50" t="str">
        <f aca="false">TEXT(SW16,"ddd")</f>
        <v/>
      </c>
    </row>
    <row r="16" customFormat="false" ht="14.25" hidden="false" customHeight="false" outlineLevel="0" collapsed="false">
      <c r="C16" s="10"/>
      <c r="D16" s="51" t="s">
        <v>7</v>
      </c>
      <c r="E16" s="52" t="s">
        <v>8</v>
      </c>
      <c r="F16" s="52" t="s">
        <v>9</v>
      </c>
      <c r="G16" s="52" t="s">
        <v>10</v>
      </c>
      <c r="H16" s="52" t="s">
        <v>5</v>
      </c>
      <c r="I16" s="52" t="s">
        <v>11</v>
      </c>
      <c r="J16" s="52" t="s">
        <v>12</v>
      </c>
      <c r="K16" s="53"/>
      <c r="L16" s="54" t="n">
        <f aca="false">VLOOKUP(L13,Fechas!$N$4:$O$509,2,0)</f>
        <v>46136</v>
      </c>
      <c r="M16" s="55" t="n">
        <f aca="false">VLOOKUP(M13,Fechas!$N$4:$O$509,2,0)</f>
        <v>46137</v>
      </c>
      <c r="N16" s="55" t="n">
        <f aca="false">VLOOKUP(N13,Fechas!$N$4:$O$509,2,0)</f>
        <v>46138</v>
      </c>
      <c r="O16" s="55" t="n">
        <f aca="false">VLOOKUP(O13,Fechas!$N$4:$O$509,2,0)</f>
        <v>46139</v>
      </c>
      <c r="P16" s="55" t="n">
        <f aca="false">VLOOKUP(P13,Fechas!$N$4:$O$509,2,0)</f>
        <v>46140</v>
      </c>
      <c r="Q16" s="55" t="n">
        <f aca="false">VLOOKUP(Q13,Fechas!$N$4:$O$509,2,0)</f>
        <v>46141</v>
      </c>
      <c r="R16" s="55" t="n">
        <f aca="false">VLOOKUP(R13,Fechas!$N$4:$O$509,2,0)</f>
        <v>46142</v>
      </c>
      <c r="S16" s="55" t="n">
        <f aca="false">VLOOKUP(S13,Fechas!$N$4:$O$509,2,0)</f>
        <v>46143</v>
      </c>
      <c r="T16" s="55" t="n">
        <f aca="false">VLOOKUP(T13,Fechas!$N$4:$O$509,2,0)</f>
        <v>46144</v>
      </c>
      <c r="U16" s="55" t="n">
        <f aca="false">VLOOKUP(U13,Fechas!$N$4:$O$509,2,0)</f>
        <v>46145</v>
      </c>
      <c r="V16" s="55" t="n">
        <f aca="false">VLOOKUP(V13,Fechas!$N$4:$O$509,2,0)</f>
        <v>46146</v>
      </c>
      <c r="W16" s="55" t="n">
        <f aca="false">VLOOKUP(W13,Fechas!$N$4:$O$509,2,0)</f>
        <v>46147</v>
      </c>
      <c r="X16" s="55" t="n">
        <f aca="false">VLOOKUP(X13,Fechas!$N$4:$O$509,2,0)</f>
        <v>46148</v>
      </c>
      <c r="Y16" s="55" t="n">
        <f aca="false">VLOOKUP(Y13,Fechas!$N$4:$O$509,2,0)</f>
        <v>46149</v>
      </c>
      <c r="Z16" s="55" t="n">
        <f aca="false">VLOOKUP(Z13,Fechas!$N$4:$O$509,2,0)</f>
        <v>46150</v>
      </c>
      <c r="AA16" s="55" t="n">
        <f aca="false">VLOOKUP(AA13,Fechas!$N$4:$O$509,2,0)</f>
        <v>46151</v>
      </c>
      <c r="AB16" s="55" t="n">
        <f aca="false">VLOOKUP(AB13,Fechas!$N$4:$O$509,2,0)</f>
        <v>46152</v>
      </c>
      <c r="AC16" s="55" t="n">
        <f aca="false">VLOOKUP(AC13,Fechas!$N$4:$O$509,2,0)</f>
        <v>46153</v>
      </c>
      <c r="AD16" s="55" t="n">
        <f aca="false">VLOOKUP(AD13,Fechas!$N$4:$O$509,2,0)</f>
        <v>46154</v>
      </c>
      <c r="AE16" s="55" t="n">
        <f aca="false">VLOOKUP(AE13,Fechas!$N$4:$O$509,2,0)</f>
        <v>46155</v>
      </c>
      <c r="AF16" s="55" t="n">
        <f aca="false">VLOOKUP(AF13,Fechas!$N$4:$O$509,2,0)</f>
        <v>46156</v>
      </c>
      <c r="AG16" s="55" t="n">
        <f aca="false">VLOOKUP(AG13,Fechas!$N$4:$O$509,2,0)</f>
        <v>46157</v>
      </c>
      <c r="AH16" s="55" t="n">
        <f aca="false">VLOOKUP(AH13,Fechas!$N$4:$O$509,2,0)</f>
        <v>46158</v>
      </c>
      <c r="AI16" s="55" t="n">
        <f aca="false">VLOOKUP(AI13,Fechas!$N$4:$O$509,2,0)</f>
        <v>46159</v>
      </c>
      <c r="AJ16" s="55" t="n">
        <f aca="false">VLOOKUP(AJ13,Fechas!$N$4:$O$509,2,0)</f>
        <v>46160</v>
      </c>
      <c r="AK16" s="55" t="n">
        <f aca="false">VLOOKUP(AK13,Fechas!$N$4:$O$509,2,0)</f>
        <v>46161</v>
      </c>
      <c r="AL16" s="55" t="n">
        <f aca="false">VLOOKUP(AL13,Fechas!$N$4:$O$509,2,0)</f>
        <v>46162</v>
      </c>
      <c r="AM16" s="55" t="n">
        <f aca="false">VLOOKUP(AM13,Fechas!$N$4:$O$509,2,0)</f>
        <v>46163</v>
      </c>
      <c r="AN16" s="55" t="n">
        <f aca="false">VLOOKUP(AN13,Fechas!$N$4:$O$509,2,0)</f>
        <v>46164</v>
      </c>
      <c r="AO16" s="55" t="n">
        <f aca="false">VLOOKUP(AO13,Fechas!$N$4:$O$509,2,0)</f>
        <v>46165</v>
      </c>
      <c r="AP16" s="55" t="n">
        <f aca="false">VLOOKUP(AP13,Fechas!$N$4:$O$509,2,0)</f>
        <v>46166</v>
      </c>
      <c r="AQ16" s="55" t="n">
        <f aca="false">VLOOKUP(AQ13,Fechas!$N$4:$O$509,2,0)</f>
        <v>46167</v>
      </c>
      <c r="AR16" s="55" t="n">
        <f aca="false">VLOOKUP(AR13,Fechas!$N$4:$O$509,2,0)</f>
        <v>46168</v>
      </c>
      <c r="AS16" s="55" t="n">
        <f aca="false">VLOOKUP(AS13,Fechas!$N$4:$O$509,2,0)</f>
        <v>46169</v>
      </c>
      <c r="AT16" s="55" t="n">
        <f aca="false">VLOOKUP(AT13,Fechas!$N$4:$O$509,2,0)</f>
        <v>46170</v>
      </c>
      <c r="AU16" s="55" t="n">
        <f aca="false">VLOOKUP(AU13,Fechas!$N$4:$O$509,2,0)</f>
        <v>46171</v>
      </c>
      <c r="AV16" s="55" t="n">
        <f aca="false">VLOOKUP(AV13,Fechas!$N$4:$O$509,2,0)</f>
        <v>46172</v>
      </c>
      <c r="AW16" s="55" t="n">
        <f aca="false">VLOOKUP(AW13,Fechas!$N$4:$O$509,2,0)</f>
        <v>46173</v>
      </c>
      <c r="AX16" s="55" t="n">
        <f aca="false">VLOOKUP(AX13,Fechas!$N$4:$O$509,2,0)</f>
        <v>46174</v>
      </c>
      <c r="AY16" s="55" t="n">
        <f aca="false">VLOOKUP(AY13,Fechas!$N$4:$O$509,2,0)</f>
        <v>46175</v>
      </c>
      <c r="AZ16" s="55" t="n">
        <f aca="false">VLOOKUP(AZ13,Fechas!$N$4:$O$509,2,0)</f>
        <v>46176</v>
      </c>
      <c r="BA16" s="55" t="n">
        <f aca="false">VLOOKUP(BA13,Fechas!$N$4:$O$509,2,0)</f>
        <v>46177</v>
      </c>
      <c r="BB16" s="55" t="n">
        <f aca="false">VLOOKUP(BB13,Fechas!$N$4:$O$509,2,0)</f>
        <v>46178</v>
      </c>
      <c r="BC16" s="55" t="n">
        <f aca="false">VLOOKUP(BC13,Fechas!$N$4:$O$509,2,0)</f>
        <v>46179</v>
      </c>
      <c r="BD16" s="55" t="n">
        <f aca="false">VLOOKUP(BD13,Fechas!$N$4:$O$509,2,0)</f>
        <v>46180</v>
      </c>
      <c r="BE16" s="55" t="n">
        <f aca="false">VLOOKUP(BE13,Fechas!$N$4:$O$509,2,0)</f>
        <v>46181</v>
      </c>
      <c r="BF16" s="55" t="n">
        <f aca="false">VLOOKUP(BF13,Fechas!$N$4:$O$509,2,0)</f>
        <v>46182</v>
      </c>
      <c r="BG16" s="55" t="n">
        <f aca="false">VLOOKUP(BG13,Fechas!$N$4:$O$509,2,0)</f>
        <v>46183</v>
      </c>
      <c r="BH16" s="55" t="n">
        <f aca="false">VLOOKUP(BH13,Fechas!$N$4:$O$509,2,0)</f>
        <v>46184</v>
      </c>
      <c r="BI16" s="55" t="n">
        <f aca="false">VLOOKUP(BI13,Fechas!$N$4:$O$509,2,0)</f>
        <v>46185</v>
      </c>
      <c r="BJ16" s="55" t="n">
        <f aca="false">VLOOKUP(BJ13,Fechas!$N$4:$O$509,2,0)</f>
        <v>46186</v>
      </c>
      <c r="BK16" s="55" t="n">
        <f aca="false">VLOOKUP(BK13,Fechas!$N$4:$O$509,2,0)</f>
        <v>46187</v>
      </c>
      <c r="BL16" s="55" t="n">
        <f aca="false">VLOOKUP(BL13,Fechas!$N$4:$O$509,2,0)</f>
        <v>46188</v>
      </c>
      <c r="BM16" s="55" t="n">
        <f aca="false">VLOOKUP(BM13,Fechas!$N$4:$O$509,2,0)</f>
        <v>46189</v>
      </c>
      <c r="BN16" s="55" t="n">
        <f aca="false">VLOOKUP(BN13,Fechas!$N$4:$O$509,2,0)</f>
        <v>46190</v>
      </c>
      <c r="BO16" s="55" t="n">
        <f aca="false">VLOOKUP(BO13,Fechas!$N$4:$O$509,2,0)</f>
        <v>46191</v>
      </c>
      <c r="BP16" s="55" t="n">
        <f aca="false">VLOOKUP(BP13,Fechas!$N$4:$O$509,2,0)</f>
        <v>46192</v>
      </c>
      <c r="BQ16" s="55" t="n">
        <f aca="false">VLOOKUP(BQ13,Fechas!$N$4:$O$509,2,0)</f>
        <v>46193</v>
      </c>
      <c r="BR16" s="55" t="n">
        <f aca="false">VLOOKUP(BR13,Fechas!$N$4:$O$509,2,0)</f>
        <v>46194</v>
      </c>
      <c r="BS16" s="55" t="n">
        <f aca="false">VLOOKUP(BS13,Fechas!$N$4:$O$509,2,0)</f>
        <v>46195</v>
      </c>
      <c r="BT16" s="55" t="n">
        <f aca="false">VLOOKUP(BT13,Fechas!$N$4:$O$509,2,0)</f>
        <v>46196</v>
      </c>
      <c r="BU16" s="55" t="n">
        <f aca="false">VLOOKUP(BU13,Fechas!$N$4:$O$509,2,0)</f>
        <v>46197</v>
      </c>
      <c r="BV16" s="55" t="n">
        <f aca="false">VLOOKUP(BV13,Fechas!$N$4:$O$509,2,0)</f>
        <v>46198</v>
      </c>
      <c r="BW16" s="55" t="n">
        <f aca="false">VLOOKUP(BW13,Fechas!$N$4:$O$509,2,0)</f>
        <v>46199</v>
      </c>
      <c r="BX16" s="55" t="n">
        <f aca="false">VLOOKUP(BX13,Fechas!$N$4:$O$509,2,0)</f>
        <v>46200</v>
      </c>
      <c r="BY16" s="55" t="n">
        <f aca="false">VLOOKUP(BY13,Fechas!$N$4:$O$509,2,0)</f>
        <v>46201</v>
      </c>
      <c r="BZ16" s="55" t="n">
        <f aca="false">VLOOKUP(BZ13,Fechas!$N$4:$O$509,2,0)</f>
        <v>46202</v>
      </c>
      <c r="CA16" s="55" t="n">
        <f aca="false">VLOOKUP(CA13,Fechas!$N$4:$O$509,2,0)</f>
        <v>46203</v>
      </c>
      <c r="CB16" s="55" t="n">
        <f aca="false">VLOOKUP(CB13,Fechas!$N$4:$O$509,2,0)</f>
        <v>46204</v>
      </c>
      <c r="CC16" s="55" t="n">
        <f aca="false">VLOOKUP(CC13,Fechas!$N$4:$O$509,2,0)</f>
        <v>46205</v>
      </c>
      <c r="CD16" s="55" t="n">
        <f aca="false">VLOOKUP(CD13,Fechas!$N$4:$O$509,2,0)</f>
        <v>46206</v>
      </c>
      <c r="CE16" s="55" t="n">
        <f aca="false">VLOOKUP(CE13,Fechas!$N$4:$O$509,2,0)</f>
        <v>46207</v>
      </c>
      <c r="CF16" s="55" t="n">
        <f aca="false">VLOOKUP(CF13,Fechas!$N$4:$O$509,2,0)</f>
        <v>46208</v>
      </c>
      <c r="CG16" s="55" t="n">
        <f aca="false">VLOOKUP(CG13,Fechas!$N$4:$O$509,2,0)</f>
        <v>46209</v>
      </c>
      <c r="CH16" s="55" t="n">
        <f aca="false">VLOOKUP(CH13,Fechas!$N$4:$O$509,2,0)</f>
        <v>46210</v>
      </c>
      <c r="CI16" s="55" t="n">
        <f aca="false">VLOOKUP(CI13,Fechas!$N$4:$O$509,2,0)</f>
        <v>46211</v>
      </c>
      <c r="CJ16" s="55" t="n">
        <f aca="false">VLOOKUP(CJ13,Fechas!$N$4:$O$509,2,0)</f>
        <v>46212</v>
      </c>
      <c r="CK16" s="55" t="n">
        <f aca="false">VLOOKUP(CK13,Fechas!$N$4:$O$509,2,0)</f>
        <v>46213</v>
      </c>
      <c r="CL16" s="55" t="n">
        <f aca="false">VLOOKUP(CL13,Fechas!$N$4:$O$509,2,0)</f>
        <v>46214</v>
      </c>
      <c r="CM16" s="55" t="n">
        <f aca="false">VLOOKUP(CM13,Fechas!$N$4:$O$509,2,0)</f>
        <v>46215</v>
      </c>
      <c r="CN16" s="55" t="n">
        <f aca="false">VLOOKUP(CN13,Fechas!$N$4:$O$509,2,0)</f>
        <v>46216</v>
      </c>
      <c r="CO16" s="55" t="n">
        <f aca="false">VLOOKUP(CO13,Fechas!$N$4:$O$509,2,0)</f>
        <v>46217</v>
      </c>
      <c r="CP16" s="55" t="n">
        <f aca="false">VLOOKUP(CP13,Fechas!$N$4:$O$509,2,0)</f>
        <v>46218</v>
      </c>
      <c r="CQ16" s="55" t="str">
        <f aca="false">VLOOKUP(CQ13,Fechas!$N$4:$O$509,2,0)</f>
        <v/>
      </c>
      <c r="CR16" s="55" t="str">
        <f aca="false">VLOOKUP(CR13,Fechas!$N$4:$O$509,2,0)</f>
        <v/>
      </c>
      <c r="CS16" s="55" t="str">
        <f aca="false">VLOOKUP(CS13,Fechas!$N$4:$O$509,2,0)</f>
        <v/>
      </c>
      <c r="CT16" s="55" t="str">
        <f aca="false">VLOOKUP(CT13,Fechas!$N$4:$O$509,2,0)</f>
        <v/>
      </c>
      <c r="CU16" s="55" t="str">
        <f aca="false">VLOOKUP(CU13,Fechas!$N$4:$O$509,2,0)</f>
        <v/>
      </c>
      <c r="CV16" s="55" t="str">
        <f aca="false">VLOOKUP(CV13,Fechas!$N$4:$O$509,2,0)</f>
        <v/>
      </c>
      <c r="CW16" s="55" t="str">
        <f aca="false">VLOOKUP(CW13,Fechas!$N$4:$O$509,2,0)</f>
        <v/>
      </c>
      <c r="CX16" s="55" t="str">
        <f aca="false">VLOOKUP(CX13,Fechas!$N$4:$O$509,2,0)</f>
        <v/>
      </c>
      <c r="CY16" s="55" t="str">
        <f aca="false">VLOOKUP(CY13,Fechas!$N$4:$O$509,2,0)</f>
        <v/>
      </c>
      <c r="CZ16" s="55" t="str">
        <f aca="false">VLOOKUP(CZ13,Fechas!$N$4:$O$509,2,0)</f>
        <v/>
      </c>
      <c r="DA16" s="55" t="str">
        <f aca="false">VLOOKUP(DA13,Fechas!$N$4:$O$509,2,0)</f>
        <v/>
      </c>
      <c r="DB16" s="55" t="str">
        <f aca="false">VLOOKUP(DB13,Fechas!$N$4:$O$509,2,0)</f>
        <v/>
      </c>
      <c r="DC16" s="55" t="str">
        <f aca="false">VLOOKUP(DC13,Fechas!$N$4:$O$509,2,0)</f>
        <v/>
      </c>
      <c r="DD16" s="55" t="str">
        <f aca="false">VLOOKUP(DD13,Fechas!$N$4:$O$509,2,0)</f>
        <v/>
      </c>
      <c r="DE16" s="55" t="str">
        <f aca="false">VLOOKUP(DE13,Fechas!$N$4:$O$509,2,0)</f>
        <v/>
      </c>
      <c r="DF16" s="55" t="str">
        <f aca="false">VLOOKUP(DF13,Fechas!$N$4:$O$509,2,0)</f>
        <v/>
      </c>
      <c r="DG16" s="55" t="str">
        <f aca="false">VLOOKUP(DG13,Fechas!$N$4:$O$509,2,0)</f>
        <v/>
      </c>
      <c r="DH16" s="55" t="str">
        <f aca="false">VLOOKUP(DH13,Fechas!$N$4:$O$509,2,0)</f>
        <v/>
      </c>
      <c r="DI16" s="55" t="str">
        <f aca="false">VLOOKUP(DI13,Fechas!$N$4:$O$509,2,0)</f>
        <v/>
      </c>
      <c r="DJ16" s="55" t="str">
        <f aca="false">VLOOKUP(DJ13,Fechas!$N$4:$O$509,2,0)</f>
        <v/>
      </c>
      <c r="DK16" s="55" t="str">
        <f aca="false">VLOOKUP(DK13,Fechas!$N$4:$O$509,2,0)</f>
        <v/>
      </c>
      <c r="DL16" s="55" t="str">
        <f aca="false">VLOOKUP(DL13,Fechas!$N$4:$O$509,2,0)</f>
        <v/>
      </c>
      <c r="DM16" s="55" t="str">
        <f aca="false">VLOOKUP(DM13,Fechas!$N$4:$O$509,2,0)</f>
        <v/>
      </c>
      <c r="DN16" s="55" t="str">
        <f aca="false">VLOOKUP(DN13,Fechas!$N$4:$O$509,2,0)</f>
        <v/>
      </c>
      <c r="DO16" s="55" t="str">
        <f aca="false">VLOOKUP(DO13,Fechas!$N$4:$O$509,2,0)</f>
        <v/>
      </c>
      <c r="DP16" s="55" t="str">
        <f aca="false">VLOOKUP(DP13,Fechas!$N$4:$O$509,2,0)</f>
        <v/>
      </c>
      <c r="DQ16" s="55" t="str">
        <f aca="false">VLOOKUP(DQ13,Fechas!$N$4:$O$509,2,0)</f>
        <v/>
      </c>
      <c r="DR16" s="55" t="str">
        <f aca="false">VLOOKUP(DR13,Fechas!$N$4:$O$509,2,0)</f>
        <v/>
      </c>
      <c r="DS16" s="55" t="str">
        <f aca="false">VLOOKUP(DS13,Fechas!$N$4:$O$509,2,0)</f>
        <v/>
      </c>
      <c r="DT16" s="55" t="str">
        <f aca="false">VLOOKUP(DT13,Fechas!$N$4:$O$509,2,0)</f>
        <v/>
      </c>
      <c r="DU16" s="55" t="str">
        <f aca="false">VLOOKUP(DU13,Fechas!$N$4:$O$509,2,0)</f>
        <v/>
      </c>
      <c r="DV16" s="55" t="str">
        <f aca="false">VLOOKUP(DV13,Fechas!$N$4:$O$509,2,0)</f>
        <v/>
      </c>
      <c r="DW16" s="55" t="str">
        <f aca="false">VLOOKUP(DW13,Fechas!$N$4:$O$509,2,0)</f>
        <v/>
      </c>
      <c r="DX16" s="55" t="str">
        <f aca="false">VLOOKUP(DX13,Fechas!$N$4:$O$509,2,0)</f>
        <v/>
      </c>
      <c r="DY16" s="55" t="str">
        <f aca="false">VLOOKUP(DY13,Fechas!$N$4:$O$509,2,0)</f>
        <v/>
      </c>
      <c r="DZ16" s="55" t="str">
        <f aca="false">VLOOKUP(DZ13,Fechas!$N$4:$O$509,2,0)</f>
        <v/>
      </c>
      <c r="EA16" s="55" t="str">
        <f aca="false">VLOOKUP(EA13,Fechas!$N$4:$O$509,2,0)</f>
        <v/>
      </c>
      <c r="EB16" s="55" t="str">
        <f aca="false">VLOOKUP(EB13,Fechas!$N$4:$O$509,2,0)</f>
        <v/>
      </c>
      <c r="EC16" s="55" t="str">
        <f aca="false">VLOOKUP(EC13,Fechas!$N$4:$O$509,2,0)</f>
        <v/>
      </c>
      <c r="ED16" s="55" t="str">
        <f aca="false">VLOOKUP(ED13,Fechas!$N$4:$O$509,2,0)</f>
        <v/>
      </c>
      <c r="EE16" s="55" t="str">
        <f aca="false">VLOOKUP(EE13,Fechas!$N$4:$O$509,2,0)</f>
        <v/>
      </c>
      <c r="EF16" s="55" t="str">
        <f aca="false">VLOOKUP(EF13,Fechas!$N$4:$O$509,2,0)</f>
        <v/>
      </c>
      <c r="EG16" s="55" t="str">
        <f aca="false">VLOOKUP(EG13,Fechas!$N$4:$O$509,2,0)</f>
        <v/>
      </c>
      <c r="EH16" s="55" t="str">
        <f aca="false">VLOOKUP(EH13,Fechas!$N$4:$O$509,2,0)</f>
        <v/>
      </c>
      <c r="EI16" s="55" t="str">
        <f aca="false">VLOOKUP(EI13,Fechas!$N$4:$O$509,2,0)</f>
        <v/>
      </c>
      <c r="EJ16" s="55" t="str">
        <f aca="false">VLOOKUP(EJ13,Fechas!$N$4:$O$509,2,0)</f>
        <v/>
      </c>
      <c r="EK16" s="55" t="str">
        <f aca="false">VLOOKUP(EK13,Fechas!$N$4:$O$509,2,0)</f>
        <v/>
      </c>
      <c r="EL16" s="55" t="str">
        <f aca="false">VLOOKUP(EL13,Fechas!$N$4:$O$509,2,0)</f>
        <v/>
      </c>
      <c r="EM16" s="55" t="str">
        <f aca="false">VLOOKUP(EM13,Fechas!$N$4:$O$509,2,0)</f>
        <v/>
      </c>
      <c r="EN16" s="55" t="str">
        <f aca="false">VLOOKUP(EN13,Fechas!$N$4:$O$509,2,0)</f>
        <v/>
      </c>
      <c r="EO16" s="55" t="str">
        <f aca="false">VLOOKUP(EO13,Fechas!$N$4:$O$509,2,0)</f>
        <v/>
      </c>
      <c r="EP16" s="55" t="str">
        <f aca="false">VLOOKUP(EP13,Fechas!$N$4:$O$509,2,0)</f>
        <v/>
      </c>
      <c r="EQ16" s="55" t="str">
        <f aca="false">VLOOKUP(EQ13,Fechas!$N$4:$O$509,2,0)</f>
        <v/>
      </c>
      <c r="ER16" s="55" t="str">
        <f aca="false">VLOOKUP(ER13,Fechas!$N$4:$O$509,2,0)</f>
        <v/>
      </c>
      <c r="ES16" s="55" t="str">
        <f aca="false">VLOOKUP(ES13,Fechas!$N$4:$O$509,2,0)</f>
        <v/>
      </c>
      <c r="ET16" s="55" t="str">
        <f aca="false">VLOOKUP(ET13,Fechas!$N$4:$O$509,2,0)</f>
        <v/>
      </c>
      <c r="EU16" s="55" t="str">
        <f aca="false">VLOOKUP(EU13,Fechas!$N$4:$O$509,2,0)</f>
        <v/>
      </c>
      <c r="EV16" s="55" t="str">
        <f aca="false">VLOOKUP(EV13,Fechas!$N$4:$O$509,2,0)</f>
        <v/>
      </c>
      <c r="EW16" s="55" t="str">
        <f aca="false">VLOOKUP(EW13,Fechas!$N$4:$O$509,2,0)</f>
        <v/>
      </c>
      <c r="EX16" s="55" t="str">
        <f aca="false">VLOOKUP(EX13,Fechas!$N$4:$O$509,2,0)</f>
        <v/>
      </c>
      <c r="EY16" s="55" t="str">
        <f aca="false">VLOOKUP(EY13,Fechas!$N$4:$O$509,2,0)</f>
        <v/>
      </c>
      <c r="EZ16" s="55" t="str">
        <f aca="false">VLOOKUP(EZ13,Fechas!$N$4:$O$509,2,0)</f>
        <v/>
      </c>
      <c r="FA16" s="55" t="str">
        <f aca="false">VLOOKUP(FA13,Fechas!$N$4:$O$509,2,0)</f>
        <v/>
      </c>
      <c r="FB16" s="55" t="str">
        <f aca="false">VLOOKUP(FB13,Fechas!$N$4:$O$509,2,0)</f>
        <v/>
      </c>
      <c r="FC16" s="55" t="str">
        <f aca="false">VLOOKUP(FC13,Fechas!$N$4:$O$509,2,0)</f>
        <v/>
      </c>
      <c r="FD16" s="55" t="str">
        <f aca="false">VLOOKUP(FD13,Fechas!$N$4:$O$509,2,0)</f>
        <v/>
      </c>
      <c r="FE16" s="55" t="str">
        <f aca="false">VLOOKUP(FE13,Fechas!$N$4:$O$509,2,0)</f>
        <v/>
      </c>
      <c r="FF16" s="55" t="str">
        <f aca="false">VLOOKUP(FF13,Fechas!$N$4:$O$509,2,0)</f>
        <v/>
      </c>
      <c r="FG16" s="55" t="str">
        <f aca="false">VLOOKUP(FG13,Fechas!$N$4:$O$509,2,0)</f>
        <v/>
      </c>
      <c r="FH16" s="55" t="str">
        <f aca="false">VLOOKUP(FH13,Fechas!$N$4:$O$509,2,0)</f>
        <v/>
      </c>
      <c r="FI16" s="55" t="str">
        <f aca="false">VLOOKUP(FI13,Fechas!$N$4:$O$509,2,0)</f>
        <v/>
      </c>
      <c r="FJ16" s="55" t="str">
        <f aca="false">VLOOKUP(FJ13,Fechas!$N$4:$O$509,2,0)</f>
        <v/>
      </c>
      <c r="FK16" s="55" t="str">
        <f aca="false">VLOOKUP(FK13,Fechas!$N$4:$O$509,2,0)</f>
        <v/>
      </c>
      <c r="FL16" s="55" t="str">
        <f aca="false">VLOOKUP(FL13,Fechas!$N$4:$O$509,2,0)</f>
        <v/>
      </c>
      <c r="FM16" s="55" t="str">
        <f aca="false">VLOOKUP(FM13,Fechas!$N$4:$O$509,2,0)</f>
        <v/>
      </c>
      <c r="FN16" s="55" t="str">
        <f aca="false">VLOOKUP(FN13,Fechas!$N$4:$O$509,2,0)</f>
        <v/>
      </c>
      <c r="FO16" s="55" t="str">
        <f aca="false">VLOOKUP(FO13,Fechas!$N$4:$O$509,2,0)</f>
        <v/>
      </c>
      <c r="FP16" s="55" t="str">
        <f aca="false">VLOOKUP(FP13,Fechas!$N$4:$O$509,2,0)</f>
        <v/>
      </c>
      <c r="FQ16" s="55" t="str">
        <f aca="false">VLOOKUP(FQ13,Fechas!$N$4:$O$509,2,0)</f>
        <v/>
      </c>
      <c r="FR16" s="55" t="str">
        <f aca="false">VLOOKUP(FR13,Fechas!$N$4:$O$509,2,0)</f>
        <v/>
      </c>
      <c r="FS16" s="55" t="str">
        <f aca="false">VLOOKUP(FS13,Fechas!$N$4:$O$509,2,0)</f>
        <v/>
      </c>
      <c r="FT16" s="55" t="str">
        <f aca="false">VLOOKUP(FT13,Fechas!$N$4:$O$509,2,0)</f>
        <v/>
      </c>
      <c r="FU16" s="55" t="str">
        <f aca="false">VLOOKUP(FU13,Fechas!$N$4:$O$509,2,0)</f>
        <v/>
      </c>
      <c r="FV16" s="55" t="str">
        <f aca="false">VLOOKUP(FV13,Fechas!$N$4:$O$509,2,0)</f>
        <v/>
      </c>
      <c r="FW16" s="55" t="str">
        <f aca="false">VLOOKUP(FW13,Fechas!$N$4:$O$509,2,0)</f>
        <v/>
      </c>
      <c r="FX16" s="55" t="str">
        <f aca="false">VLOOKUP(FX13,Fechas!$N$4:$O$509,2,0)</f>
        <v/>
      </c>
      <c r="FY16" s="55" t="str">
        <f aca="false">VLOOKUP(FY13,Fechas!$N$4:$O$509,2,0)</f>
        <v/>
      </c>
      <c r="FZ16" s="55" t="str">
        <f aca="false">VLOOKUP(FZ13,Fechas!$N$4:$O$509,2,0)</f>
        <v/>
      </c>
      <c r="GA16" s="55" t="str">
        <f aca="false">VLOOKUP(GA13,Fechas!$N$4:$O$509,2,0)</f>
        <v/>
      </c>
      <c r="GB16" s="55" t="str">
        <f aca="false">VLOOKUP(GB13,Fechas!$N$4:$O$509,2,0)</f>
        <v/>
      </c>
      <c r="GC16" s="55" t="str">
        <f aca="false">VLOOKUP(GC13,Fechas!$N$4:$O$509,2,0)</f>
        <v/>
      </c>
      <c r="GD16" s="55" t="str">
        <f aca="false">VLOOKUP(GD13,Fechas!$N$4:$O$509,2,0)</f>
        <v/>
      </c>
      <c r="GE16" s="55" t="str">
        <f aca="false">VLOOKUP(GE13,Fechas!$N$4:$O$509,2,0)</f>
        <v/>
      </c>
      <c r="GF16" s="55" t="str">
        <f aca="false">VLOOKUP(GF13,Fechas!$N$4:$O$509,2,0)</f>
        <v/>
      </c>
      <c r="GG16" s="55" t="str">
        <f aca="false">VLOOKUP(GG13,Fechas!$N$4:$O$509,2,0)</f>
        <v/>
      </c>
      <c r="GH16" s="55" t="str">
        <f aca="false">VLOOKUP(GH13,Fechas!$N$4:$O$509,2,0)</f>
        <v/>
      </c>
      <c r="GI16" s="55" t="str">
        <f aca="false">VLOOKUP(GI13,Fechas!$N$4:$O$509,2,0)</f>
        <v/>
      </c>
      <c r="GJ16" s="55" t="str">
        <f aca="false">VLOOKUP(GJ13,Fechas!$N$4:$O$509,2,0)</f>
        <v/>
      </c>
      <c r="GK16" s="55" t="str">
        <f aca="false">VLOOKUP(GK13,Fechas!$N$4:$O$509,2,0)</f>
        <v/>
      </c>
      <c r="GL16" s="55" t="str">
        <f aca="false">VLOOKUP(GL13,Fechas!$N$4:$O$509,2,0)</f>
        <v/>
      </c>
      <c r="GM16" s="55" t="str">
        <f aca="false">VLOOKUP(GM13,Fechas!$N$4:$O$509,2,0)</f>
        <v/>
      </c>
      <c r="GN16" s="55" t="str">
        <f aca="false">VLOOKUP(GN13,Fechas!$N$4:$O$509,2,0)</f>
        <v/>
      </c>
      <c r="GO16" s="55" t="str">
        <f aca="false">VLOOKUP(GO13,Fechas!$N$4:$O$509,2,0)</f>
        <v/>
      </c>
      <c r="GP16" s="55" t="str">
        <f aca="false">VLOOKUP(GP13,Fechas!$N$4:$O$509,2,0)</f>
        <v/>
      </c>
      <c r="GQ16" s="55" t="str">
        <f aca="false">VLOOKUP(GQ13,Fechas!$N$4:$O$509,2,0)</f>
        <v/>
      </c>
      <c r="GR16" s="55" t="str">
        <f aca="false">VLOOKUP(GR13,Fechas!$N$4:$O$509,2,0)</f>
        <v/>
      </c>
      <c r="GS16" s="55" t="str">
        <f aca="false">VLOOKUP(GS13,Fechas!$N$4:$O$509,2,0)</f>
        <v/>
      </c>
      <c r="GT16" s="55" t="str">
        <f aca="false">VLOOKUP(GT13,Fechas!$N$4:$O$509,2,0)</f>
        <v/>
      </c>
      <c r="GU16" s="55" t="str">
        <f aca="false">VLOOKUP(GU13,Fechas!$N$4:$O$509,2,0)</f>
        <v/>
      </c>
      <c r="GV16" s="55" t="str">
        <f aca="false">VLOOKUP(GV13,Fechas!$N$4:$O$509,2,0)</f>
        <v/>
      </c>
      <c r="GW16" s="55" t="str">
        <f aca="false">VLOOKUP(GW13,Fechas!$N$4:$O$509,2,0)</f>
        <v/>
      </c>
      <c r="GX16" s="55" t="str">
        <f aca="false">VLOOKUP(GX13,Fechas!$N$4:$O$509,2,0)</f>
        <v/>
      </c>
      <c r="GY16" s="55" t="str">
        <f aca="false">VLOOKUP(GY13,Fechas!$N$4:$O$509,2,0)</f>
        <v/>
      </c>
      <c r="GZ16" s="55" t="str">
        <f aca="false">VLOOKUP(GZ13,Fechas!$N$4:$O$509,2,0)</f>
        <v/>
      </c>
      <c r="HA16" s="55" t="str">
        <f aca="false">VLOOKUP(HA13,Fechas!$N$4:$O$509,2,0)</f>
        <v/>
      </c>
      <c r="HB16" s="55" t="str">
        <f aca="false">VLOOKUP(HB13,Fechas!$N$4:$O$509,2,0)</f>
        <v/>
      </c>
      <c r="HC16" s="55" t="str">
        <f aca="false">VLOOKUP(HC13,Fechas!$N$4:$O$509,2,0)</f>
        <v/>
      </c>
      <c r="HD16" s="55" t="str">
        <f aca="false">VLOOKUP(HD13,Fechas!$N$4:$O$509,2,0)</f>
        <v/>
      </c>
      <c r="HE16" s="55" t="str">
        <f aca="false">VLOOKUP(HE13,Fechas!$N$4:$O$509,2,0)</f>
        <v/>
      </c>
      <c r="HF16" s="55" t="str">
        <f aca="false">VLOOKUP(HF13,Fechas!$N$4:$O$509,2,0)</f>
        <v/>
      </c>
      <c r="HG16" s="55" t="str">
        <f aca="false">VLOOKUP(HG13,Fechas!$N$4:$O$509,2,0)</f>
        <v/>
      </c>
      <c r="HH16" s="55" t="str">
        <f aca="false">VLOOKUP(HH13,Fechas!$N$4:$O$509,2,0)</f>
        <v/>
      </c>
      <c r="HI16" s="55" t="str">
        <f aca="false">VLOOKUP(HI13,Fechas!$N$4:$O$509,2,0)</f>
        <v/>
      </c>
      <c r="HJ16" s="55" t="str">
        <f aca="false">VLOOKUP(HJ13,Fechas!$N$4:$O$509,2,0)</f>
        <v/>
      </c>
      <c r="HK16" s="55" t="str">
        <f aca="false">VLOOKUP(HK13,Fechas!$N$4:$O$509,2,0)</f>
        <v/>
      </c>
      <c r="HL16" s="55" t="str">
        <f aca="false">VLOOKUP(HL13,Fechas!$N$4:$O$509,2,0)</f>
        <v/>
      </c>
      <c r="HM16" s="55" t="str">
        <f aca="false">VLOOKUP(HM13,Fechas!$N$4:$O$509,2,0)</f>
        <v/>
      </c>
      <c r="HN16" s="55" t="str">
        <f aca="false">VLOOKUP(HN13,Fechas!$N$4:$O$509,2,0)</f>
        <v/>
      </c>
      <c r="HO16" s="55" t="str">
        <f aca="false">VLOOKUP(HO13,Fechas!$N$4:$O$509,2,0)</f>
        <v/>
      </c>
      <c r="HP16" s="55" t="str">
        <f aca="false">VLOOKUP(HP13,Fechas!$N$4:$O$509,2,0)</f>
        <v/>
      </c>
      <c r="HQ16" s="55" t="str">
        <f aca="false">VLOOKUP(HQ13,Fechas!$N$4:$O$509,2,0)</f>
        <v/>
      </c>
      <c r="HR16" s="55" t="str">
        <f aca="false">VLOOKUP(HR13,Fechas!$N$4:$O$509,2,0)</f>
        <v/>
      </c>
      <c r="HS16" s="55" t="str">
        <f aca="false">VLOOKUP(HS13,Fechas!$N$4:$O$509,2,0)</f>
        <v/>
      </c>
      <c r="HT16" s="55" t="str">
        <f aca="false">VLOOKUP(HT13,Fechas!$N$4:$O$509,2,0)</f>
        <v/>
      </c>
      <c r="HU16" s="55" t="str">
        <f aca="false">VLOOKUP(HU13,Fechas!$N$4:$O$509,2,0)</f>
        <v/>
      </c>
      <c r="HV16" s="55" t="str">
        <f aca="false">VLOOKUP(HV13,Fechas!$N$4:$O$509,2,0)</f>
        <v/>
      </c>
      <c r="HW16" s="55" t="str">
        <f aca="false">VLOOKUP(HW13,Fechas!$N$4:$O$509,2,0)</f>
        <v/>
      </c>
      <c r="HX16" s="55" t="str">
        <f aca="false">VLOOKUP(HX13,Fechas!$N$4:$O$509,2,0)</f>
        <v/>
      </c>
      <c r="HY16" s="55" t="str">
        <f aca="false">VLOOKUP(HY13,Fechas!$N$4:$O$509,2,0)</f>
        <v/>
      </c>
      <c r="HZ16" s="55" t="str">
        <f aca="false">VLOOKUP(HZ13,Fechas!$N$4:$O$509,2,0)</f>
        <v/>
      </c>
      <c r="IA16" s="55" t="str">
        <f aca="false">VLOOKUP(IA13,Fechas!$N$4:$O$509,2,0)</f>
        <v/>
      </c>
      <c r="IB16" s="55" t="str">
        <f aca="false">VLOOKUP(IB13,Fechas!$N$4:$O$509,2,0)</f>
        <v/>
      </c>
      <c r="IC16" s="55" t="str">
        <f aca="false">VLOOKUP(IC13,Fechas!$N$4:$O$509,2,0)</f>
        <v/>
      </c>
      <c r="ID16" s="55" t="str">
        <f aca="false">VLOOKUP(ID13,Fechas!$N$4:$O$509,2,0)</f>
        <v/>
      </c>
      <c r="IE16" s="55" t="str">
        <f aca="false">VLOOKUP(IE13,Fechas!$N$4:$O$509,2,0)</f>
        <v/>
      </c>
      <c r="IF16" s="55" t="str">
        <f aca="false">VLOOKUP(IF13,Fechas!$N$4:$O$509,2,0)</f>
        <v/>
      </c>
      <c r="IG16" s="55" t="str">
        <f aca="false">VLOOKUP(IG13,Fechas!$N$4:$O$509,2,0)</f>
        <v/>
      </c>
      <c r="IH16" s="55" t="str">
        <f aca="false">VLOOKUP(IH13,Fechas!$N$4:$O$509,2,0)</f>
        <v/>
      </c>
      <c r="II16" s="55" t="str">
        <f aca="false">VLOOKUP(II13,Fechas!$N$4:$O$509,2,0)</f>
        <v/>
      </c>
      <c r="IJ16" s="55" t="str">
        <f aca="false">VLOOKUP(IJ13,Fechas!$N$4:$O$509,2,0)</f>
        <v/>
      </c>
      <c r="IK16" s="55" t="str">
        <f aca="false">VLOOKUP(IK13,Fechas!$N$4:$O$509,2,0)</f>
        <v/>
      </c>
      <c r="IL16" s="55" t="str">
        <f aca="false">VLOOKUP(IL13,Fechas!$N$4:$O$509,2,0)</f>
        <v/>
      </c>
      <c r="IM16" s="55" t="str">
        <f aca="false">VLOOKUP(IM13,Fechas!$N$4:$O$509,2,0)</f>
        <v/>
      </c>
      <c r="IN16" s="55" t="str">
        <f aca="false">VLOOKUP(IN13,Fechas!$N$4:$O$509,2,0)</f>
        <v/>
      </c>
      <c r="IO16" s="55" t="str">
        <f aca="false">VLOOKUP(IO13,Fechas!$N$4:$O$509,2,0)</f>
        <v/>
      </c>
      <c r="IP16" s="55" t="str">
        <f aca="false">VLOOKUP(IP13,Fechas!$N$4:$O$509,2,0)</f>
        <v/>
      </c>
      <c r="IQ16" s="55" t="str">
        <f aca="false">VLOOKUP(IQ13,Fechas!$N$4:$O$509,2,0)</f>
        <v/>
      </c>
      <c r="IR16" s="55" t="str">
        <f aca="false">VLOOKUP(IR13,Fechas!$N$4:$O$509,2,0)</f>
        <v/>
      </c>
      <c r="IS16" s="55" t="str">
        <f aca="false">VLOOKUP(IS13,Fechas!$N$4:$O$509,2,0)</f>
        <v/>
      </c>
      <c r="IT16" s="55" t="str">
        <f aca="false">VLOOKUP(IT13,Fechas!$N$4:$O$509,2,0)</f>
        <v/>
      </c>
      <c r="IU16" s="55" t="str">
        <f aca="false">VLOOKUP(IU13,Fechas!$N$4:$O$509,2,0)</f>
        <v/>
      </c>
      <c r="IV16" s="55" t="str">
        <f aca="false">VLOOKUP(IV13,Fechas!$N$4:$O$509,2,0)</f>
        <v/>
      </c>
      <c r="IW16" s="55" t="str">
        <f aca="false">VLOOKUP(IW13,Fechas!$N$4:$O$509,2,0)</f>
        <v/>
      </c>
      <c r="IX16" s="55" t="str">
        <f aca="false">VLOOKUP(IX13,Fechas!$N$4:$O$509,2,0)</f>
        <v/>
      </c>
      <c r="IY16" s="55" t="str">
        <f aca="false">VLOOKUP(IY13,Fechas!$N$4:$O$509,2,0)</f>
        <v/>
      </c>
      <c r="IZ16" s="55" t="str">
        <f aca="false">VLOOKUP(IZ13,Fechas!$N$4:$O$509,2,0)</f>
        <v/>
      </c>
      <c r="JA16" s="55" t="str">
        <f aca="false">VLOOKUP(JA13,Fechas!$N$4:$O$509,2,0)</f>
        <v/>
      </c>
      <c r="JB16" s="55" t="str">
        <f aca="false">VLOOKUP(JB13,Fechas!$N$4:$O$509,2,0)</f>
        <v/>
      </c>
      <c r="JC16" s="55" t="str">
        <f aca="false">VLOOKUP(JC13,Fechas!$N$4:$O$509,2,0)</f>
        <v/>
      </c>
      <c r="JD16" s="55" t="str">
        <f aca="false">VLOOKUP(JD13,Fechas!$N$4:$O$509,2,0)</f>
        <v/>
      </c>
      <c r="JE16" s="55" t="str">
        <f aca="false">VLOOKUP(JE13,Fechas!$N$4:$O$509,2,0)</f>
        <v/>
      </c>
      <c r="JF16" s="55" t="str">
        <f aca="false">VLOOKUP(JF13,Fechas!$N$4:$O$509,2,0)</f>
        <v/>
      </c>
      <c r="JG16" s="55" t="str">
        <f aca="false">VLOOKUP(JG13,Fechas!$N$4:$O$509,2,0)</f>
        <v/>
      </c>
      <c r="JH16" s="55" t="str">
        <f aca="false">VLOOKUP(JH13,Fechas!$N$4:$O$509,2,0)</f>
        <v/>
      </c>
      <c r="JI16" s="55" t="str">
        <f aca="false">VLOOKUP(JI13,Fechas!$N$4:$O$509,2,0)</f>
        <v/>
      </c>
      <c r="JJ16" s="55" t="str">
        <f aca="false">VLOOKUP(JJ13,Fechas!$N$4:$O$509,2,0)</f>
        <v/>
      </c>
      <c r="JK16" s="55" t="str">
        <f aca="false">VLOOKUP(JK13,Fechas!$N$4:$O$509,2,0)</f>
        <v/>
      </c>
      <c r="JL16" s="55" t="str">
        <f aca="false">VLOOKUP(JL13,Fechas!$N$4:$O$509,2,0)</f>
        <v/>
      </c>
      <c r="JM16" s="55" t="str">
        <f aca="false">VLOOKUP(JM13,Fechas!$N$4:$O$509,2,0)</f>
        <v/>
      </c>
      <c r="JN16" s="55" t="str">
        <f aca="false">VLOOKUP(JN13,Fechas!$N$4:$O$509,2,0)</f>
        <v/>
      </c>
      <c r="JO16" s="55" t="str">
        <f aca="false">VLOOKUP(JO13,Fechas!$N$4:$O$509,2,0)</f>
        <v/>
      </c>
      <c r="JP16" s="55" t="str">
        <f aca="false">VLOOKUP(JP13,Fechas!$N$4:$O$509,2,0)</f>
        <v/>
      </c>
      <c r="JQ16" s="55" t="str">
        <f aca="false">VLOOKUP(JQ13,Fechas!$N$4:$O$509,2,0)</f>
        <v/>
      </c>
      <c r="JR16" s="55" t="str">
        <f aca="false">VLOOKUP(JR13,Fechas!$N$4:$O$509,2,0)</f>
        <v/>
      </c>
      <c r="JS16" s="55" t="str">
        <f aca="false">VLOOKUP(JS13,Fechas!$N$4:$O$509,2,0)</f>
        <v/>
      </c>
      <c r="JT16" s="55" t="str">
        <f aca="false">VLOOKUP(JT13,Fechas!$N$4:$O$509,2,0)</f>
        <v/>
      </c>
      <c r="JU16" s="55" t="str">
        <f aca="false">VLOOKUP(JU13,Fechas!$N$4:$O$509,2,0)</f>
        <v/>
      </c>
      <c r="JV16" s="55" t="str">
        <f aca="false">VLOOKUP(JV13,Fechas!$N$4:$O$509,2,0)</f>
        <v/>
      </c>
      <c r="JW16" s="55" t="str">
        <f aca="false">VLOOKUP(JW13,Fechas!$N$4:$O$509,2,0)</f>
        <v/>
      </c>
      <c r="JX16" s="55" t="str">
        <f aca="false">VLOOKUP(JX13,Fechas!$N$4:$O$509,2,0)</f>
        <v/>
      </c>
      <c r="JY16" s="55" t="str">
        <f aca="false">VLOOKUP(JY13,Fechas!$N$4:$O$509,2,0)</f>
        <v/>
      </c>
      <c r="JZ16" s="55" t="str">
        <f aca="false">VLOOKUP(JZ13,Fechas!$N$4:$O$509,2,0)</f>
        <v/>
      </c>
      <c r="KA16" s="55" t="str">
        <f aca="false">VLOOKUP(KA13,Fechas!$N$4:$O$509,2,0)</f>
        <v/>
      </c>
      <c r="KB16" s="55" t="str">
        <f aca="false">VLOOKUP(KB13,Fechas!$N$4:$O$509,2,0)</f>
        <v/>
      </c>
      <c r="KC16" s="55" t="str">
        <f aca="false">VLOOKUP(KC13,Fechas!$N$4:$O$509,2,0)</f>
        <v/>
      </c>
      <c r="KD16" s="55" t="str">
        <f aca="false">VLOOKUP(KD13,Fechas!$N$4:$O$509,2,0)</f>
        <v/>
      </c>
      <c r="KE16" s="55" t="str">
        <f aca="false">VLOOKUP(KE13,Fechas!$N$4:$O$509,2,0)</f>
        <v/>
      </c>
      <c r="KF16" s="55" t="str">
        <f aca="false">VLOOKUP(KF13,Fechas!$N$4:$O$509,2,0)</f>
        <v/>
      </c>
      <c r="KG16" s="55" t="str">
        <f aca="false">VLOOKUP(KG13,Fechas!$N$4:$O$509,2,0)</f>
        <v/>
      </c>
      <c r="KH16" s="55" t="str">
        <f aca="false">VLOOKUP(KH13,Fechas!$N$4:$O$509,2,0)</f>
        <v/>
      </c>
      <c r="KI16" s="55" t="str">
        <f aca="false">VLOOKUP(KI13,Fechas!$N$4:$O$509,2,0)</f>
        <v/>
      </c>
      <c r="KJ16" s="55" t="str">
        <f aca="false">VLOOKUP(KJ13,Fechas!$N$4:$O$509,2,0)</f>
        <v/>
      </c>
      <c r="KK16" s="55" t="str">
        <f aca="false">VLOOKUP(KK13,Fechas!$N$4:$O$509,2,0)</f>
        <v/>
      </c>
      <c r="KL16" s="55" t="str">
        <f aca="false">VLOOKUP(KL13,Fechas!$N$4:$O$509,2,0)</f>
        <v/>
      </c>
      <c r="KM16" s="55" t="str">
        <f aca="false">VLOOKUP(KM13,Fechas!$N$4:$O$509,2,0)</f>
        <v/>
      </c>
      <c r="KN16" s="55" t="str">
        <f aca="false">VLOOKUP(KN13,Fechas!$N$4:$O$509,2,0)</f>
        <v/>
      </c>
      <c r="KO16" s="55" t="str">
        <f aca="false">VLOOKUP(KO13,Fechas!$N$4:$O$509,2,0)</f>
        <v/>
      </c>
      <c r="KP16" s="55" t="str">
        <f aca="false">VLOOKUP(KP13,Fechas!$N$4:$O$509,2,0)</f>
        <v/>
      </c>
      <c r="KQ16" s="55" t="str">
        <f aca="false">VLOOKUP(KQ13,Fechas!$N$4:$O$509,2,0)</f>
        <v/>
      </c>
      <c r="KR16" s="55" t="str">
        <f aca="false">VLOOKUP(KR13,Fechas!$N$4:$O$509,2,0)</f>
        <v/>
      </c>
      <c r="KS16" s="55" t="str">
        <f aca="false">VLOOKUP(KS13,Fechas!$N$4:$O$509,2,0)</f>
        <v/>
      </c>
      <c r="KT16" s="55" t="str">
        <f aca="false">VLOOKUP(KT13,Fechas!$N$4:$O$509,2,0)</f>
        <v/>
      </c>
      <c r="KU16" s="55" t="str">
        <f aca="false">VLOOKUP(KU13,Fechas!$N$4:$O$509,2,0)</f>
        <v/>
      </c>
      <c r="KV16" s="55" t="str">
        <f aca="false">VLOOKUP(KV13,Fechas!$N$4:$O$509,2,0)</f>
        <v/>
      </c>
      <c r="KW16" s="55" t="str">
        <f aca="false">VLOOKUP(KW13,Fechas!$N$4:$O$509,2,0)</f>
        <v/>
      </c>
      <c r="KX16" s="55" t="str">
        <f aca="false">VLOOKUP(KX13,Fechas!$N$4:$O$509,2,0)</f>
        <v/>
      </c>
      <c r="KY16" s="55" t="str">
        <f aca="false">VLOOKUP(KY13,Fechas!$N$4:$O$509,2,0)</f>
        <v/>
      </c>
      <c r="KZ16" s="55" t="str">
        <f aca="false">VLOOKUP(KZ13,Fechas!$N$4:$O$509,2,0)</f>
        <v/>
      </c>
      <c r="LA16" s="55" t="str">
        <f aca="false">VLOOKUP(LA13,Fechas!$N$4:$O$509,2,0)</f>
        <v/>
      </c>
      <c r="LB16" s="55" t="str">
        <f aca="false">VLOOKUP(LB13,Fechas!$N$4:$O$509,2,0)</f>
        <v/>
      </c>
      <c r="LC16" s="55" t="str">
        <f aca="false">VLOOKUP(LC13,Fechas!$N$4:$O$509,2,0)</f>
        <v/>
      </c>
      <c r="LD16" s="55" t="str">
        <f aca="false">VLOOKUP(LD13,Fechas!$N$4:$O$509,2,0)</f>
        <v/>
      </c>
      <c r="LE16" s="55" t="str">
        <f aca="false">VLOOKUP(LE13,Fechas!$N$4:$O$509,2,0)</f>
        <v/>
      </c>
      <c r="LF16" s="55" t="str">
        <f aca="false">VLOOKUP(LF13,Fechas!$N$4:$O$509,2,0)</f>
        <v/>
      </c>
      <c r="LG16" s="55" t="str">
        <f aca="false">VLOOKUP(LG13,Fechas!$N$4:$O$509,2,0)</f>
        <v/>
      </c>
      <c r="LH16" s="55" t="str">
        <f aca="false">VLOOKUP(LH13,Fechas!$N$4:$O$509,2,0)</f>
        <v/>
      </c>
      <c r="LI16" s="55" t="str">
        <f aca="false">VLOOKUP(LI13,Fechas!$N$4:$O$509,2,0)</f>
        <v/>
      </c>
      <c r="LJ16" s="55" t="str">
        <f aca="false">VLOOKUP(LJ13,Fechas!$N$4:$O$509,2,0)</f>
        <v/>
      </c>
      <c r="LK16" s="55" t="str">
        <f aca="false">VLOOKUP(LK13,Fechas!$N$4:$O$509,2,0)</f>
        <v/>
      </c>
      <c r="LL16" s="55" t="str">
        <f aca="false">VLOOKUP(LL13,Fechas!$N$4:$O$509,2,0)</f>
        <v/>
      </c>
      <c r="LM16" s="55" t="str">
        <f aca="false">VLOOKUP(LM13,Fechas!$N$4:$O$509,2,0)</f>
        <v/>
      </c>
      <c r="LN16" s="55" t="str">
        <f aca="false">VLOOKUP(LN13,Fechas!$N$4:$O$509,2,0)</f>
        <v/>
      </c>
      <c r="LO16" s="55" t="str">
        <f aca="false">VLOOKUP(LO13,Fechas!$N$4:$O$509,2,0)</f>
        <v/>
      </c>
      <c r="LP16" s="55" t="str">
        <f aca="false">VLOOKUP(LP13,Fechas!$N$4:$O$509,2,0)</f>
        <v/>
      </c>
      <c r="LQ16" s="55" t="str">
        <f aca="false">VLOOKUP(LQ13,Fechas!$N$4:$O$509,2,0)</f>
        <v/>
      </c>
      <c r="LR16" s="55" t="str">
        <f aca="false">VLOOKUP(LR13,Fechas!$N$4:$O$509,2,0)</f>
        <v/>
      </c>
      <c r="LS16" s="55" t="str">
        <f aca="false">VLOOKUP(LS13,Fechas!$N$4:$O$509,2,0)</f>
        <v/>
      </c>
      <c r="LT16" s="55" t="str">
        <f aca="false">VLOOKUP(LT13,Fechas!$N$4:$O$509,2,0)</f>
        <v/>
      </c>
      <c r="LU16" s="55" t="str">
        <f aca="false">VLOOKUP(LU13,Fechas!$N$4:$O$509,2,0)</f>
        <v/>
      </c>
      <c r="LV16" s="55" t="str">
        <f aca="false">VLOOKUP(LV13,Fechas!$N$4:$O$509,2,0)</f>
        <v/>
      </c>
      <c r="LW16" s="55" t="str">
        <f aca="false">VLOOKUP(LW13,Fechas!$N$4:$O$509,2,0)</f>
        <v/>
      </c>
      <c r="LX16" s="55" t="str">
        <f aca="false">VLOOKUP(LX13,Fechas!$N$4:$O$509,2,0)</f>
        <v/>
      </c>
      <c r="LY16" s="55" t="str">
        <f aca="false">VLOOKUP(LY13,Fechas!$N$4:$O$509,2,0)</f>
        <v/>
      </c>
      <c r="LZ16" s="55" t="str">
        <f aca="false">VLOOKUP(LZ13,Fechas!$N$4:$O$509,2,0)</f>
        <v/>
      </c>
      <c r="MA16" s="55" t="str">
        <f aca="false">VLOOKUP(MA13,Fechas!$N$4:$O$509,2,0)</f>
        <v/>
      </c>
      <c r="MB16" s="55" t="str">
        <f aca="false">VLOOKUP(MB13,Fechas!$N$4:$O$509,2,0)</f>
        <v/>
      </c>
      <c r="MC16" s="55" t="str">
        <f aca="false">VLOOKUP(MC13,Fechas!$N$4:$O$509,2,0)</f>
        <v/>
      </c>
      <c r="MD16" s="55" t="str">
        <f aca="false">VLOOKUP(MD13,Fechas!$N$4:$O$509,2,0)</f>
        <v/>
      </c>
      <c r="ME16" s="55" t="str">
        <f aca="false">VLOOKUP(ME13,Fechas!$N$4:$O$509,2,0)</f>
        <v/>
      </c>
      <c r="MF16" s="55" t="str">
        <f aca="false">VLOOKUP(MF13,Fechas!$N$4:$O$509,2,0)</f>
        <v/>
      </c>
      <c r="MG16" s="55" t="str">
        <f aca="false">VLOOKUP(MG13,Fechas!$N$4:$O$509,2,0)</f>
        <v/>
      </c>
      <c r="MH16" s="55" t="str">
        <f aca="false">VLOOKUP(MH13,Fechas!$N$4:$O$509,2,0)</f>
        <v/>
      </c>
      <c r="MI16" s="55" t="str">
        <f aca="false">VLOOKUP(MI13,Fechas!$N$4:$O$509,2,0)</f>
        <v/>
      </c>
      <c r="MJ16" s="55" t="str">
        <f aca="false">VLOOKUP(MJ13,Fechas!$N$4:$O$509,2,0)</f>
        <v/>
      </c>
      <c r="MK16" s="55" t="str">
        <f aca="false">VLOOKUP(MK13,Fechas!$N$4:$O$509,2,0)</f>
        <v/>
      </c>
      <c r="ML16" s="55" t="str">
        <f aca="false">VLOOKUP(ML13,Fechas!$N$4:$O$509,2,0)</f>
        <v/>
      </c>
      <c r="MM16" s="55" t="str">
        <f aca="false">VLOOKUP(MM13,Fechas!$N$4:$O$509,2,0)</f>
        <v/>
      </c>
      <c r="MN16" s="55" t="str">
        <f aca="false">VLOOKUP(MN13,Fechas!$N$4:$O$509,2,0)</f>
        <v/>
      </c>
      <c r="MO16" s="55" t="str">
        <f aca="false">VLOOKUP(MO13,Fechas!$N$4:$O$509,2,0)</f>
        <v/>
      </c>
      <c r="MP16" s="55" t="str">
        <f aca="false">VLOOKUP(MP13,Fechas!$N$4:$O$509,2,0)</f>
        <v/>
      </c>
      <c r="MQ16" s="55" t="str">
        <f aca="false">VLOOKUP(MQ13,Fechas!$N$4:$O$509,2,0)</f>
        <v/>
      </c>
      <c r="MR16" s="55" t="str">
        <f aca="false">VLOOKUP(MR13,Fechas!$N$4:$O$509,2,0)</f>
        <v/>
      </c>
      <c r="MS16" s="55" t="str">
        <f aca="false">VLOOKUP(MS13,Fechas!$N$4:$O$509,2,0)</f>
        <v/>
      </c>
      <c r="MT16" s="55" t="str">
        <f aca="false">VLOOKUP(MT13,Fechas!$N$4:$O$509,2,0)</f>
        <v/>
      </c>
      <c r="MU16" s="55" t="str">
        <f aca="false">VLOOKUP(MU13,Fechas!$N$4:$O$509,2,0)</f>
        <v/>
      </c>
      <c r="MV16" s="55" t="str">
        <f aca="false">VLOOKUP(MV13,Fechas!$N$4:$O$509,2,0)</f>
        <v/>
      </c>
      <c r="MW16" s="55" t="str">
        <f aca="false">VLOOKUP(MW13,Fechas!$N$4:$O$509,2,0)</f>
        <v/>
      </c>
      <c r="MX16" s="55" t="str">
        <f aca="false">VLOOKUP(MX13,Fechas!$N$4:$O$509,2,0)</f>
        <v/>
      </c>
      <c r="MY16" s="55" t="str">
        <f aca="false">VLOOKUP(MY13,Fechas!$N$4:$O$509,2,0)</f>
        <v/>
      </c>
      <c r="MZ16" s="55" t="str">
        <f aca="false">VLOOKUP(MZ13,Fechas!$N$4:$O$509,2,0)</f>
        <v/>
      </c>
      <c r="NA16" s="55" t="str">
        <f aca="false">VLOOKUP(NA13,Fechas!$N$4:$O$509,2,0)</f>
        <v/>
      </c>
      <c r="NB16" s="55" t="str">
        <f aca="false">VLOOKUP(NB13,Fechas!$N$4:$O$509,2,0)</f>
        <v/>
      </c>
      <c r="NC16" s="55" t="str">
        <f aca="false">VLOOKUP(NC13,Fechas!$N$4:$O$509,2,0)</f>
        <v/>
      </c>
      <c r="ND16" s="55" t="str">
        <f aca="false">VLOOKUP(ND13,Fechas!$N$4:$O$509,2,0)</f>
        <v/>
      </c>
      <c r="NE16" s="55" t="str">
        <f aca="false">VLOOKUP(NE13,Fechas!$N$4:$O$509,2,0)</f>
        <v/>
      </c>
      <c r="NF16" s="55" t="str">
        <f aca="false">VLOOKUP(NF13,Fechas!$N$4:$O$509,2,0)</f>
        <v/>
      </c>
      <c r="NG16" s="55" t="str">
        <f aca="false">VLOOKUP(NG13,Fechas!$N$4:$O$509,2,0)</f>
        <v/>
      </c>
      <c r="NH16" s="55" t="str">
        <f aca="false">VLOOKUP(NH13,Fechas!$N$4:$O$509,2,0)</f>
        <v/>
      </c>
      <c r="NI16" s="55" t="str">
        <f aca="false">VLOOKUP(NI13,Fechas!$N$4:$O$509,2,0)</f>
        <v/>
      </c>
      <c r="NJ16" s="55" t="str">
        <f aca="false">VLOOKUP(NJ13,Fechas!$N$4:$O$509,2,0)</f>
        <v/>
      </c>
      <c r="NK16" s="55" t="str">
        <f aca="false">VLOOKUP(NK13,Fechas!$N$4:$O$509,2,0)</f>
        <v/>
      </c>
      <c r="NL16" s="55" t="str">
        <f aca="false">VLOOKUP(NL13,Fechas!$N$4:$O$509,2,0)</f>
        <v/>
      </c>
      <c r="NM16" s="55" t="str">
        <f aca="false">VLOOKUP(NM13,Fechas!$N$4:$O$509,2,0)</f>
        <v/>
      </c>
      <c r="NN16" s="55" t="str">
        <f aca="false">VLOOKUP(NN13,Fechas!$N$4:$O$509,2,0)</f>
        <v/>
      </c>
      <c r="NO16" s="55" t="str">
        <f aca="false">VLOOKUP(NO13,Fechas!$N$4:$O$509,2,0)</f>
        <v/>
      </c>
      <c r="NP16" s="55" t="str">
        <f aca="false">VLOOKUP(NP13,Fechas!$N$4:$O$509,2,0)</f>
        <v/>
      </c>
      <c r="NQ16" s="55" t="str">
        <f aca="false">VLOOKUP(NQ13,Fechas!$N$4:$O$509,2,0)</f>
        <v/>
      </c>
      <c r="NR16" s="55" t="str">
        <f aca="false">VLOOKUP(NR13,Fechas!$N$4:$O$509,2,0)</f>
        <v/>
      </c>
      <c r="NS16" s="55" t="str">
        <f aca="false">VLOOKUP(NS13,Fechas!$N$4:$O$509,2,0)</f>
        <v/>
      </c>
      <c r="NT16" s="55" t="str">
        <f aca="false">VLOOKUP(NT13,Fechas!$N$4:$O$509,2,0)</f>
        <v/>
      </c>
      <c r="NU16" s="55" t="str">
        <f aca="false">VLOOKUP(NU13,Fechas!$N$4:$O$509,2,0)</f>
        <v/>
      </c>
      <c r="NV16" s="55" t="str">
        <f aca="false">VLOOKUP(NV13,Fechas!$N$4:$O$509,2,0)</f>
        <v/>
      </c>
      <c r="NW16" s="55" t="str">
        <f aca="false">VLOOKUP(NW13,Fechas!$N$4:$O$509,2,0)</f>
        <v/>
      </c>
      <c r="NX16" s="55" t="str">
        <f aca="false">VLOOKUP(NX13,Fechas!$N$4:$O$509,2,0)</f>
        <v/>
      </c>
      <c r="NY16" s="55" t="str">
        <f aca="false">VLOOKUP(NY13,Fechas!$N$4:$O$509,2,0)</f>
        <v/>
      </c>
      <c r="NZ16" s="55" t="str">
        <f aca="false">VLOOKUP(NZ13,Fechas!$N$4:$O$509,2,0)</f>
        <v/>
      </c>
      <c r="OA16" s="55" t="str">
        <f aca="false">VLOOKUP(OA13,Fechas!$N$4:$O$509,2,0)</f>
        <v/>
      </c>
      <c r="OB16" s="55" t="str">
        <f aca="false">VLOOKUP(OB13,Fechas!$N$4:$O$509,2,0)</f>
        <v/>
      </c>
      <c r="OC16" s="55" t="str">
        <f aca="false">VLOOKUP(OC13,Fechas!$N$4:$O$509,2,0)</f>
        <v/>
      </c>
      <c r="OD16" s="55" t="str">
        <f aca="false">VLOOKUP(OD13,Fechas!$N$4:$O$509,2,0)</f>
        <v/>
      </c>
      <c r="OE16" s="55" t="str">
        <f aca="false">VLOOKUP(OE13,Fechas!$N$4:$O$509,2,0)</f>
        <v/>
      </c>
      <c r="OF16" s="55" t="str">
        <f aca="false">VLOOKUP(OF13,Fechas!$N$4:$O$509,2,0)</f>
        <v/>
      </c>
      <c r="OG16" s="55" t="str">
        <f aca="false">VLOOKUP(OG13,Fechas!$N$4:$O$509,2,0)</f>
        <v/>
      </c>
      <c r="OH16" s="55" t="str">
        <f aca="false">VLOOKUP(OH13,Fechas!$N$4:$O$509,2,0)</f>
        <v/>
      </c>
      <c r="OI16" s="55" t="str">
        <f aca="false">VLOOKUP(OI13,Fechas!$N$4:$O$509,2,0)</f>
        <v/>
      </c>
      <c r="OJ16" s="55" t="str">
        <f aca="false">VLOOKUP(OJ13,Fechas!$N$4:$O$509,2,0)</f>
        <v/>
      </c>
      <c r="OK16" s="55" t="str">
        <f aca="false">VLOOKUP(OK13,Fechas!$N$4:$O$509,2,0)</f>
        <v/>
      </c>
      <c r="OL16" s="55" t="str">
        <f aca="false">VLOOKUP(OL13,Fechas!$N$4:$O$509,2,0)</f>
        <v/>
      </c>
      <c r="OM16" s="55" t="str">
        <f aca="false">VLOOKUP(OM13,Fechas!$N$4:$O$509,2,0)</f>
        <v/>
      </c>
      <c r="ON16" s="55" t="str">
        <f aca="false">VLOOKUP(ON13,Fechas!$N$4:$O$509,2,0)</f>
        <v/>
      </c>
      <c r="OO16" s="55" t="str">
        <f aca="false">VLOOKUP(OO13,Fechas!$N$4:$O$509,2,0)</f>
        <v/>
      </c>
      <c r="OP16" s="55" t="str">
        <f aca="false">VLOOKUP(OP13,Fechas!$N$4:$O$509,2,0)</f>
        <v/>
      </c>
      <c r="OQ16" s="55" t="str">
        <f aca="false">VLOOKUP(OQ13,Fechas!$N$4:$O$509,2,0)</f>
        <v/>
      </c>
      <c r="OR16" s="55" t="str">
        <f aca="false">VLOOKUP(OR13,Fechas!$N$4:$O$509,2,0)</f>
        <v/>
      </c>
      <c r="OS16" s="55" t="str">
        <f aca="false">VLOOKUP(OS13,Fechas!$N$4:$O$509,2,0)</f>
        <v/>
      </c>
      <c r="OT16" s="55" t="str">
        <f aca="false">VLOOKUP(OT13,Fechas!$N$4:$O$509,2,0)</f>
        <v/>
      </c>
      <c r="OU16" s="55" t="str">
        <f aca="false">VLOOKUP(OU13,Fechas!$N$4:$O$509,2,0)</f>
        <v/>
      </c>
      <c r="OV16" s="55" t="str">
        <f aca="false">VLOOKUP(OV13,Fechas!$N$4:$O$509,2,0)</f>
        <v/>
      </c>
      <c r="OW16" s="55" t="str">
        <f aca="false">VLOOKUP(OW13,Fechas!$N$4:$O$509,2,0)</f>
        <v/>
      </c>
      <c r="OX16" s="55" t="str">
        <f aca="false">VLOOKUP(OX13,Fechas!$N$4:$O$509,2,0)</f>
        <v/>
      </c>
      <c r="OY16" s="55" t="str">
        <f aca="false">VLOOKUP(OY13,Fechas!$N$4:$O$509,2,0)</f>
        <v/>
      </c>
      <c r="OZ16" s="55" t="str">
        <f aca="false">VLOOKUP(OZ13,Fechas!$N$4:$O$509,2,0)</f>
        <v/>
      </c>
      <c r="PA16" s="55" t="str">
        <f aca="false">VLOOKUP(PA13,Fechas!$N$4:$O$509,2,0)</f>
        <v/>
      </c>
      <c r="PB16" s="55" t="str">
        <f aca="false">VLOOKUP(PB13,Fechas!$N$4:$O$509,2,0)</f>
        <v/>
      </c>
      <c r="PC16" s="55" t="str">
        <f aca="false">VLOOKUP(PC13,Fechas!$N$4:$O$509,2,0)</f>
        <v/>
      </c>
      <c r="PD16" s="55" t="str">
        <f aca="false">VLOOKUP(PD13,Fechas!$N$4:$O$509,2,0)</f>
        <v/>
      </c>
      <c r="PE16" s="55" t="str">
        <f aca="false">VLOOKUP(PE13,Fechas!$N$4:$O$509,2,0)</f>
        <v/>
      </c>
      <c r="PF16" s="55" t="str">
        <f aca="false">VLOOKUP(PF13,Fechas!$N$4:$O$509,2,0)</f>
        <v/>
      </c>
      <c r="PG16" s="55" t="str">
        <f aca="false">VLOOKUP(PG13,Fechas!$N$4:$O$509,2,0)</f>
        <v/>
      </c>
      <c r="PH16" s="55" t="str">
        <f aca="false">VLOOKUP(PH13,Fechas!$N$4:$O$509,2,0)</f>
        <v/>
      </c>
      <c r="PI16" s="55" t="str">
        <f aca="false">VLOOKUP(PI13,Fechas!$N$4:$O$509,2,0)</f>
        <v/>
      </c>
      <c r="PJ16" s="55" t="str">
        <f aca="false">VLOOKUP(PJ13,Fechas!$N$4:$O$509,2,0)</f>
        <v/>
      </c>
      <c r="PK16" s="55" t="str">
        <f aca="false">VLOOKUP(PK13,Fechas!$N$4:$O$509,2,0)</f>
        <v/>
      </c>
      <c r="PL16" s="55" t="str">
        <f aca="false">VLOOKUP(PL13,Fechas!$N$4:$O$509,2,0)</f>
        <v/>
      </c>
      <c r="PM16" s="55" t="str">
        <f aca="false">VLOOKUP(PM13,Fechas!$N$4:$O$509,2,0)</f>
        <v/>
      </c>
      <c r="PN16" s="55" t="str">
        <f aca="false">VLOOKUP(PN13,Fechas!$N$4:$O$509,2,0)</f>
        <v/>
      </c>
      <c r="PO16" s="55" t="str">
        <f aca="false">VLOOKUP(PO13,Fechas!$N$4:$O$509,2,0)</f>
        <v/>
      </c>
      <c r="PP16" s="55" t="str">
        <f aca="false">VLOOKUP(PP13,Fechas!$N$4:$O$509,2,0)</f>
        <v/>
      </c>
      <c r="PQ16" s="55" t="str">
        <f aca="false">VLOOKUP(PQ13,Fechas!$N$4:$O$509,2,0)</f>
        <v/>
      </c>
      <c r="PR16" s="55" t="str">
        <f aca="false">VLOOKUP(PR13,Fechas!$N$4:$O$509,2,0)</f>
        <v/>
      </c>
      <c r="PS16" s="55" t="str">
        <f aca="false">VLOOKUP(PS13,Fechas!$N$4:$O$509,2,0)</f>
        <v/>
      </c>
      <c r="PT16" s="55" t="str">
        <f aca="false">VLOOKUP(PT13,Fechas!$N$4:$O$509,2,0)</f>
        <v/>
      </c>
      <c r="PU16" s="55" t="str">
        <f aca="false">VLOOKUP(PU13,Fechas!$N$4:$O$509,2,0)</f>
        <v/>
      </c>
      <c r="PV16" s="55" t="str">
        <f aca="false">VLOOKUP(PV13,Fechas!$N$4:$O$509,2,0)</f>
        <v/>
      </c>
      <c r="PW16" s="55" t="str">
        <f aca="false">VLOOKUP(PW13,Fechas!$N$4:$O$509,2,0)</f>
        <v/>
      </c>
      <c r="PX16" s="55" t="str">
        <f aca="false">VLOOKUP(PX13,Fechas!$N$4:$O$509,2,0)</f>
        <v/>
      </c>
      <c r="PY16" s="55" t="str">
        <f aca="false">VLOOKUP(PY13,Fechas!$N$4:$O$509,2,0)</f>
        <v/>
      </c>
      <c r="PZ16" s="55" t="str">
        <f aca="false">VLOOKUP(PZ13,Fechas!$N$4:$O$509,2,0)</f>
        <v/>
      </c>
      <c r="QA16" s="55" t="str">
        <f aca="false">VLOOKUP(QA13,Fechas!$N$4:$O$509,2,0)</f>
        <v/>
      </c>
      <c r="QB16" s="55" t="str">
        <f aca="false">VLOOKUP(QB13,Fechas!$N$4:$O$509,2,0)</f>
        <v/>
      </c>
      <c r="QC16" s="55" t="str">
        <f aca="false">VLOOKUP(QC13,Fechas!$N$4:$O$509,2,0)</f>
        <v/>
      </c>
      <c r="QD16" s="55" t="str">
        <f aca="false">VLOOKUP(QD13,Fechas!$N$4:$O$509,2,0)</f>
        <v/>
      </c>
      <c r="QE16" s="55" t="str">
        <f aca="false">VLOOKUP(QE13,Fechas!$N$4:$O$509,2,0)</f>
        <v/>
      </c>
      <c r="QF16" s="55" t="str">
        <f aca="false">VLOOKUP(QF13,Fechas!$N$4:$O$509,2,0)</f>
        <v/>
      </c>
      <c r="QG16" s="55" t="str">
        <f aca="false">VLOOKUP(QG13,Fechas!$N$4:$O$509,2,0)</f>
        <v/>
      </c>
      <c r="QH16" s="55" t="str">
        <f aca="false">VLOOKUP(QH13,Fechas!$N$4:$O$509,2,0)</f>
        <v/>
      </c>
      <c r="QI16" s="55" t="str">
        <f aca="false">VLOOKUP(QI13,Fechas!$N$4:$O$509,2,0)</f>
        <v/>
      </c>
      <c r="QJ16" s="55" t="str">
        <f aca="false">VLOOKUP(QJ13,Fechas!$N$4:$O$509,2,0)</f>
        <v/>
      </c>
      <c r="QK16" s="55" t="str">
        <f aca="false">VLOOKUP(QK13,Fechas!$N$4:$O$509,2,0)</f>
        <v/>
      </c>
      <c r="QL16" s="55" t="str">
        <f aca="false">VLOOKUP(QL13,Fechas!$N$4:$O$509,2,0)</f>
        <v/>
      </c>
      <c r="QM16" s="55" t="str">
        <f aca="false">VLOOKUP(QM13,Fechas!$N$4:$O$509,2,0)</f>
        <v/>
      </c>
      <c r="QN16" s="55" t="str">
        <f aca="false">VLOOKUP(QN13,Fechas!$N$4:$O$509,2,0)</f>
        <v/>
      </c>
      <c r="QO16" s="55" t="str">
        <f aca="false">VLOOKUP(QO13,Fechas!$N$4:$O$509,2,0)</f>
        <v/>
      </c>
      <c r="QP16" s="55" t="str">
        <f aca="false">VLOOKUP(QP13,Fechas!$N$4:$O$509,2,0)</f>
        <v/>
      </c>
      <c r="QQ16" s="55" t="str">
        <f aca="false">VLOOKUP(QQ13,Fechas!$N$4:$O$509,2,0)</f>
        <v/>
      </c>
      <c r="QR16" s="55" t="str">
        <f aca="false">VLOOKUP(QR13,Fechas!$N$4:$O$509,2,0)</f>
        <v/>
      </c>
      <c r="QS16" s="55" t="str">
        <f aca="false">VLOOKUP(QS13,Fechas!$N$4:$O$509,2,0)</f>
        <v/>
      </c>
      <c r="QT16" s="55" t="str">
        <f aca="false">VLOOKUP(QT13,Fechas!$N$4:$O$509,2,0)</f>
        <v/>
      </c>
      <c r="QU16" s="55" t="str">
        <f aca="false">VLOOKUP(QU13,Fechas!$N$4:$O$509,2,0)</f>
        <v/>
      </c>
      <c r="QV16" s="55" t="str">
        <f aca="false">VLOOKUP(QV13,Fechas!$N$4:$O$509,2,0)</f>
        <v/>
      </c>
      <c r="QW16" s="55" t="str">
        <f aca="false">VLOOKUP(QW13,Fechas!$N$4:$O$509,2,0)</f>
        <v/>
      </c>
      <c r="QX16" s="55" t="str">
        <f aca="false">VLOOKUP(QX13,Fechas!$N$4:$O$509,2,0)</f>
        <v/>
      </c>
      <c r="QY16" s="55" t="str">
        <f aca="false">VLOOKUP(QY13,Fechas!$N$4:$O$509,2,0)</f>
        <v/>
      </c>
      <c r="QZ16" s="55" t="str">
        <f aca="false">VLOOKUP(QZ13,Fechas!$N$4:$O$509,2,0)</f>
        <v/>
      </c>
      <c r="RA16" s="55" t="str">
        <f aca="false">VLOOKUP(RA13,Fechas!$N$4:$O$509,2,0)</f>
        <v/>
      </c>
      <c r="RB16" s="55" t="str">
        <f aca="false">VLOOKUP(RB13,Fechas!$N$4:$O$509,2,0)</f>
        <v/>
      </c>
      <c r="RC16" s="55" t="str">
        <f aca="false">VLOOKUP(RC13,Fechas!$N$4:$O$509,2,0)</f>
        <v/>
      </c>
      <c r="RD16" s="55" t="str">
        <f aca="false">VLOOKUP(RD13,Fechas!$N$4:$O$509,2,0)</f>
        <v/>
      </c>
      <c r="RE16" s="55" t="str">
        <f aca="false">VLOOKUP(RE13,Fechas!$N$4:$O$509,2,0)</f>
        <v/>
      </c>
      <c r="RF16" s="55" t="str">
        <f aca="false">VLOOKUP(RF13,Fechas!$N$4:$O$509,2,0)</f>
        <v/>
      </c>
      <c r="RG16" s="55" t="str">
        <f aca="false">VLOOKUP(RG13,Fechas!$N$4:$O$509,2,0)</f>
        <v/>
      </c>
      <c r="RH16" s="55" t="str">
        <f aca="false">VLOOKUP(RH13,Fechas!$N$4:$O$509,2,0)</f>
        <v/>
      </c>
      <c r="RI16" s="55" t="str">
        <f aca="false">VLOOKUP(RI13,Fechas!$N$4:$O$509,2,0)</f>
        <v/>
      </c>
      <c r="RJ16" s="55" t="str">
        <f aca="false">VLOOKUP(RJ13,Fechas!$N$4:$O$509,2,0)</f>
        <v/>
      </c>
      <c r="RK16" s="55" t="str">
        <f aca="false">VLOOKUP(RK13,Fechas!$N$4:$O$509,2,0)</f>
        <v/>
      </c>
      <c r="RL16" s="55" t="str">
        <f aca="false">VLOOKUP(RL13,Fechas!$N$4:$O$509,2,0)</f>
        <v/>
      </c>
      <c r="RM16" s="55" t="str">
        <f aca="false">VLOOKUP(RM13,Fechas!$N$4:$O$509,2,0)</f>
        <v/>
      </c>
      <c r="RN16" s="55" t="str">
        <f aca="false">VLOOKUP(RN13,Fechas!$N$4:$O$509,2,0)</f>
        <v/>
      </c>
      <c r="RO16" s="55" t="str">
        <f aca="false">VLOOKUP(RO13,Fechas!$N$4:$O$509,2,0)</f>
        <v/>
      </c>
      <c r="RP16" s="55" t="str">
        <f aca="false">VLOOKUP(RP13,Fechas!$N$4:$O$509,2,0)</f>
        <v/>
      </c>
      <c r="RQ16" s="55" t="str">
        <f aca="false">VLOOKUP(RQ13,Fechas!$N$4:$O$509,2,0)</f>
        <v/>
      </c>
      <c r="RR16" s="55" t="str">
        <f aca="false">VLOOKUP(RR13,Fechas!$N$4:$O$509,2,0)</f>
        <v/>
      </c>
      <c r="RS16" s="55" t="str">
        <f aca="false">VLOOKUP(RS13,Fechas!$N$4:$O$509,2,0)</f>
        <v/>
      </c>
      <c r="RT16" s="55" t="str">
        <f aca="false">VLOOKUP(RT13,Fechas!$N$4:$O$509,2,0)</f>
        <v/>
      </c>
      <c r="RU16" s="55" t="str">
        <f aca="false">VLOOKUP(RU13,Fechas!$N$4:$O$509,2,0)</f>
        <v/>
      </c>
      <c r="RV16" s="55" t="str">
        <f aca="false">VLOOKUP(RV13,Fechas!$N$4:$O$509,2,0)</f>
        <v/>
      </c>
      <c r="RW16" s="55" t="str">
        <f aca="false">VLOOKUP(RW13,Fechas!$N$4:$O$509,2,0)</f>
        <v/>
      </c>
      <c r="RX16" s="55" t="str">
        <f aca="false">VLOOKUP(RX13,Fechas!$N$4:$O$509,2,0)</f>
        <v/>
      </c>
      <c r="RY16" s="55" t="str">
        <f aca="false">VLOOKUP(RY13,Fechas!$N$4:$O$509,2,0)</f>
        <v/>
      </c>
      <c r="RZ16" s="55" t="str">
        <f aca="false">VLOOKUP(RZ13,Fechas!$N$4:$O$509,2,0)</f>
        <v/>
      </c>
      <c r="SA16" s="55" t="str">
        <f aca="false">VLOOKUP(SA13,Fechas!$N$4:$O$509,2,0)</f>
        <v/>
      </c>
      <c r="SB16" s="55" t="str">
        <f aca="false">VLOOKUP(SB13,Fechas!$N$4:$O$509,2,0)</f>
        <v/>
      </c>
      <c r="SC16" s="55" t="str">
        <f aca="false">VLOOKUP(SC13,Fechas!$N$4:$O$509,2,0)</f>
        <v/>
      </c>
      <c r="SD16" s="55" t="str">
        <f aca="false">VLOOKUP(SD13,Fechas!$N$4:$O$509,2,0)</f>
        <v/>
      </c>
      <c r="SE16" s="55" t="str">
        <f aca="false">VLOOKUP(SE13,Fechas!$N$4:$O$509,2,0)</f>
        <v/>
      </c>
      <c r="SF16" s="55" t="str">
        <f aca="false">VLOOKUP(SF13,Fechas!$N$4:$O$509,2,0)</f>
        <v/>
      </c>
      <c r="SG16" s="55" t="str">
        <f aca="false">VLOOKUP(SG13,Fechas!$N$4:$O$509,2,0)</f>
        <v/>
      </c>
      <c r="SH16" s="55" t="str">
        <f aca="false">VLOOKUP(SH13,Fechas!$N$4:$O$509,2,0)</f>
        <v/>
      </c>
      <c r="SI16" s="55" t="str">
        <f aca="false">VLOOKUP(SI13,Fechas!$N$4:$O$509,2,0)</f>
        <v/>
      </c>
      <c r="SJ16" s="55" t="str">
        <f aca="false">VLOOKUP(SJ13,Fechas!$N$4:$O$509,2,0)</f>
        <v/>
      </c>
      <c r="SK16" s="55" t="str">
        <f aca="false">VLOOKUP(SK13,Fechas!$N$4:$O$509,2,0)</f>
        <v/>
      </c>
      <c r="SL16" s="55" t="str">
        <f aca="false">VLOOKUP(SL13,Fechas!$N$4:$O$509,2,0)</f>
        <v/>
      </c>
      <c r="SM16" s="55" t="str">
        <f aca="false">VLOOKUP(SM13,Fechas!$N$4:$O$509,2,0)</f>
        <v/>
      </c>
      <c r="SN16" s="55" t="str">
        <f aca="false">VLOOKUP(SN13,Fechas!$N$4:$O$509,2,0)</f>
        <v/>
      </c>
      <c r="SO16" s="55" t="str">
        <f aca="false">VLOOKUP(SO13,Fechas!$N$4:$O$509,2,0)</f>
        <v/>
      </c>
      <c r="SP16" s="55" t="str">
        <f aca="false">VLOOKUP(SP13,Fechas!$N$4:$O$509,2,0)</f>
        <v/>
      </c>
      <c r="SQ16" s="55" t="str">
        <f aca="false">VLOOKUP(SQ13,Fechas!$N$4:$O$509,2,0)</f>
        <v/>
      </c>
      <c r="SR16" s="55" t="str">
        <f aca="false">VLOOKUP(SR13,Fechas!$N$4:$O$509,2,0)</f>
        <v/>
      </c>
      <c r="SS16" s="55" t="str">
        <f aca="false">VLOOKUP(SS13,Fechas!$N$4:$O$509,2,0)</f>
        <v/>
      </c>
      <c r="ST16" s="55" t="str">
        <f aca="false">VLOOKUP(ST13,Fechas!$N$4:$O$509,2,0)</f>
        <v/>
      </c>
      <c r="SU16" s="55" t="str">
        <f aca="false">VLOOKUP(SU13,Fechas!$N$4:$O$509,2,0)</f>
        <v/>
      </c>
      <c r="SV16" s="55" t="str">
        <f aca="false">VLOOKUP(SV13,Fechas!$N$4:$O$509,2,0)</f>
        <v/>
      </c>
      <c r="SW16" s="56" t="str">
        <f aca="false">VLOOKUP(SW13,Fechas!$N$4:$O$509,2,0)</f>
        <v/>
      </c>
    </row>
    <row r="17" customFormat="false" ht="14.25" hidden="true" customHeight="false" outlineLevel="0" collapsed="false">
      <c r="C17" s="10"/>
      <c r="D17" s="57"/>
      <c r="E17" s="58"/>
      <c r="F17" s="58"/>
      <c r="G17" s="58"/>
      <c r="H17" s="58"/>
      <c r="I17" s="58"/>
      <c r="J17" s="58"/>
      <c r="K17" s="58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  <c r="CC17" s="59"/>
      <c r="CD17" s="59"/>
      <c r="CE17" s="59"/>
      <c r="CF17" s="59"/>
      <c r="CG17" s="59"/>
      <c r="CH17" s="59"/>
      <c r="CI17" s="59"/>
      <c r="CJ17" s="59"/>
      <c r="CK17" s="59"/>
      <c r="CL17" s="59"/>
      <c r="CM17" s="59"/>
      <c r="CN17" s="59"/>
      <c r="CO17" s="59"/>
      <c r="CP17" s="59"/>
      <c r="CQ17" s="59"/>
      <c r="CR17" s="59"/>
      <c r="CS17" s="59"/>
      <c r="CT17" s="59"/>
      <c r="CU17" s="59"/>
      <c r="CV17" s="59"/>
      <c r="CW17" s="59"/>
      <c r="CX17" s="59"/>
      <c r="CY17" s="59"/>
      <c r="CZ17" s="59"/>
      <c r="DA17" s="59"/>
      <c r="DB17" s="59"/>
      <c r="DC17" s="59"/>
      <c r="DD17" s="59"/>
      <c r="DE17" s="59"/>
      <c r="DF17" s="59"/>
      <c r="DG17" s="59"/>
      <c r="DH17" s="59"/>
      <c r="DI17" s="59"/>
      <c r="DJ17" s="59"/>
      <c r="DK17" s="59"/>
      <c r="DL17" s="59"/>
      <c r="DM17" s="59"/>
      <c r="DN17" s="59"/>
      <c r="DO17" s="59"/>
      <c r="DP17" s="59"/>
      <c r="DQ17" s="59"/>
      <c r="DR17" s="59"/>
      <c r="DS17" s="59"/>
      <c r="DT17" s="59"/>
      <c r="DU17" s="59"/>
      <c r="DV17" s="59"/>
      <c r="DW17" s="59"/>
      <c r="DX17" s="59"/>
      <c r="DY17" s="59"/>
      <c r="DZ17" s="59"/>
      <c r="EA17" s="59"/>
      <c r="EB17" s="59"/>
      <c r="EC17" s="59"/>
      <c r="ED17" s="59"/>
      <c r="EE17" s="59"/>
      <c r="EF17" s="59"/>
      <c r="EG17" s="59"/>
      <c r="EH17" s="59"/>
      <c r="EI17" s="59"/>
      <c r="EJ17" s="59"/>
      <c r="EK17" s="59"/>
      <c r="EL17" s="59"/>
      <c r="EM17" s="59"/>
      <c r="EN17" s="59"/>
      <c r="EO17" s="59"/>
      <c r="EP17" s="59"/>
      <c r="EQ17" s="59"/>
      <c r="ER17" s="59"/>
      <c r="ES17" s="59"/>
      <c r="ET17" s="59"/>
      <c r="EU17" s="59"/>
      <c r="EV17" s="59"/>
      <c r="EW17" s="59"/>
      <c r="EX17" s="59"/>
      <c r="EY17" s="59"/>
      <c r="EZ17" s="59"/>
      <c r="FA17" s="59"/>
      <c r="FB17" s="59"/>
      <c r="FC17" s="59"/>
      <c r="FD17" s="59"/>
      <c r="FE17" s="59"/>
      <c r="FF17" s="59"/>
      <c r="FG17" s="59"/>
      <c r="FH17" s="59"/>
      <c r="FI17" s="59"/>
      <c r="FJ17" s="59"/>
      <c r="FK17" s="59"/>
      <c r="FL17" s="59"/>
      <c r="FM17" s="59"/>
      <c r="FN17" s="59"/>
      <c r="FO17" s="59"/>
      <c r="FP17" s="59"/>
      <c r="FQ17" s="59"/>
      <c r="FR17" s="59"/>
      <c r="FS17" s="59"/>
      <c r="FT17" s="59"/>
      <c r="FU17" s="59"/>
      <c r="FV17" s="59"/>
      <c r="FW17" s="59"/>
      <c r="FX17" s="59"/>
      <c r="FY17" s="59"/>
      <c r="FZ17" s="59"/>
      <c r="GA17" s="59"/>
      <c r="GB17" s="59"/>
      <c r="GC17" s="59"/>
      <c r="GD17" s="59"/>
      <c r="GE17" s="59"/>
      <c r="GF17" s="59"/>
      <c r="GG17" s="59"/>
      <c r="GH17" s="59"/>
      <c r="GI17" s="59"/>
      <c r="GJ17" s="59"/>
      <c r="GK17" s="59"/>
      <c r="GL17" s="59"/>
      <c r="GM17" s="59"/>
      <c r="GN17" s="59"/>
      <c r="GO17" s="59"/>
      <c r="GP17" s="59"/>
      <c r="GQ17" s="59"/>
      <c r="GR17" s="59"/>
      <c r="GS17" s="59"/>
      <c r="GT17" s="59"/>
      <c r="GU17" s="59"/>
      <c r="GV17" s="59"/>
      <c r="GW17" s="59"/>
      <c r="GX17" s="59"/>
      <c r="GY17" s="59"/>
      <c r="GZ17" s="59"/>
      <c r="HA17" s="59"/>
      <c r="HB17" s="59"/>
      <c r="HC17" s="59"/>
      <c r="HD17" s="59"/>
      <c r="HE17" s="59"/>
      <c r="HF17" s="59"/>
      <c r="HG17" s="59"/>
      <c r="HH17" s="59"/>
      <c r="HI17" s="59"/>
      <c r="HJ17" s="59"/>
      <c r="HK17" s="59"/>
      <c r="HL17" s="59"/>
      <c r="HM17" s="59"/>
      <c r="HN17" s="59"/>
      <c r="HO17" s="59"/>
      <c r="HP17" s="59"/>
      <c r="HQ17" s="59"/>
      <c r="HR17" s="59"/>
      <c r="HS17" s="59"/>
      <c r="HT17" s="59"/>
      <c r="HU17" s="59"/>
      <c r="HV17" s="59"/>
      <c r="HW17" s="59"/>
      <c r="HX17" s="59"/>
      <c r="HY17" s="59"/>
      <c r="HZ17" s="59"/>
      <c r="IA17" s="59"/>
      <c r="IB17" s="59"/>
      <c r="IC17" s="59"/>
      <c r="ID17" s="59"/>
      <c r="IE17" s="59"/>
      <c r="IF17" s="59"/>
      <c r="IG17" s="59"/>
      <c r="IH17" s="59"/>
      <c r="II17" s="59"/>
      <c r="IJ17" s="59"/>
      <c r="IK17" s="59"/>
      <c r="IL17" s="59"/>
      <c r="IM17" s="59"/>
      <c r="IN17" s="59"/>
      <c r="IO17" s="59"/>
      <c r="IP17" s="59"/>
      <c r="IQ17" s="59"/>
      <c r="IR17" s="59"/>
      <c r="IS17" s="59"/>
      <c r="IT17" s="59"/>
      <c r="IU17" s="59"/>
      <c r="IV17" s="59"/>
      <c r="IW17" s="59"/>
      <c r="IX17" s="59"/>
      <c r="IY17" s="59"/>
      <c r="IZ17" s="59"/>
      <c r="JA17" s="59"/>
      <c r="JB17" s="59"/>
      <c r="JC17" s="59"/>
      <c r="JD17" s="59"/>
      <c r="JE17" s="59"/>
      <c r="JF17" s="59"/>
      <c r="JG17" s="59"/>
      <c r="JH17" s="59"/>
      <c r="JI17" s="59"/>
      <c r="JJ17" s="59"/>
      <c r="JK17" s="59"/>
      <c r="JL17" s="59"/>
      <c r="JM17" s="59"/>
      <c r="JN17" s="59"/>
      <c r="JO17" s="59"/>
      <c r="JP17" s="59"/>
      <c r="JQ17" s="59"/>
      <c r="JR17" s="59"/>
      <c r="JS17" s="59"/>
      <c r="JT17" s="59"/>
      <c r="JU17" s="59"/>
      <c r="JV17" s="59"/>
      <c r="JW17" s="59"/>
      <c r="JX17" s="59"/>
      <c r="JY17" s="59"/>
      <c r="JZ17" s="59"/>
      <c r="KA17" s="59"/>
      <c r="KB17" s="59"/>
      <c r="KC17" s="59"/>
      <c r="KD17" s="59"/>
      <c r="KE17" s="59"/>
      <c r="KF17" s="59"/>
      <c r="KG17" s="59"/>
      <c r="KH17" s="59"/>
      <c r="KI17" s="59"/>
      <c r="KJ17" s="59"/>
      <c r="KK17" s="59"/>
      <c r="KL17" s="59"/>
      <c r="KM17" s="59"/>
      <c r="KN17" s="59"/>
      <c r="KO17" s="59"/>
      <c r="KP17" s="59"/>
      <c r="KQ17" s="59"/>
      <c r="KR17" s="59"/>
      <c r="KS17" s="59"/>
      <c r="KT17" s="59"/>
      <c r="KU17" s="59"/>
      <c r="KV17" s="59"/>
      <c r="KW17" s="59"/>
      <c r="KX17" s="59"/>
      <c r="KY17" s="59"/>
      <c r="KZ17" s="59"/>
      <c r="LA17" s="59"/>
      <c r="LB17" s="59"/>
      <c r="LC17" s="59"/>
      <c r="LD17" s="59"/>
      <c r="LE17" s="59"/>
      <c r="LF17" s="59"/>
      <c r="LG17" s="59"/>
      <c r="LH17" s="59"/>
      <c r="LI17" s="59"/>
      <c r="LJ17" s="59"/>
      <c r="LK17" s="59"/>
      <c r="LL17" s="59"/>
      <c r="LM17" s="59"/>
      <c r="LN17" s="59"/>
      <c r="LO17" s="59"/>
      <c r="LP17" s="59"/>
      <c r="LQ17" s="59"/>
      <c r="LR17" s="59"/>
      <c r="LS17" s="59"/>
      <c r="LT17" s="59"/>
      <c r="LU17" s="59"/>
      <c r="LV17" s="59"/>
      <c r="LW17" s="59"/>
      <c r="LX17" s="59"/>
      <c r="LY17" s="59"/>
      <c r="LZ17" s="59"/>
      <c r="MA17" s="59"/>
      <c r="MB17" s="59"/>
      <c r="MC17" s="59"/>
      <c r="MD17" s="59"/>
      <c r="ME17" s="59"/>
      <c r="MF17" s="59"/>
      <c r="MG17" s="59"/>
      <c r="MH17" s="59"/>
      <c r="MI17" s="59"/>
      <c r="MJ17" s="59"/>
      <c r="MK17" s="59"/>
      <c r="ML17" s="59"/>
      <c r="MM17" s="59"/>
      <c r="MN17" s="59"/>
      <c r="MO17" s="59"/>
      <c r="MP17" s="59"/>
      <c r="MQ17" s="59"/>
      <c r="MR17" s="59"/>
      <c r="MS17" s="59"/>
      <c r="MT17" s="59"/>
      <c r="MU17" s="59"/>
      <c r="MV17" s="59"/>
      <c r="MW17" s="59"/>
      <c r="MX17" s="59"/>
      <c r="MY17" s="59"/>
      <c r="MZ17" s="59"/>
      <c r="NA17" s="59"/>
      <c r="NB17" s="59"/>
      <c r="NC17" s="59"/>
      <c r="ND17" s="59"/>
      <c r="NE17" s="59"/>
      <c r="NF17" s="59"/>
      <c r="NG17" s="59"/>
      <c r="NH17" s="59"/>
      <c r="NI17" s="59"/>
      <c r="NJ17" s="59"/>
      <c r="NK17" s="59"/>
      <c r="NL17" s="59"/>
      <c r="NM17" s="59"/>
      <c r="NN17" s="59"/>
      <c r="NO17" s="59"/>
      <c r="NP17" s="59"/>
      <c r="NQ17" s="59"/>
      <c r="NR17" s="59"/>
      <c r="NS17" s="59"/>
      <c r="NT17" s="59"/>
      <c r="NU17" s="59"/>
      <c r="NV17" s="59"/>
      <c r="NW17" s="59"/>
      <c r="NX17" s="59"/>
      <c r="NY17" s="59"/>
      <c r="NZ17" s="59"/>
      <c r="OA17" s="59"/>
      <c r="OB17" s="59"/>
      <c r="OC17" s="59"/>
      <c r="OD17" s="59"/>
      <c r="OE17" s="59"/>
      <c r="OF17" s="59"/>
      <c r="OG17" s="59"/>
      <c r="OH17" s="59"/>
      <c r="OI17" s="59"/>
      <c r="OJ17" s="59"/>
      <c r="OK17" s="59"/>
      <c r="OL17" s="59"/>
      <c r="OM17" s="59"/>
      <c r="ON17" s="59"/>
      <c r="OO17" s="59"/>
      <c r="OP17" s="59"/>
      <c r="OQ17" s="59"/>
      <c r="OR17" s="59"/>
      <c r="OS17" s="59"/>
      <c r="OT17" s="59"/>
      <c r="OU17" s="59"/>
      <c r="OV17" s="59"/>
      <c r="OW17" s="59"/>
      <c r="OX17" s="59"/>
      <c r="OY17" s="59"/>
      <c r="OZ17" s="59"/>
      <c r="PA17" s="59"/>
      <c r="PB17" s="59"/>
      <c r="PC17" s="59"/>
      <c r="PD17" s="59"/>
      <c r="PE17" s="59"/>
      <c r="PF17" s="59"/>
      <c r="PG17" s="59"/>
      <c r="PH17" s="59"/>
      <c r="PI17" s="59"/>
      <c r="PJ17" s="59"/>
      <c r="PK17" s="59"/>
      <c r="PL17" s="59"/>
      <c r="PM17" s="59"/>
      <c r="PN17" s="59"/>
      <c r="PO17" s="59"/>
      <c r="PP17" s="59"/>
      <c r="PQ17" s="59"/>
      <c r="PR17" s="59"/>
      <c r="PS17" s="59"/>
      <c r="PT17" s="59"/>
      <c r="PU17" s="59"/>
      <c r="PV17" s="59"/>
      <c r="PW17" s="59"/>
      <c r="PX17" s="59"/>
      <c r="PY17" s="59"/>
      <c r="PZ17" s="59"/>
      <c r="QA17" s="59"/>
      <c r="QB17" s="59"/>
      <c r="QC17" s="59"/>
      <c r="QD17" s="59"/>
      <c r="QE17" s="59"/>
      <c r="QF17" s="59"/>
      <c r="QG17" s="59"/>
      <c r="QH17" s="59"/>
      <c r="QI17" s="59"/>
      <c r="QJ17" s="59"/>
      <c r="QK17" s="59"/>
      <c r="QL17" s="59"/>
      <c r="QM17" s="59"/>
      <c r="QN17" s="59"/>
      <c r="QO17" s="59"/>
      <c r="QP17" s="59"/>
      <c r="QQ17" s="59"/>
      <c r="QR17" s="59"/>
      <c r="QS17" s="59"/>
      <c r="QT17" s="59"/>
      <c r="QU17" s="59"/>
      <c r="QV17" s="59"/>
      <c r="QW17" s="59"/>
      <c r="QX17" s="59"/>
      <c r="QY17" s="59"/>
      <c r="QZ17" s="59"/>
      <c r="RA17" s="59"/>
      <c r="RB17" s="59"/>
      <c r="RC17" s="59"/>
      <c r="RD17" s="59"/>
      <c r="RE17" s="59"/>
      <c r="RF17" s="59"/>
      <c r="RG17" s="59"/>
      <c r="RH17" s="59"/>
      <c r="RI17" s="59"/>
      <c r="RJ17" s="59"/>
      <c r="RK17" s="59"/>
      <c r="RL17" s="59"/>
      <c r="RM17" s="59"/>
      <c r="RN17" s="59"/>
      <c r="RO17" s="59"/>
      <c r="RP17" s="59"/>
      <c r="RQ17" s="59"/>
      <c r="RR17" s="59"/>
      <c r="RS17" s="59"/>
      <c r="RT17" s="59"/>
      <c r="RU17" s="59"/>
      <c r="RV17" s="59"/>
      <c r="RW17" s="59"/>
      <c r="RX17" s="59"/>
      <c r="RY17" s="59"/>
      <c r="RZ17" s="59"/>
      <c r="SA17" s="59"/>
      <c r="SB17" s="59"/>
      <c r="SC17" s="59"/>
      <c r="SD17" s="59"/>
      <c r="SE17" s="59"/>
      <c r="SF17" s="59"/>
      <c r="SG17" s="59"/>
      <c r="SH17" s="59"/>
      <c r="SI17" s="59"/>
      <c r="SJ17" s="59"/>
      <c r="SK17" s="59"/>
      <c r="SL17" s="59"/>
      <c r="SM17" s="59"/>
      <c r="SN17" s="59"/>
      <c r="SO17" s="59"/>
      <c r="SP17" s="59"/>
      <c r="SQ17" s="59"/>
      <c r="SR17" s="59"/>
      <c r="SS17" s="59"/>
      <c r="ST17" s="59"/>
      <c r="SU17" s="59"/>
      <c r="SV17" s="59"/>
      <c r="SW17" s="60"/>
    </row>
    <row r="18" customFormat="false" ht="15.75" hidden="false" customHeight="true" outlineLevel="0" collapsed="false">
      <c r="C18" s="10"/>
      <c r="D18" s="61" t="s">
        <v>13</v>
      </c>
      <c r="E18" s="62"/>
      <c r="F18" s="63"/>
      <c r="G18" s="63"/>
      <c r="H18" s="63"/>
      <c r="I18" s="64"/>
      <c r="J18" s="64"/>
      <c r="K18" s="64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  <c r="CI18" s="65"/>
      <c r="CJ18" s="65"/>
      <c r="CK18" s="65"/>
      <c r="CL18" s="65"/>
      <c r="CM18" s="65"/>
      <c r="CN18" s="65"/>
      <c r="CO18" s="65"/>
      <c r="CP18" s="65"/>
      <c r="CQ18" s="65"/>
      <c r="CR18" s="65"/>
      <c r="CS18" s="65"/>
      <c r="CT18" s="65"/>
      <c r="CU18" s="65"/>
      <c r="CV18" s="65"/>
      <c r="CW18" s="65"/>
      <c r="CX18" s="65"/>
      <c r="CY18" s="65"/>
      <c r="CZ18" s="65"/>
      <c r="DA18" s="65"/>
      <c r="DB18" s="65"/>
      <c r="DC18" s="65"/>
      <c r="DD18" s="65"/>
      <c r="DE18" s="65"/>
      <c r="DF18" s="65"/>
      <c r="DG18" s="65"/>
      <c r="DH18" s="65"/>
      <c r="DI18" s="65"/>
      <c r="DJ18" s="65"/>
      <c r="DK18" s="65"/>
      <c r="DL18" s="65"/>
      <c r="DM18" s="65"/>
      <c r="DN18" s="65"/>
      <c r="DO18" s="65"/>
      <c r="DP18" s="65"/>
      <c r="DQ18" s="65"/>
      <c r="DR18" s="65"/>
      <c r="DS18" s="65"/>
      <c r="DT18" s="65"/>
      <c r="DU18" s="65"/>
      <c r="DV18" s="65"/>
      <c r="DW18" s="65"/>
      <c r="DX18" s="65"/>
      <c r="DY18" s="65"/>
      <c r="DZ18" s="65"/>
      <c r="EA18" s="65"/>
      <c r="EB18" s="65"/>
      <c r="EC18" s="65"/>
      <c r="ED18" s="65"/>
      <c r="EE18" s="65"/>
      <c r="EF18" s="65"/>
      <c r="EG18" s="65"/>
      <c r="EH18" s="65"/>
      <c r="EI18" s="65"/>
      <c r="EJ18" s="65"/>
      <c r="EK18" s="65"/>
      <c r="EL18" s="65"/>
      <c r="EM18" s="65"/>
      <c r="EN18" s="65"/>
      <c r="EO18" s="65"/>
      <c r="EP18" s="65"/>
      <c r="EQ18" s="65"/>
      <c r="ER18" s="65"/>
      <c r="ES18" s="65"/>
      <c r="ET18" s="65"/>
      <c r="EU18" s="65"/>
      <c r="EV18" s="65"/>
      <c r="EW18" s="65"/>
      <c r="EX18" s="65"/>
      <c r="EY18" s="65"/>
      <c r="EZ18" s="65"/>
      <c r="FA18" s="65"/>
      <c r="FB18" s="65"/>
      <c r="FC18" s="65"/>
      <c r="FD18" s="65"/>
      <c r="FE18" s="65"/>
      <c r="FF18" s="65"/>
      <c r="FG18" s="65"/>
      <c r="FH18" s="65"/>
      <c r="FI18" s="65"/>
      <c r="FJ18" s="65"/>
      <c r="FK18" s="65"/>
      <c r="FL18" s="65"/>
      <c r="FM18" s="65"/>
      <c r="FN18" s="65"/>
      <c r="FO18" s="65"/>
      <c r="FP18" s="65"/>
      <c r="FQ18" s="65"/>
      <c r="FR18" s="65"/>
      <c r="FS18" s="65"/>
      <c r="FT18" s="65"/>
      <c r="FU18" s="65"/>
      <c r="FV18" s="65"/>
      <c r="FW18" s="65"/>
      <c r="FX18" s="65"/>
      <c r="FY18" s="65"/>
      <c r="FZ18" s="65"/>
      <c r="GA18" s="65"/>
      <c r="GB18" s="65"/>
      <c r="GC18" s="65"/>
      <c r="GD18" s="65"/>
      <c r="GE18" s="65"/>
      <c r="GF18" s="65"/>
      <c r="GG18" s="65"/>
      <c r="GH18" s="65"/>
      <c r="GI18" s="65"/>
      <c r="GJ18" s="65"/>
      <c r="GK18" s="65"/>
      <c r="GL18" s="65"/>
      <c r="GM18" s="65"/>
      <c r="GN18" s="65"/>
      <c r="GO18" s="65"/>
      <c r="GP18" s="65"/>
      <c r="GQ18" s="65"/>
      <c r="GR18" s="65"/>
      <c r="GS18" s="65"/>
      <c r="GT18" s="65"/>
      <c r="GU18" s="65"/>
      <c r="GV18" s="65"/>
      <c r="GW18" s="65"/>
      <c r="GX18" s="65"/>
      <c r="GY18" s="65"/>
      <c r="GZ18" s="65"/>
      <c r="HA18" s="65"/>
      <c r="HB18" s="65"/>
      <c r="HC18" s="65"/>
      <c r="HD18" s="65"/>
      <c r="HE18" s="65"/>
      <c r="HF18" s="65"/>
      <c r="HG18" s="65"/>
      <c r="HH18" s="65"/>
      <c r="HI18" s="65"/>
      <c r="HJ18" s="65"/>
      <c r="HK18" s="65"/>
      <c r="HL18" s="65"/>
      <c r="HM18" s="65"/>
      <c r="HN18" s="65"/>
      <c r="HO18" s="65"/>
      <c r="HP18" s="65"/>
      <c r="HQ18" s="65"/>
      <c r="HR18" s="65"/>
      <c r="HS18" s="65"/>
      <c r="HT18" s="65"/>
      <c r="HU18" s="65"/>
      <c r="HV18" s="65"/>
      <c r="HW18" s="65"/>
      <c r="HX18" s="65"/>
      <c r="HY18" s="65"/>
      <c r="HZ18" s="65"/>
      <c r="IA18" s="65"/>
      <c r="IB18" s="65"/>
      <c r="IC18" s="65"/>
      <c r="ID18" s="65"/>
      <c r="IE18" s="65"/>
      <c r="IF18" s="65"/>
      <c r="IG18" s="65"/>
      <c r="IH18" s="65"/>
      <c r="II18" s="65"/>
      <c r="IJ18" s="65"/>
      <c r="IK18" s="65"/>
      <c r="IL18" s="65"/>
      <c r="IM18" s="65"/>
      <c r="IN18" s="65"/>
      <c r="IO18" s="65"/>
      <c r="IP18" s="65"/>
      <c r="IQ18" s="65"/>
      <c r="IR18" s="65"/>
      <c r="IS18" s="65"/>
      <c r="IT18" s="65"/>
      <c r="IU18" s="65"/>
      <c r="IV18" s="65"/>
      <c r="IW18" s="65"/>
      <c r="IX18" s="65"/>
      <c r="IY18" s="65"/>
      <c r="IZ18" s="65"/>
      <c r="JA18" s="65"/>
      <c r="JB18" s="65"/>
      <c r="JC18" s="65"/>
      <c r="JD18" s="65"/>
      <c r="JE18" s="65"/>
      <c r="JF18" s="65"/>
      <c r="JG18" s="65"/>
      <c r="JH18" s="65"/>
      <c r="JI18" s="65"/>
      <c r="JJ18" s="65"/>
      <c r="JK18" s="65"/>
      <c r="JL18" s="65"/>
      <c r="JM18" s="65"/>
      <c r="JN18" s="65"/>
      <c r="JO18" s="65"/>
      <c r="JP18" s="65"/>
      <c r="JQ18" s="65"/>
      <c r="JR18" s="65"/>
      <c r="JS18" s="65"/>
      <c r="JT18" s="65"/>
      <c r="JU18" s="65"/>
      <c r="JV18" s="65"/>
      <c r="JW18" s="65"/>
      <c r="JX18" s="65"/>
      <c r="JY18" s="65"/>
      <c r="JZ18" s="65"/>
      <c r="KA18" s="65"/>
      <c r="KB18" s="65"/>
      <c r="KC18" s="65"/>
      <c r="KD18" s="65"/>
      <c r="KE18" s="65"/>
      <c r="KF18" s="65"/>
      <c r="KG18" s="65"/>
      <c r="KH18" s="65"/>
      <c r="KI18" s="65"/>
      <c r="KJ18" s="65"/>
      <c r="KK18" s="65"/>
      <c r="KL18" s="65"/>
      <c r="KM18" s="65"/>
      <c r="KN18" s="65"/>
      <c r="KO18" s="65"/>
      <c r="KP18" s="65"/>
      <c r="KQ18" s="65"/>
      <c r="KR18" s="65"/>
      <c r="KS18" s="65"/>
      <c r="KT18" s="65"/>
      <c r="KU18" s="65"/>
      <c r="KV18" s="65"/>
      <c r="KW18" s="65"/>
      <c r="KX18" s="65"/>
      <c r="KY18" s="65"/>
      <c r="KZ18" s="65"/>
      <c r="LA18" s="65"/>
      <c r="LB18" s="65"/>
      <c r="LC18" s="65"/>
      <c r="LD18" s="65"/>
      <c r="LE18" s="65"/>
      <c r="LF18" s="65"/>
      <c r="LG18" s="65"/>
      <c r="LH18" s="65"/>
      <c r="LI18" s="65"/>
      <c r="LJ18" s="65"/>
      <c r="LK18" s="65"/>
      <c r="LL18" s="65"/>
      <c r="LM18" s="65"/>
      <c r="LN18" s="65"/>
      <c r="LO18" s="65"/>
      <c r="LP18" s="65"/>
      <c r="LQ18" s="65"/>
      <c r="LR18" s="65"/>
      <c r="LS18" s="65"/>
      <c r="LT18" s="65"/>
      <c r="LU18" s="65"/>
      <c r="LV18" s="65"/>
      <c r="LW18" s="65"/>
      <c r="LX18" s="65"/>
      <c r="LY18" s="65"/>
      <c r="LZ18" s="65"/>
      <c r="MA18" s="65"/>
      <c r="MB18" s="65"/>
      <c r="MC18" s="65"/>
      <c r="MD18" s="65"/>
      <c r="ME18" s="65"/>
      <c r="MF18" s="65"/>
      <c r="MG18" s="65"/>
      <c r="MH18" s="65"/>
      <c r="MI18" s="65"/>
      <c r="MJ18" s="65"/>
      <c r="MK18" s="65"/>
      <c r="ML18" s="65"/>
      <c r="MM18" s="65"/>
      <c r="MN18" s="65"/>
      <c r="MO18" s="65"/>
      <c r="MP18" s="65"/>
      <c r="MQ18" s="65"/>
      <c r="MR18" s="65"/>
      <c r="MS18" s="65"/>
      <c r="MT18" s="65"/>
      <c r="MU18" s="65"/>
      <c r="MV18" s="65"/>
      <c r="MW18" s="65"/>
      <c r="MX18" s="65"/>
      <c r="MY18" s="65"/>
      <c r="MZ18" s="65"/>
      <c r="NA18" s="65"/>
      <c r="NB18" s="65"/>
      <c r="NC18" s="65"/>
      <c r="ND18" s="65"/>
      <c r="NE18" s="65"/>
      <c r="NF18" s="65"/>
      <c r="NG18" s="65"/>
      <c r="NH18" s="65"/>
      <c r="NI18" s="65"/>
      <c r="NJ18" s="65"/>
      <c r="NK18" s="65"/>
      <c r="NL18" s="65"/>
      <c r="NM18" s="65"/>
      <c r="NN18" s="65"/>
      <c r="NO18" s="65"/>
      <c r="NP18" s="65"/>
      <c r="NQ18" s="65"/>
      <c r="NR18" s="65"/>
      <c r="NS18" s="65"/>
      <c r="NT18" s="65"/>
      <c r="NU18" s="65"/>
      <c r="NV18" s="65"/>
      <c r="NW18" s="65"/>
      <c r="NX18" s="65"/>
      <c r="NY18" s="65"/>
      <c r="NZ18" s="65"/>
      <c r="OA18" s="65"/>
      <c r="OB18" s="65"/>
      <c r="OC18" s="65"/>
      <c r="OD18" s="65"/>
      <c r="OE18" s="65"/>
      <c r="OF18" s="65"/>
      <c r="OG18" s="65"/>
      <c r="OH18" s="65"/>
      <c r="OI18" s="65"/>
      <c r="OJ18" s="65"/>
      <c r="OK18" s="65"/>
      <c r="OL18" s="65"/>
      <c r="OM18" s="65"/>
      <c r="ON18" s="65"/>
      <c r="OO18" s="65"/>
      <c r="OP18" s="65"/>
      <c r="OQ18" s="65"/>
      <c r="OR18" s="65"/>
      <c r="OS18" s="65"/>
      <c r="OT18" s="65"/>
      <c r="OU18" s="65"/>
      <c r="OV18" s="65"/>
      <c r="OW18" s="65"/>
      <c r="OX18" s="65"/>
      <c r="OY18" s="65"/>
      <c r="OZ18" s="65"/>
      <c r="PA18" s="65"/>
      <c r="PB18" s="65"/>
      <c r="PC18" s="65"/>
      <c r="PD18" s="65"/>
      <c r="PE18" s="65"/>
      <c r="PF18" s="65"/>
      <c r="PG18" s="65"/>
      <c r="PH18" s="65"/>
      <c r="PI18" s="65"/>
      <c r="PJ18" s="65"/>
      <c r="PK18" s="65"/>
      <c r="PL18" s="65"/>
      <c r="PM18" s="65"/>
      <c r="PN18" s="65"/>
      <c r="PO18" s="65"/>
      <c r="PP18" s="65"/>
      <c r="PQ18" s="65"/>
      <c r="PR18" s="65"/>
      <c r="PS18" s="65"/>
      <c r="PT18" s="65"/>
      <c r="PU18" s="65"/>
      <c r="PV18" s="65"/>
      <c r="PW18" s="65"/>
      <c r="PX18" s="65"/>
      <c r="PY18" s="65"/>
      <c r="PZ18" s="65"/>
      <c r="QA18" s="65"/>
      <c r="QB18" s="65"/>
      <c r="QC18" s="65"/>
      <c r="QD18" s="65"/>
      <c r="QE18" s="65"/>
      <c r="QF18" s="65"/>
      <c r="QG18" s="65"/>
      <c r="QH18" s="65"/>
      <c r="QI18" s="65"/>
      <c r="QJ18" s="65"/>
      <c r="QK18" s="65"/>
      <c r="QL18" s="65"/>
      <c r="QM18" s="65"/>
      <c r="QN18" s="65"/>
      <c r="QO18" s="65"/>
      <c r="QP18" s="65"/>
      <c r="QQ18" s="65"/>
      <c r="QR18" s="65"/>
      <c r="QS18" s="65"/>
      <c r="QT18" s="65"/>
      <c r="QU18" s="65"/>
      <c r="QV18" s="65"/>
      <c r="QW18" s="65"/>
      <c r="QX18" s="65"/>
      <c r="QY18" s="65"/>
      <c r="QZ18" s="65"/>
      <c r="RA18" s="65"/>
      <c r="RB18" s="65"/>
      <c r="RC18" s="65"/>
      <c r="RD18" s="65"/>
      <c r="RE18" s="65"/>
      <c r="RF18" s="65"/>
      <c r="RG18" s="65"/>
      <c r="RH18" s="65"/>
      <c r="RI18" s="65"/>
      <c r="RJ18" s="65"/>
      <c r="RK18" s="65"/>
      <c r="RL18" s="65"/>
      <c r="RM18" s="65"/>
      <c r="RN18" s="65"/>
      <c r="RO18" s="65"/>
      <c r="RP18" s="65"/>
      <c r="RQ18" s="65"/>
      <c r="RR18" s="65"/>
      <c r="RS18" s="65"/>
      <c r="RT18" s="65"/>
      <c r="RU18" s="65"/>
      <c r="RV18" s="65"/>
      <c r="RW18" s="65"/>
      <c r="RX18" s="65"/>
      <c r="RY18" s="65"/>
      <c r="RZ18" s="65"/>
      <c r="SA18" s="65"/>
      <c r="SB18" s="65"/>
      <c r="SC18" s="65"/>
      <c r="SD18" s="65"/>
      <c r="SE18" s="65"/>
      <c r="SF18" s="65"/>
      <c r="SG18" s="65"/>
      <c r="SH18" s="65"/>
      <c r="SI18" s="65"/>
      <c r="SJ18" s="65"/>
      <c r="SK18" s="65"/>
      <c r="SL18" s="65"/>
      <c r="SM18" s="65"/>
      <c r="SN18" s="65"/>
      <c r="SO18" s="65"/>
      <c r="SP18" s="65"/>
      <c r="SQ18" s="65"/>
      <c r="SR18" s="65"/>
      <c r="SS18" s="65"/>
      <c r="ST18" s="65"/>
      <c r="SU18" s="65"/>
      <c r="SV18" s="65"/>
      <c r="SW18" s="66"/>
    </row>
    <row r="19" customFormat="false" ht="22.35" hidden="false" customHeight="false" outlineLevel="1" collapsed="false">
      <c r="C19" s="10"/>
      <c r="D19" s="67" t="s">
        <v>14</v>
      </c>
      <c r="E19" s="68" t="s">
        <v>15</v>
      </c>
      <c r="F19" s="69" t="n">
        <v>46136</v>
      </c>
      <c r="G19" s="70" t="n">
        <v>1</v>
      </c>
      <c r="H19" s="71" t="n">
        <f aca="false">(F19+G19)-1</f>
        <v>46136</v>
      </c>
      <c r="I19" s="72" t="n">
        <v>1</v>
      </c>
      <c r="J19" s="73" t="s">
        <v>16</v>
      </c>
      <c r="K19" s="74"/>
      <c r="L19" s="75" t="str">
        <f aca="false">IF($I19&gt;0%,IF(AND(L$16&gt;=$F19,L$16&lt;$F19+($G19*$I19)),"➤",""),"")</f>
        <v>➤</v>
      </c>
      <c r="M19" s="76" t="str">
        <f aca="false">IF($I19&gt;0%,IF(AND(M$16&gt;=$F19,M$16&lt;$F19+($G19*$I19)),"➤",""),"")</f>
        <v/>
      </c>
      <c r="N19" s="76" t="str">
        <f aca="false">IF($I19&gt;0%,IF(AND(N$16&gt;=$F19,N$16&lt;$F19+($G19*$I19)),"➤",""),"")</f>
        <v/>
      </c>
      <c r="O19" s="76" t="str">
        <f aca="false">IF($I19&gt;0%,IF(AND(O$16&gt;=$F19,O$16&lt;$F19+($G19*$I19)),"➤",""),"")</f>
        <v/>
      </c>
      <c r="P19" s="76" t="str">
        <f aca="false">IF($I19&gt;0%,IF(AND(P$16&gt;=$F19,P$16&lt;$F19+($G19*$I19)),"➤",""),"")</f>
        <v/>
      </c>
      <c r="Q19" s="76" t="str">
        <f aca="false">IF($I19&gt;0%,IF(AND(Q$16&gt;=$F19,Q$16&lt;$F19+($G19*$I19)),"➤",""),"")</f>
        <v/>
      </c>
      <c r="R19" s="76" t="str">
        <f aca="false">IF($I19&gt;0%,IF(AND(R$16&gt;=$F19,R$16&lt;$F19+($G19*$I19)),"➤",""),"")</f>
        <v/>
      </c>
      <c r="S19" s="76" t="str">
        <f aca="false">IF($I19&gt;0%,IF(AND(S$16&gt;=$F19,S$16&lt;$F19+($G19*$I19)),"➤",""),"")</f>
        <v/>
      </c>
      <c r="T19" s="76" t="str">
        <f aca="false">IF($I19&gt;0%,IF(AND(T$16&gt;=$F19,T$16&lt;$F19+($G19*$I19)),"➤",""),"")</f>
        <v/>
      </c>
      <c r="U19" s="76" t="str">
        <f aca="false">IF($I19&gt;0%,IF(AND(U$16&gt;=$F19,U$16&lt;$F19+($G19*$I19)),"➤",""),"")</f>
        <v/>
      </c>
      <c r="V19" s="76" t="str">
        <f aca="false">IF($I19&gt;0%,IF(AND(V$16&gt;=$F19,V$16&lt;$F19+($G19*$I19)),"➤",""),"")</f>
        <v/>
      </c>
      <c r="W19" s="76" t="str">
        <f aca="false">IF($I19&gt;0%,IF(AND(W$16&gt;=$F19,W$16&lt;$F19+($G19*$I19)),"➤",""),"")</f>
        <v/>
      </c>
      <c r="X19" s="76" t="str">
        <f aca="false">IF($I19&gt;0%,IF(AND(X$16&gt;=$F19,X$16&lt;$F19+($G19*$I19)),"➤",""),"")</f>
        <v/>
      </c>
      <c r="Y19" s="76" t="str">
        <f aca="false">IF($I19&gt;0%,IF(AND(Y$16&gt;=$F19,Y$16&lt;$F19+($G19*$I19)),"➤",""),"")</f>
        <v/>
      </c>
      <c r="Z19" s="76" t="str">
        <f aca="false">IF($I19&gt;0%,IF(AND(Z$16&gt;=$F19,Z$16&lt;$F19+($G19*$I19)),"➤",""),"")</f>
        <v/>
      </c>
      <c r="AA19" s="76" t="str">
        <f aca="false">IF($I19&gt;0%,IF(AND(AA$16&gt;=$F19,AA$16&lt;$F19+($G19*$I19)),"➤",""),"")</f>
        <v/>
      </c>
      <c r="AB19" s="76" t="str">
        <f aca="false">IF($I19&gt;0%,IF(AND(AB$16&gt;=$F19,AB$16&lt;$F19+($G19*$I19)),"➤",""),"")</f>
        <v/>
      </c>
      <c r="AC19" s="76" t="str">
        <f aca="false">IF($I19&gt;0%,IF(AND(AC$16&gt;=$F19,AC$16&lt;$F19+($G19*$I19)),"➤",""),"")</f>
        <v/>
      </c>
      <c r="AD19" s="76" t="str">
        <f aca="false">IF($I19&gt;0%,IF(AND(AD$16&gt;=$F19,AD$16&lt;$F19+($G19*$I19)),"➤",""),"")</f>
        <v/>
      </c>
      <c r="AE19" s="76" t="str">
        <f aca="false">IF($I19&gt;0%,IF(AND(AE$16&gt;=$F19,AE$16&lt;$F19+($G19*$I19)),"➤",""),"")</f>
        <v/>
      </c>
      <c r="AF19" s="76" t="str">
        <f aca="false">IF($I19&gt;0%,IF(AND(AF$16&gt;=$F19,AF$16&lt;$F19+($G19*$I19)),"➤",""),"")</f>
        <v/>
      </c>
      <c r="AG19" s="76" t="str">
        <f aca="false">IF($I19&gt;0%,IF(AND(AG$16&gt;=$F19,AG$16&lt;$F19+($G19*$I19)),"➤",""),"")</f>
        <v/>
      </c>
      <c r="AH19" s="76" t="str">
        <f aca="false">IF($I19&gt;0%,IF(AND(AH$16&gt;=$F19,AH$16&lt;$F19+($G19*$I19)),"➤",""),"")</f>
        <v/>
      </c>
      <c r="AI19" s="76" t="str">
        <f aca="false">IF($I19&gt;0%,IF(AND(AI$16&gt;=$F19,AI$16&lt;$F19+($G19*$I19)),"➤",""),"")</f>
        <v/>
      </c>
      <c r="AJ19" s="76" t="str">
        <f aca="false">IF($I19&gt;0%,IF(AND(AJ$16&gt;=$F19,AJ$16&lt;$F19+($G19*$I19)),"➤",""),"")</f>
        <v/>
      </c>
      <c r="AK19" s="76" t="str">
        <f aca="false">IF($I19&gt;0%,IF(AND(AK$16&gt;=$F19,AK$16&lt;$F19+($G19*$I19)),"➤",""),"")</f>
        <v/>
      </c>
      <c r="AL19" s="76" t="str">
        <f aca="false">IF($I19&gt;0%,IF(AND(AL$16&gt;=$F19,AL$16&lt;$F19+($G19*$I19)),"➤",""),"")</f>
        <v/>
      </c>
      <c r="AM19" s="76" t="str">
        <f aca="false">IF($I19&gt;0%,IF(AND(AM$16&gt;=$F19,AM$16&lt;$F19+($G19*$I19)),"➤",""),"")</f>
        <v/>
      </c>
      <c r="AN19" s="76" t="str">
        <f aca="false">IF($I19&gt;0%,IF(AND(AN$16&gt;=$F19,AN$16&lt;$F19+($G19*$I19)),"➤",""),"")</f>
        <v/>
      </c>
      <c r="AO19" s="76" t="str">
        <f aca="false">IF($I19&gt;0%,IF(AND(AO$16&gt;=$F19,AO$16&lt;$F19+($G19*$I19)),"➤",""),"")</f>
        <v/>
      </c>
      <c r="AP19" s="76" t="str">
        <f aca="false">IF($I19&gt;0%,IF(AND(AP$16&gt;=$F19,AP$16&lt;$F19+($G19*$I19)),"➤",""),"")</f>
        <v/>
      </c>
      <c r="AQ19" s="76" t="str">
        <f aca="false">IF($I19&gt;0%,IF(AND(AQ$16&gt;=$F19,AQ$16&lt;$F19+($G19*$I19)),"➤",""),"")</f>
        <v/>
      </c>
      <c r="AR19" s="76" t="str">
        <f aca="false">IF($I19&gt;0%,IF(AND(AR$16&gt;=$F19,AR$16&lt;$F19+($G19*$I19)),"➤",""),"")</f>
        <v/>
      </c>
      <c r="AS19" s="76" t="str">
        <f aca="false">IF($I19&gt;0%,IF(AND(AS$16&gt;=$F19,AS$16&lt;$F19+($G19*$I19)),"➤",""),"")</f>
        <v/>
      </c>
      <c r="AT19" s="76" t="str">
        <f aca="false">IF($I19&gt;0%,IF(AND(AT$16&gt;=$F19,AT$16&lt;$F19+($G19*$I19)),"➤",""),"")</f>
        <v/>
      </c>
      <c r="AU19" s="76" t="str">
        <f aca="false">IF($I19&gt;0%,IF(AND(AU$16&gt;=$F19,AU$16&lt;$F19+($G19*$I19)),"➤",""),"")</f>
        <v/>
      </c>
      <c r="AV19" s="76" t="str">
        <f aca="false">IF($I19&gt;0%,IF(AND(AV$16&gt;=$F19,AV$16&lt;$F19+($G19*$I19)),"➤",""),"")</f>
        <v/>
      </c>
      <c r="AW19" s="76" t="str">
        <f aca="false">IF($I19&gt;0%,IF(AND(AW$16&gt;=$F19,AW$16&lt;$F19+($G19*$I19)),"➤",""),"")</f>
        <v/>
      </c>
      <c r="AX19" s="76" t="str">
        <f aca="false">IF($I19&gt;0%,IF(AND(AX$16&gt;=$F19,AX$16&lt;$F19+($G19*$I19)),"➤",""),"")</f>
        <v/>
      </c>
      <c r="AY19" s="76" t="str">
        <f aca="false">IF($I19&gt;0%,IF(AND(AY$16&gt;=$F19,AY$16&lt;$F19+($G19*$I19)),"➤",""),"")</f>
        <v/>
      </c>
      <c r="AZ19" s="76" t="str">
        <f aca="false">IF($I19&gt;0%,IF(AND(AZ$16&gt;=$F19,AZ$16&lt;$F19+($G19*$I19)),"➤",""),"")</f>
        <v/>
      </c>
      <c r="BA19" s="76" t="str">
        <f aca="false">IF($I19&gt;0%,IF(AND(BA$16&gt;=$F19,BA$16&lt;$F19+($G19*$I19)),"➤",""),"")</f>
        <v/>
      </c>
      <c r="BB19" s="76" t="str">
        <f aca="false">IF($I19&gt;0%,IF(AND(BB$16&gt;=$F19,BB$16&lt;$F19+($G19*$I19)),"➤",""),"")</f>
        <v/>
      </c>
      <c r="BC19" s="76" t="str">
        <f aca="false">IF($I19&gt;0%,IF(AND(BC$16&gt;=$F19,BC$16&lt;$F19+($G19*$I19)),"➤",""),"")</f>
        <v/>
      </c>
      <c r="BD19" s="76" t="str">
        <f aca="false">IF($I19&gt;0%,IF(AND(BD$16&gt;=$F19,BD$16&lt;$F19+($G19*$I19)),"➤",""),"")</f>
        <v/>
      </c>
      <c r="BE19" s="76" t="str">
        <f aca="false">IF($I19&gt;0%,IF(AND(BE$16&gt;=$F19,BE$16&lt;$F19+($G19*$I19)),"➤",""),"")</f>
        <v/>
      </c>
      <c r="BF19" s="76" t="str">
        <f aca="false">IF($I19&gt;0%,IF(AND(BF$16&gt;=$F19,BF$16&lt;$F19+($G19*$I19)),"➤",""),"")</f>
        <v/>
      </c>
      <c r="BG19" s="76" t="str">
        <f aca="false">IF($I19&gt;0%,IF(AND(BG$16&gt;=$F19,BG$16&lt;$F19+($G19*$I19)),"➤",""),"")</f>
        <v/>
      </c>
      <c r="BH19" s="76" t="str">
        <f aca="false">IF($I19&gt;0%,IF(AND(BH$16&gt;=$F19,BH$16&lt;$F19+($G19*$I19)),"➤",""),"")</f>
        <v/>
      </c>
      <c r="BI19" s="76" t="str">
        <f aca="false">IF($I19&gt;0%,IF(AND(BI$16&gt;=$F19,BI$16&lt;$F19+($G19*$I19)),"➤",""),"")</f>
        <v/>
      </c>
      <c r="BJ19" s="76" t="str">
        <f aca="false">IF($I19&gt;0%,IF(AND(BJ$16&gt;=$F19,BJ$16&lt;$F19+($G19*$I19)),"➤",""),"")</f>
        <v/>
      </c>
      <c r="BK19" s="76" t="str">
        <f aca="false">IF($I19&gt;0%,IF(AND(BK$16&gt;=$F19,BK$16&lt;$F19+($G19*$I19)),"➤",""),"")</f>
        <v/>
      </c>
      <c r="BL19" s="76" t="str">
        <f aca="false">IF($I19&gt;0%,IF(AND(BL$16&gt;=$F19,BL$16&lt;$F19+($G19*$I19)),"➤",""),"")</f>
        <v/>
      </c>
      <c r="BM19" s="76" t="str">
        <f aca="false">IF($I19&gt;0%,IF(AND(BM$16&gt;=$F19,BM$16&lt;$F19+($G19*$I19)),"➤",""),"")</f>
        <v/>
      </c>
      <c r="BN19" s="76" t="str">
        <f aca="false">IF($I19&gt;0%,IF(AND(BN$16&gt;=$F19,BN$16&lt;$F19+($G19*$I19)),"➤",""),"")</f>
        <v/>
      </c>
      <c r="BO19" s="76" t="str">
        <f aca="false">IF($I19&gt;0%,IF(AND(BO$16&gt;=$F19,BO$16&lt;$F19+($G19*$I19)),"➤",""),"")</f>
        <v/>
      </c>
      <c r="BP19" s="76" t="str">
        <f aca="false">IF($I19&gt;0%,IF(AND(BP$16&gt;=$F19,BP$16&lt;$F19+($G19*$I19)),"➤",""),"")</f>
        <v/>
      </c>
      <c r="BQ19" s="76" t="str">
        <f aca="false">IF($I19&gt;0%,IF(AND(BQ$16&gt;=$F19,BQ$16&lt;$F19+($G19*$I19)),"➤",""),"")</f>
        <v/>
      </c>
      <c r="BR19" s="76" t="str">
        <f aca="false">IF($I19&gt;0%,IF(AND(BR$16&gt;=$F19,BR$16&lt;$F19+($G19*$I19)),"➤",""),"")</f>
        <v/>
      </c>
      <c r="BS19" s="76" t="str">
        <f aca="false">IF($I19&gt;0%,IF(AND(BS$16&gt;=$F19,BS$16&lt;$F19+($G19*$I19)),"➤",""),"")</f>
        <v/>
      </c>
      <c r="BT19" s="76" t="str">
        <f aca="false">IF($I19&gt;0%,IF(AND(BT$16&gt;=$F19,BT$16&lt;$F19+($G19*$I19)),"➤",""),"")</f>
        <v/>
      </c>
      <c r="BU19" s="76" t="str">
        <f aca="false">IF($I19&gt;0%,IF(AND(BU$16&gt;=$F19,BU$16&lt;$F19+($G19*$I19)),"➤",""),"")</f>
        <v/>
      </c>
      <c r="BV19" s="76" t="str">
        <f aca="false">IF($I19&gt;0%,IF(AND(BV$16&gt;=$F19,BV$16&lt;$F19+($G19*$I19)),"➤",""),"")</f>
        <v/>
      </c>
      <c r="BW19" s="76" t="str">
        <f aca="false">IF($I19&gt;0%,IF(AND(BW$16&gt;=$F19,BW$16&lt;$F19+($G19*$I19)),"➤",""),"")</f>
        <v/>
      </c>
      <c r="BX19" s="76" t="str">
        <f aca="false">IF($I19&gt;0%,IF(AND(BX$16&gt;=$F19,BX$16&lt;$F19+($G19*$I19)),"➤",""),"")</f>
        <v/>
      </c>
      <c r="BY19" s="76" t="str">
        <f aca="false">IF($I19&gt;0%,IF(AND(BY$16&gt;=$F19,BY$16&lt;$F19+($G19*$I19)),"➤",""),"")</f>
        <v/>
      </c>
      <c r="BZ19" s="76" t="str">
        <f aca="false">IF($I19&gt;0%,IF(AND(BZ$16&gt;=$F19,BZ$16&lt;$F19+($G19*$I19)),"➤",""),"")</f>
        <v/>
      </c>
      <c r="CA19" s="76" t="str">
        <f aca="false">IF($I19&gt;0%,IF(AND(CA$16&gt;=$F19,CA$16&lt;$F19+($G19*$I19)),"➤",""),"")</f>
        <v/>
      </c>
      <c r="CB19" s="76" t="str">
        <f aca="false">IF($I19&gt;0%,IF(AND(CB$16&gt;=$F19,CB$16&lt;$F19+($G19*$I19)),"➤",""),"")</f>
        <v/>
      </c>
      <c r="CC19" s="76" t="str">
        <f aca="false">IF($I19&gt;0%,IF(AND(CC$16&gt;=$F19,CC$16&lt;$F19+($G19*$I19)),"➤",""),"")</f>
        <v/>
      </c>
      <c r="CD19" s="76" t="str">
        <f aca="false">IF($I19&gt;0%,IF(AND(CD$16&gt;=$F19,CD$16&lt;$F19+($G19*$I19)),"➤",""),"")</f>
        <v/>
      </c>
      <c r="CE19" s="76" t="str">
        <f aca="false">IF($I19&gt;0%,IF(AND(CE$16&gt;=$F19,CE$16&lt;$F19+($G19*$I19)),"➤",""),"")</f>
        <v/>
      </c>
      <c r="CF19" s="76" t="str">
        <f aca="false">IF($I19&gt;0%,IF(AND(CF$16&gt;=$F19,CF$16&lt;$F19+($G19*$I19)),"➤",""),"")</f>
        <v/>
      </c>
      <c r="CG19" s="76" t="str">
        <f aca="false">IF($I19&gt;0%,IF(AND(CG$16&gt;=$F19,CG$16&lt;$F19+($G19*$I19)),"➤",""),"")</f>
        <v/>
      </c>
      <c r="CH19" s="76" t="str">
        <f aca="false">IF($I19&gt;0%,IF(AND(CH$16&gt;=$F19,CH$16&lt;$F19+($G19*$I19)),"➤",""),"")</f>
        <v/>
      </c>
      <c r="CI19" s="76" t="str">
        <f aca="false">IF($I19&gt;0%,IF(AND(CI$16&gt;=$F19,CI$16&lt;$F19+($G19*$I19)),"➤",""),"")</f>
        <v/>
      </c>
      <c r="CJ19" s="76" t="str">
        <f aca="false">IF($I19&gt;0%,IF(AND(CJ$16&gt;=$F19,CJ$16&lt;$F19+($G19*$I19)),"➤",""),"")</f>
        <v/>
      </c>
      <c r="CK19" s="76" t="str">
        <f aca="false">IF($I19&gt;0%,IF(AND(CK$16&gt;=$F19,CK$16&lt;$F19+($G19*$I19)),"➤",""),"")</f>
        <v/>
      </c>
      <c r="CL19" s="76" t="str">
        <f aca="false">IF($I19&gt;0%,IF(AND(CL$16&gt;=$F19,CL$16&lt;$F19+($G19*$I19)),"➤",""),"")</f>
        <v/>
      </c>
      <c r="CM19" s="76" t="str">
        <f aca="false">IF($I19&gt;0%,IF(AND(CM$16&gt;=$F19,CM$16&lt;$F19+($G19*$I19)),"➤",""),"")</f>
        <v/>
      </c>
      <c r="CN19" s="76" t="str">
        <f aca="false">IF($I19&gt;0%,IF(AND(CN$16&gt;=$F19,CN$16&lt;$F19+($G19*$I19)),"➤",""),"")</f>
        <v/>
      </c>
      <c r="CO19" s="76" t="str">
        <f aca="false">IF($I19&gt;0%,IF(AND(CO$16&gt;=$F19,CO$16&lt;$F19+($G19*$I19)),"➤",""),"")</f>
        <v/>
      </c>
      <c r="CP19" s="76" t="str">
        <f aca="false">IF($I19&gt;0%,IF(AND(CP$16&gt;=$F19,CP$16&lt;$F19+($G19*$I19)),"➤",""),"")</f>
        <v/>
      </c>
      <c r="CQ19" s="76" t="str">
        <f aca="false">IF($I19&gt;0%,IF(AND(CQ$16&gt;=$F19,CQ$16&lt;$F19+($G19*$I19)),"➤",""),"")</f>
        <v/>
      </c>
      <c r="CR19" s="76" t="str">
        <f aca="false">IF($I19&gt;0%,IF(AND(CR$16&gt;=$F19,CR$16&lt;$F19+($G19*$I19)),"➤",""),"")</f>
        <v/>
      </c>
      <c r="CS19" s="76" t="str">
        <f aca="false">IF($I19&gt;0%,IF(AND(CS$16&gt;=$F19,CS$16&lt;$F19+($G19*$I19)),"➤",""),"")</f>
        <v/>
      </c>
      <c r="CT19" s="76" t="str">
        <f aca="false">IF($I19&gt;0%,IF(AND(CT$16&gt;=$F19,CT$16&lt;$F19+($G19*$I19)),"➤",""),"")</f>
        <v/>
      </c>
      <c r="CU19" s="76" t="str">
        <f aca="false">IF($I19&gt;0%,IF(AND(CU$16&gt;=$F19,CU$16&lt;$F19+($G19*$I19)),"➤",""),"")</f>
        <v/>
      </c>
      <c r="CV19" s="76" t="str">
        <f aca="false">IF($I19&gt;0%,IF(AND(CV$16&gt;=$F19,CV$16&lt;$F19+($G19*$I19)),"➤",""),"")</f>
        <v/>
      </c>
      <c r="CW19" s="76" t="str">
        <f aca="false">IF($I19&gt;0%,IF(AND(CW$16&gt;=$F19,CW$16&lt;$F19+($G19*$I19)),"➤",""),"")</f>
        <v/>
      </c>
      <c r="CX19" s="76" t="str">
        <f aca="false">IF($I19&gt;0%,IF(AND(CX$16&gt;=$F19,CX$16&lt;$F19+($G19*$I19)),"➤",""),"")</f>
        <v/>
      </c>
      <c r="CY19" s="76" t="str">
        <f aca="false">IF($I19&gt;0%,IF(AND(CY$16&gt;=$F19,CY$16&lt;$F19+($G19*$I19)),"➤",""),"")</f>
        <v/>
      </c>
      <c r="CZ19" s="76" t="str">
        <f aca="false">IF($I19&gt;0%,IF(AND(CZ$16&gt;=$F19,CZ$16&lt;$F19+($G19*$I19)),"➤",""),"")</f>
        <v/>
      </c>
      <c r="DA19" s="76" t="str">
        <f aca="false">IF($I19&gt;0%,IF(AND(DA$16&gt;=$F19,DA$16&lt;$F19+($G19*$I19)),"➤",""),"")</f>
        <v/>
      </c>
      <c r="DB19" s="76" t="str">
        <f aca="false">IF($I19&gt;0%,IF(AND(DB$16&gt;=$F19,DB$16&lt;$F19+($G19*$I19)),"➤",""),"")</f>
        <v/>
      </c>
      <c r="DC19" s="76" t="str">
        <f aca="false">IF($I19&gt;0%,IF(AND(DC$16&gt;=$F19,DC$16&lt;$F19+($G19*$I19)),"➤",""),"")</f>
        <v/>
      </c>
      <c r="DD19" s="76" t="str">
        <f aca="false">IF($I19&gt;0%,IF(AND(DD$16&gt;=$F19,DD$16&lt;$F19+($G19*$I19)),"➤",""),"")</f>
        <v/>
      </c>
      <c r="DE19" s="76" t="str">
        <f aca="false">IF($I19&gt;0%,IF(AND(DE$16&gt;=$F19,DE$16&lt;$F19+($G19*$I19)),"➤",""),"")</f>
        <v/>
      </c>
      <c r="DF19" s="76" t="str">
        <f aca="false">IF($I19&gt;0%,IF(AND(DF$16&gt;=$F19,DF$16&lt;$F19+($G19*$I19)),"➤",""),"")</f>
        <v/>
      </c>
      <c r="DG19" s="76" t="str">
        <f aca="false">IF($I19&gt;0%,IF(AND(DG$16&gt;=$F19,DG$16&lt;$F19+($G19*$I19)),"➤",""),"")</f>
        <v/>
      </c>
      <c r="DH19" s="76" t="str">
        <f aca="false">IF($I19&gt;0%,IF(AND(DH$16&gt;=$F19,DH$16&lt;$F19+($G19*$I19)),"➤",""),"")</f>
        <v/>
      </c>
      <c r="DI19" s="76" t="str">
        <f aca="false">IF($I19&gt;0%,IF(AND(DI$16&gt;=$F19,DI$16&lt;$F19+($G19*$I19)),"➤",""),"")</f>
        <v/>
      </c>
      <c r="DJ19" s="76" t="str">
        <f aca="false">IF($I19&gt;0%,IF(AND(DJ$16&gt;=$F19,DJ$16&lt;$F19+($G19*$I19)),"➤",""),"")</f>
        <v/>
      </c>
      <c r="DK19" s="76" t="str">
        <f aca="false">IF($I19&gt;0%,IF(AND(DK$16&gt;=$F19,DK$16&lt;$F19+($G19*$I19)),"➤",""),"")</f>
        <v/>
      </c>
      <c r="DL19" s="76" t="str">
        <f aca="false">IF($I19&gt;0%,IF(AND(DL$16&gt;=$F19,DL$16&lt;$F19+($G19*$I19)),"➤",""),"")</f>
        <v/>
      </c>
      <c r="DM19" s="76" t="str">
        <f aca="false">IF($I19&gt;0%,IF(AND(DM$16&gt;=$F19,DM$16&lt;$F19+($G19*$I19)),"➤",""),"")</f>
        <v/>
      </c>
      <c r="DN19" s="76" t="str">
        <f aca="false">IF($I19&gt;0%,IF(AND(DN$16&gt;=$F19,DN$16&lt;$F19+($G19*$I19)),"➤",""),"")</f>
        <v/>
      </c>
      <c r="DO19" s="76" t="str">
        <f aca="false">IF($I19&gt;0%,IF(AND(DO$16&gt;=$F19,DO$16&lt;$F19+($G19*$I19)),"➤",""),"")</f>
        <v/>
      </c>
      <c r="DP19" s="76" t="str">
        <f aca="false">IF($I19&gt;0%,IF(AND(DP$16&gt;=$F19,DP$16&lt;$F19+($G19*$I19)),"➤",""),"")</f>
        <v/>
      </c>
      <c r="DQ19" s="76" t="str">
        <f aca="false">IF($I19&gt;0%,IF(AND(DQ$16&gt;=$F19,DQ$16&lt;$F19+($G19*$I19)),"➤",""),"")</f>
        <v/>
      </c>
      <c r="DR19" s="76" t="str">
        <f aca="false">IF($I19&gt;0%,IF(AND(DR$16&gt;=$F19,DR$16&lt;$F19+($G19*$I19)),"➤",""),"")</f>
        <v/>
      </c>
      <c r="DS19" s="76" t="str">
        <f aca="false">IF($I19&gt;0%,IF(AND(DS$16&gt;=$F19,DS$16&lt;$F19+($G19*$I19)),"➤",""),"")</f>
        <v/>
      </c>
      <c r="DT19" s="76" t="str">
        <f aca="false">IF($I19&gt;0%,IF(AND(DT$16&gt;=$F19,DT$16&lt;$F19+($G19*$I19)),"➤",""),"")</f>
        <v/>
      </c>
      <c r="DU19" s="76" t="str">
        <f aca="false">IF($I19&gt;0%,IF(AND(DU$16&gt;=$F19,DU$16&lt;$F19+($G19*$I19)),"➤",""),"")</f>
        <v/>
      </c>
      <c r="DV19" s="76" t="str">
        <f aca="false">IF($I19&gt;0%,IF(AND(DV$16&gt;=$F19,DV$16&lt;$F19+($G19*$I19)),"➤",""),"")</f>
        <v/>
      </c>
      <c r="DW19" s="76" t="str">
        <f aca="false">IF($I19&gt;0%,IF(AND(DW$16&gt;=$F19,DW$16&lt;$F19+($G19*$I19)),"➤",""),"")</f>
        <v/>
      </c>
      <c r="DX19" s="76" t="str">
        <f aca="false">IF($I19&gt;0%,IF(AND(DX$16&gt;=$F19,DX$16&lt;$F19+($G19*$I19)),"➤",""),"")</f>
        <v/>
      </c>
      <c r="DY19" s="76" t="str">
        <f aca="false">IF($I19&gt;0%,IF(AND(DY$16&gt;=$F19,DY$16&lt;$F19+($G19*$I19)),"➤",""),"")</f>
        <v/>
      </c>
      <c r="DZ19" s="76" t="str">
        <f aca="false">IF($I19&gt;0%,IF(AND(DZ$16&gt;=$F19,DZ$16&lt;$F19+($G19*$I19)),"➤",""),"")</f>
        <v/>
      </c>
      <c r="EA19" s="76" t="str">
        <f aca="false">IF($I19&gt;0%,IF(AND(EA$16&gt;=$F19,EA$16&lt;$F19+($G19*$I19)),"➤",""),"")</f>
        <v/>
      </c>
      <c r="EB19" s="76" t="str">
        <f aca="false">IF($I19&gt;0%,IF(AND(EB$16&gt;=$F19,EB$16&lt;$F19+($G19*$I19)),"➤",""),"")</f>
        <v/>
      </c>
      <c r="EC19" s="76" t="str">
        <f aca="false">IF($I19&gt;0%,IF(AND(EC$16&gt;=$F19,EC$16&lt;$F19+($G19*$I19)),"➤",""),"")</f>
        <v/>
      </c>
      <c r="ED19" s="76" t="str">
        <f aca="false">IF($I19&gt;0%,IF(AND(ED$16&gt;=$F19,ED$16&lt;$F19+($G19*$I19)),"➤",""),"")</f>
        <v/>
      </c>
      <c r="EE19" s="76" t="str">
        <f aca="false">IF($I19&gt;0%,IF(AND(EE$16&gt;=$F19,EE$16&lt;$F19+($G19*$I19)),"➤",""),"")</f>
        <v/>
      </c>
      <c r="EF19" s="76" t="str">
        <f aca="false">IF($I19&gt;0%,IF(AND(EF$16&gt;=$F19,EF$16&lt;$F19+($G19*$I19)),"➤",""),"")</f>
        <v/>
      </c>
      <c r="EG19" s="76" t="str">
        <f aca="false">IF($I19&gt;0%,IF(AND(EG$16&gt;=$F19,EG$16&lt;$F19+($G19*$I19)),"➤",""),"")</f>
        <v/>
      </c>
      <c r="EH19" s="76" t="str">
        <f aca="false">IF($I19&gt;0%,IF(AND(EH$16&gt;=$F19,EH$16&lt;$F19+($G19*$I19)),"➤",""),"")</f>
        <v/>
      </c>
      <c r="EI19" s="76" t="str">
        <f aca="false">IF($I19&gt;0%,IF(AND(EI$16&gt;=$F19,EI$16&lt;$F19+($G19*$I19)),"➤",""),"")</f>
        <v/>
      </c>
      <c r="EJ19" s="76" t="str">
        <f aca="false">IF($I19&gt;0%,IF(AND(EJ$16&gt;=$F19,EJ$16&lt;$F19+($G19*$I19)),"➤",""),"")</f>
        <v/>
      </c>
      <c r="EK19" s="76" t="str">
        <f aca="false">IF($I19&gt;0%,IF(AND(EK$16&gt;=$F19,EK$16&lt;$F19+($G19*$I19)),"➤",""),"")</f>
        <v/>
      </c>
      <c r="EL19" s="76" t="str">
        <f aca="false">IF($I19&gt;0%,IF(AND(EL$16&gt;=$F19,EL$16&lt;$F19+($G19*$I19)),"➤",""),"")</f>
        <v/>
      </c>
      <c r="EM19" s="76" t="str">
        <f aca="false">IF($I19&gt;0%,IF(AND(EM$16&gt;=$F19,EM$16&lt;$F19+($G19*$I19)),"➤",""),"")</f>
        <v/>
      </c>
      <c r="EN19" s="76" t="str">
        <f aca="false">IF($I19&gt;0%,IF(AND(EN$16&gt;=$F19,EN$16&lt;$F19+($G19*$I19)),"➤",""),"")</f>
        <v/>
      </c>
      <c r="EO19" s="76" t="str">
        <f aca="false">IF($I19&gt;0%,IF(AND(EO$16&gt;=$F19,EO$16&lt;$F19+($G19*$I19)),"➤",""),"")</f>
        <v/>
      </c>
      <c r="EP19" s="76" t="str">
        <f aca="false">IF($I19&gt;0%,IF(AND(EP$16&gt;=$F19,EP$16&lt;$F19+($G19*$I19)),"➤",""),"")</f>
        <v/>
      </c>
      <c r="EQ19" s="76" t="str">
        <f aca="false">IF($I19&gt;0%,IF(AND(EQ$16&gt;=$F19,EQ$16&lt;$F19+($G19*$I19)),"➤",""),"")</f>
        <v/>
      </c>
      <c r="ER19" s="76" t="str">
        <f aca="false">IF($I19&gt;0%,IF(AND(ER$16&gt;=$F19,ER$16&lt;$F19+($G19*$I19)),"➤",""),"")</f>
        <v/>
      </c>
      <c r="ES19" s="76" t="str">
        <f aca="false">IF($I19&gt;0%,IF(AND(ES$16&gt;=$F19,ES$16&lt;$F19+($G19*$I19)),"➤",""),"")</f>
        <v/>
      </c>
      <c r="ET19" s="76" t="str">
        <f aca="false">IF($I19&gt;0%,IF(AND(ET$16&gt;=$F19,ET$16&lt;$F19+($G19*$I19)),"➤",""),"")</f>
        <v/>
      </c>
      <c r="EU19" s="76" t="str">
        <f aca="false">IF($I19&gt;0%,IF(AND(EU$16&gt;=$F19,EU$16&lt;$F19+($G19*$I19)),"➤",""),"")</f>
        <v/>
      </c>
      <c r="EV19" s="76" t="str">
        <f aca="false">IF($I19&gt;0%,IF(AND(EV$16&gt;=$F19,EV$16&lt;$F19+($G19*$I19)),"➤",""),"")</f>
        <v/>
      </c>
      <c r="EW19" s="76" t="str">
        <f aca="false">IF($I19&gt;0%,IF(AND(EW$16&gt;=$F19,EW$16&lt;$F19+($G19*$I19)),"➤",""),"")</f>
        <v/>
      </c>
      <c r="EX19" s="76" t="str">
        <f aca="false">IF($I19&gt;0%,IF(AND(EX$16&gt;=$F19,EX$16&lt;$F19+($G19*$I19)),"➤",""),"")</f>
        <v/>
      </c>
      <c r="EY19" s="76" t="str">
        <f aca="false">IF($I19&gt;0%,IF(AND(EY$16&gt;=$F19,EY$16&lt;$F19+($G19*$I19)),"➤",""),"")</f>
        <v/>
      </c>
      <c r="EZ19" s="76" t="str">
        <f aca="false">IF($I19&gt;0%,IF(AND(EZ$16&gt;=$F19,EZ$16&lt;$F19+($G19*$I19)),"➤",""),"")</f>
        <v/>
      </c>
      <c r="FA19" s="76" t="str">
        <f aca="false">IF($I19&gt;0%,IF(AND(FA$16&gt;=$F19,FA$16&lt;$F19+($G19*$I19)),"➤",""),"")</f>
        <v/>
      </c>
      <c r="FB19" s="76" t="str">
        <f aca="false">IF($I19&gt;0%,IF(AND(FB$16&gt;=$F19,FB$16&lt;$F19+($G19*$I19)),"➤",""),"")</f>
        <v/>
      </c>
      <c r="FC19" s="76" t="str">
        <f aca="false">IF($I19&gt;0%,IF(AND(FC$16&gt;=$F19,FC$16&lt;$F19+($G19*$I19)),"➤",""),"")</f>
        <v/>
      </c>
      <c r="FD19" s="76" t="str">
        <f aca="false">IF($I19&gt;0%,IF(AND(FD$16&gt;=$F19,FD$16&lt;$F19+($G19*$I19)),"➤",""),"")</f>
        <v/>
      </c>
      <c r="FE19" s="76" t="str">
        <f aca="false">IF($I19&gt;0%,IF(AND(FE$16&gt;=$F19,FE$16&lt;$F19+($G19*$I19)),"➤",""),"")</f>
        <v/>
      </c>
      <c r="FF19" s="76" t="str">
        <f aca="false">IF($I19&gt;0%,IF(AND(FF$16&gt;=$F19,FF$16&lt;$F19+($G19*$I19)),"➤",""),"")</f>
        <v/>
      </c>
      <c r="FG19" s="76" t="str">
        <f aca="false">IF($I19&gt;0%,IF(AND(FG$16&gt;=$F19,FG$16&lt;$F19+($G19*$I19)),"➤",""),"")</f>
        <v/>
      </c>
      <c r="FH19" s="76" t="str">
        <f aca="false">IF($I19&gt;0%,IF(AND(FH$16&gt;=$F19,FH$16&lt;$F19+($G19*$I19)),"➤",""),"")</f>
        <v/>
      </c>
      <c r="FI19" s="76" t="str">
        <f aca="false">IF($I19&gt;0%,IF(AND(FI$16&gt;=$F19,FI$16&lt;$F19+($G19*$I19)),"➤",""),"")</f>
        <v/>
      </c>
      <c r="FJ19" s="76" t="str">
        <f aca="false">IF($I19&gt;0%,IF(AND(FJ$16&gt;=$F19,FJ$16&lt;$F19+($G19*$I19)),"➤",""),"")</f>
        <v/>
      </c>
      <c r="FK19" s="76" t="str">
        <f aca="false">IF($I19&gt;0%,IF(AND(FK$16&gt;=$F19,FK$16&lt;$F19+($G19*$I19)),"➤",""),"")</f>
        <v/>
      </c>
      <c r="FL19" s="76" t="str">
        <f aca="false">IF($I19&gt;0%,IF(AND(FL$16&gt;=$F19,FL$16&lt;$F19+($G19*$I19)),"➤",""),"")</f>
        <v/>
      </c>
      <c r="FM19" s="76" t="str">
        <f aca="false">IF($I19&gt;0%,IF(AND(FM$16&gt;=$F19,FM$16&lt;$F19+($G19*$I19)),"➤",""),"")</f>
        <v/>
      </c>
      <c r="FN19" s="76" t="str">
        <f aca="false">IF($I19&gt;0%,IF(AND(FN$16&gt;=$F19,FN$16&lt;$F19+($G19*$I19)),"➤",""),"")</f>
        <v/>
      </c>
      <c r="FO19" s="76" t="str">
        <f aca="false">IF($I19&gt;0%,IF(AND(FO$16&gt;=$F19,FO$16&lt;$F19+($G19*$I19)),"➤",""),"")</f>
        <v/>
      </c>
      <c r="FP19" s="76" t="str">
        <f aca="false">IF($I19&gt;0%,IF(AND(FP$16&gt;=$F19,FP$16&lt;$F19+($G19*$I19)),"➤",""),"")</f>
        <v/>
      </c>
      <c r="FQ19" s="76" t="str">
        <f aca="false">IF($I19&gt;0%,IF(AND(FQ$16&gt;=$F19,FQ$16&lt;$F19+($G19*$I19)),"➤",""),"")</f>
        <v/>
      </c>
      <c r="FR19" s="76" t="str">
        <f aca="false">IF($I19&gt;0%,IF(AND(FR$16&gt;=$F19,FR$16&lt;$F19+($G19*$I19)),"➤",""),"")</f>
        <v/>
      </c>
      <c r="FS19" s="76" t="str">
        <f aca="false">IF($I19&gt;0%,IF(AND(FS$16&gt;=$F19,FS$16&lt;$F19+($G19*$I19)),"➤",""),"")</f>
        <v/>
      </c>
      <c r="FT19" s="76" t="str">
        <f aca="false">IF($I19&gt;0%,IF(AND(FT$16&gt;=$F19,FT$16&lt;$F19+($G19*$I19)),"➤",""),"")</f>
        <v/>
      </c>
      <c r="FU19" s="76" t="str">
        <f aca="false">IF($I19&gt;0%,IF(AND(FU$16&gt;=$F19,FU$16&lt;$F19+($G19*$I19)),"➤",""),"")</f>
        <v/>
      </c>
      <c r="FV19" s="76" t="str">
        <f aca="false">IF($I19&gt;0%,IF(AND(FV$16&gt;=$F19,FV$16&lt;$F19+($G19*$I19)),"➤",""),"")</f>
        <v/>
      </c>
      <c r="FW19" s="76" t="str">
        <f aca="false">IF($I19&gt;0%,IF(AND(FW$16&gt;=$F19,FW$16&lt;$F19+($G19*$I19)),"➤",""),"")</f>
        <v/>
      </c>
      <c r="FX19" s="76" t="str">
        <f aca="false">IF($I19&gt;0%,IF(AND(FX$16&gt;=$F19,FX$16&lt;$F19+($G19*$I19)),"➤",""),"")</f>
        <v/>
      </c>
      <c r="FY19" s="76" t="str">
        <f aca="false">IF($I19&gt;0%,IF(AND(FY$16&gt;=$F19,FY$16&lt;$F19+($G19*$I19)),"➤",""),"")</f>
        <v/>
      </c>
      <c r="FZ19" s="76" t="str">
        <f aca="false">IF($I19&gt;0%,IF(AND(FZ$16&gt;=$F19,FZ$16&lt;$F19+($G19*$I19)),"➤",""),"")</f>
        <v/>
      </c>
      <c r="GA19" s="76" t="str">
        <f aca="false">IF($I19&gt;0%,IF(AND(GA$16&gt;=$F19,GA$16&lt;$F19+($G19*$I19)),"➤",""),"")</f>
        <v/>
      </c>
      <c r="GB19" s="76" t="str">
        <f aca="false">IF($I19&gt;0%,IF(AND(GB$16&gt;=$F19,GB$16&lt;$F19+($G19*$I19)),"➤",""),"")</f>
        <v/>
      </c>
      <c r="GC19" s="76" t="str">
        <f aca="false">IF($I19&gt;0%,IF(AND(GC$16&gt;=$F19,GC$16&lt;$F19+($G19*$I19)),"➤",""),"")</f>
        <v/>
      </c>
      <c r="GD19" s="76" t="str">
        <f aca="false">IF($I19&gt;0%,IF(AND(GD$16&gt;=$F19,GD$16&lt;$F19+($G19*$I19)),"➤",""),"")</f>
        <v/>
      </c>
      <c r="GE19" s="76" t="str">
        <f aca="false">IF($I19&gt;0%,IF(AND(GE$16&gt;=$F19,GE$16&lt;$F19+($G19*$I19)),"➤",""),"")</f>
        <v/>
      </c>
      <c r="GF19" s="76" t="str">
        <f aca="false">IF($I19&gt;0%,IF(AND(GF$16&gt;=$F19,GF$16&lt;$F19+($G19*$I19)),"➤",""),"")</f>
        <v/>
      </c>
      <c r="GG19" s="76" t="str">
        <f aca="false">IF($I19&gt;0%,IF(AND(GG$16&gt;=$F19,GG$16&lt;$F19+($G19*$I19)),"➤",""),"")</f>
        <v/>
      </c>
      <c r="GH19" s="76" t="str">
        <f aca="false">IF($I19&gt;0%,IF(AND(GH$16&gt;=$F19,GH$16&lt;$F19+($G19*$I19)),"➤",""),"")</f>
        <v/>
      </c>
      <c r="GI19" s="76" t="str">
        <f aca="false">IF($I19&gt;0%,IF(AND(GI$16&gt;=$F19,GI$16&lt;$F19+($G19*$I19)),"➤",""),"")</f>
        <v/>
      </c>
      <c r="GJ19" s="76" t="str">
        <f aca="false">IF($I19&gt;0%,IF(AND(GJ$16&gt;=$F19,GJ$16&lt;$F19+($G19*$I19)),"➤",""),"")</f>
        <v/>
      </c>
      <c r="GK19" s="76" t="str">
        <f aca="false">IF($I19&gt;0%,IF(AND(GK$16&gt;=$F19,GK$16&lt;$F19+($G19*$I19)),"➤",""),"")</f>
        <v/>
      </c>
      <c r="GL19" s="76" t="str">
        <f aca="false">IF($I19&gt;0%,IF(AND(GL$16&gt;=$F19,GL$16&lt;$F19+($G19*$I19)),"➤",""),"")</f>
        <v/>
      </c>
      <c r="GM19" s="76" t="str">
        <f aca="false">IF($I19&gt;0%,IF(AND(GM$16&gt;=$F19,GM$16&lt;$F19+($G19*$I19)),"➤",""),"")</f>
        <v/>
      </c>
      <c r="GN19" s="76" t="str">
        <f aca="false">IF($I19&gt;0%,IF(AND(GN$16&gt;=$F19,GN$16&lt;$F19+($G19*$I19)),"➤",""),"")</f>
        <v/>
      </c>
      <c r="GO19" s="76" t="str">
        <f aca="false">IF($I19&gt;0%,IF(AND(GO$16&gt;=$F19,GO$16&lt;$F19+($G19*$I19)),"➤",""),"")</f>
        <v/>
      </c>
      <c r="GP19" s="76" t="str">
        <f aca="false">IF($I19&gt;0%,IF(AND(GP$16&gt;=$F19,GP$16&lt;$F19+($G19*$I19)),"➤",""),"")</f>
        <v/>
      </c>
      <c r="GQ19" s="76" t="str">
        <f aca="false">IF($I19&gt;0%,IF(AND(GQ$16&gt;=$F19,GQ$16&lt;$F19+($G19*$I19)),"➤",""),"")</f>
        <v/>
      </c>
      <c r="GR19" s="76" t="str">
        <f aca="false">IF($I19&gt;0%,IF(AND(GR$16&gt;=$F19,GR$16&lt;$F19+($G19*$I19)),"➤",""),"")</f>
        <v/>
      </c>
      <c r="GS19" s="76" t="str">
        <f aca="false">IF($I19&gt;0%,IF(AND(GS$16&gt;=$F19,GS$16&lt;$F19+($G19*$I19)),"➤",""),"")</f>
        <v/>
      </c>
      <c r="GT19" s="76" t="str">
        <f aca="false">IF($I19&gt;0%,IF(AND(GT$16&gt;=$F19,GT$16&lt;$F19+($G19*$I19)),"➤",""),"")</f>
        <v/>
      </c>
      <c r="GU19" s="76" t="str">
        <f aca="false">IF($I19&gt;0%,IF(AND(GU$16&gt;=$F19,GU$16&lt;$F19+($G19*$I19)),"➤",""),"")</f>
        <v/>
      </c>
      <c r="GV19" s="76" t="str">
        <f aca="false">IF($I19&gt;0%,IF(AND(GV$16&gt;=$F19,GV$16&lt;$F19+($G19*$I19)),"➤",""),"")</f>
        <v/>
      </c>
      <c r="GW19" s="76" t="str">
        <f aca="false">IF($I19&gt;0%,IF(AND(GW$16&gt;=$F19,GW$16&lt;$F19+($G19*$I19)),"➤",""),"")</f>
        <v/>
      </c>
      <c r="GX19" s="76" t="str">
        <f aca="false">IF($I19&gt;0%,IF(AND(GX$16&gt;=$F19,GX$16&lt;$F19+($G19*$I19)),"➤",""),"")</f>
        <v/>
      </c>
      <c r="GY19" s="76" t="str">
        <f aca="false">IF($I19&gt;0%,IF(AND(GY$16&gt;=$F19,GY$16&lt;$F19+($G19*$I19)),"➤",""),"")</f>
        <v/>
      </c>
      <c r="GZ19" s="76" t="str">
        <f aca="false">IF($I19&gt;0%,IF(AND(GZ$16&gt;=$F19,GZ$16&lt;$F19+($G19*$I19)),"➤",""),"")</f>
        <v/>
      </c>
      <c r="HA19" s="76" t="str">
        <f aca="false">IF($I19&gt;0%,IF(AND(HA$16&gt;=$F19,HA$16&lt;$F19+($G19*$I19)),"➤",""),"")</f>
        <v/>
      </c>
      <c r="HB19" s="76" t="str">
        <f aca="false">IF($I19&gt;0%,IF(AND(HB$16&gt;=$F19,HB$16&lt;$F19+($G19*$I19)),"➤",""),"")</f>
        <v/>
      </c>
      <c r="HC19" s="76" t="str">
        <f aca="false">IF($I19&gt;0%,IF(AND(HC$16&gt;=$F19,HC$16&lt;$F19+($G19*$I19)),"➤",""),"")</f>
        <v/>
      </c>
      <c r="HD19" s="76" t="str">
        <f aca="false">IF($I19&gt;0%,IF(AND(HD$16&gt;=$F19,HD$16&lt;$F19+($G19*$I19)),"➤",""),"")</f>
        <v/>
      </c>
      <c r="HE19" s="76" t="str">
        <f aca="false">IF($I19&gt;0%,IF(AND(HE$16&gt;=$F19,HE$16&lt;$F19+($G19*$I19)),"➤",""),"")</f>
        <v/>
      </c>
      <c r="HF19" s="76" t="str">
        <f aca="false">IF($I19&gt;0%,IF(AND(HF$16&gt;=$F19,HF$16&lt;$F19+($G19*$I19)),"➤",""),"")</f>
        <v/>
      </c>
      <c r="HG19" s="76" t="str">
        <f aca="false">IF($I19&gt;0%,IF(AND(HG$16&gt;=$F19,HG$16&lt;$F19+($G19*$I19)),"➤",""),"")</f>
        <v/>
      </c>
      <c r="HH19" s="76" t="str">
        <f aca="false">IF($I19&gt;0%,IF(AND(HH$16&gt;=$F19,HH$16&lt;$F19+($G19*$I19)),"➤",""),"")</f>
        <v/>
      </c>
      <c r="HI19" s="76" t="str">
        <f aca="false">IF($I19&gt;0%,IF(AND(HI$16&gt;=$F19,HI$16&lt;$F19+($G19*$I19)),"➤",""),"")</f>
        <v/>
      </c>
      <c r="HJ19" s="76" t="str">
        <f aca="false">IF($I19&gt;0%,IF(AND(HJ$16&gt;=$F19,HJ$16&lt;$F19+($G19*$I19)),"➤",""),"")</f>
        <v/>
      </c>
      <c r="HK19" s="76" t="str">
        <f aca="false">IF($I19&gt;0%,IF(AND(HK$16&gt;=$F19,HK$16&lt;$F19+($G19*$I19)),"➤",""),"")</f>
        <v/>
      </c>
      <c r="HL19" s="76" t="str">
        <f aca="false">IF($I19&gt;0%,IF(AND(HL$16&gt;=$F19,HL$16&lt;$F19+($G19*$I19)),"➤",""),"")</f>
        <v/>
      </c>
      <c r="HM19" s="76" t="str">
        <f aca="false">IF($I19&gt;0%,IF(AND(HM$16&gt;=$F19,HM$16&lt;$F19+($G19*$I19)),"➤",""),"")</f>
        <v/>
      </c>
      <c r="HN19" s="76" t="str">
        <f aca="false">IF($I19&gt;0%,IF(AND(HN$16&gt;=$F19,HN$16&lt;$F19+($G19*$I19)),"➤",""),"")</f>
        <v/>
      </c>
      <c r="HO19" s="76" t="str">
        <f aca="false">IF($I19&gt;0%,IF(AND(HO$16&gt;=$F19,HO$16&lt;$F19+($G19*$I19)),"➤",""),"")</f>
        <v/>
      </c>
      <c r="HP19" s="76" t="str">
        <f aca="false">IF($I19&gt;0%,IF(AND(HP$16&gt;=$F19,HP$16&lt;$F19+($G19*$I19)),"➤",""),"")</f>
        <v/>
      </c>
      <c r="HQ19" s="76" t="str">
        <f aca="false">IF($I19&gt;0%,IF(AND(HQ$16&gt;=$F19,HQ$16&lt;$F19+($G19*$I19)),"➤",""),"")</f>
        <v/>
      </c>
      <c r="HR19" s="76" t="str">
        <f aca="false">IF($I19&gt;0%,IF(AND(HR$16&gt;=$F19,HR$16&lt;$F19+($G19*$I19)),"➤",""),"")</f>
        <v/>
      </c>
      <c r="HS19" s="76" t="str">
        <f aca="false">IF($I19&gt;0%,IF(AND(HS$16&gt;=$F19,HS$16&lt;$F19+($G19*$I19)),"➤",""),"")</f>
        <v/>
      </c>
      <c r="HT19" s="76" t="str">
        <f aca="false">IF($I19&gt;0%,IF(AND(HT$16&gt;=$F19,HT$16&lt;$F19+($G19*$I19)),"➤",""),"")</f>
        <v/>
      </c>
      <c r="HU19" s="76" t="str">
        <f aca="false">IF($I19&gt;0%,IF(AND(HU$16&gt;=$F19,HU$16&lt;$F19+($G19*$I19)),"➤",""),"")</f>
        <v/>
      </c>
      <c r="HV19" s="76" t="str">
        <f aca="false">IF($I19&gt;0%,IF(AND(HV$16&gt;=$F19,HV$16&lt;$F19+($G19*$I19)),"➤",""),"")</f>
        <v/>
      </c>
      <c r="HW19" s="76" t="str">
        <f aca="false">IF($I19&gt;0%,IF(AND(HW$16&gt;=$F19,HW$16&lt;$F19+($G19*$I19)),"➤",""),"")</f>
        <v/>
      </c>
      <c r="HX19" s="76" t="str">
        <f aca="false">IF($I19&gt;0%,IF(AND(HX$16&gt;=$F19,HX$16&lt;$F19+($G19*$I19)),"➤",""),"")</f>
        <v/>
      </c>
      <c r="HY19" s="76" t="str">
        <f aca="false">IF($I19&gt;0%,IF(AND(HY$16&gt;=$F19,HY$16&lt;$F19+($G19*$I19)),"➤",""),"")</f>
        <v/>
      </c>
      <c r="HZ19" s="76" t="str">
        <f aca="false">IF($I19&gt;0%,IF(AND(HZ$16&gt;=$F19,HZ$16&lt;$F19+($G19*$I19)),"➤",""),"")</f>
        <v/>
      </c>
      <c r="IA19" s="76" t="str">
        <f aca="false">IF($I19&gt;0%,IF(AND(IA$16&gt;=$F19,IA$16&lt;$F19+($G19*$I19)),"➤",""),"")</f>
        <v/>
      </c>
      <c r="IB19" s="76" t="str">
        <f aca="false">IF($I19&gt;0%,IF(AND(IB$16&gt;=$F19,IB$16&lt;$F19+($G19*$I19)),"➤",""),"")</f>
        <v/>
      </c>
      <c r="IC19" s="76" t="str">
        <f aca="false">IF($I19&gt;0%,IF(AND(IC$16&gt;=$F19,IC$16&lt;$F19+($G19*$I19)),"➤",""),"")</f>
        <v/>
      </c>
      <c r="ID19" s="76" t="str">
        <f aca="false">IF($I19&gt;0%,IF(AND(ID$16&gt;=$F19,ID$16&lt;$F19+($G19*$I19)),"➤",""),"")</f>
        <v/>
      </c>
      <c r="IE19" s="76" t="str">
        <f aca="false">IF($I19&gt;0%,IF(AND(IE$16&gt;=$F19,IE$16&lt;$F19+($G19*$I19)),"➤",""),"")</f>
        <v/>
      </c>
      <c r="IF19" s="76" t="str">
        <f aca="false">IF($I19&gt;0%,IF(AND(IF$16&gt;=$F19,IF$16&lt;$F19+($G19*$I19)),"➤",""),"")</f>
        <v/>
      </c>
      <c r="IG19" s="76" t="str">
        <f aca="false">IF($I19&gt;0%,IF(AND(IG$16&gt;=$F19,IG$16&lt;$F19+($G19*$I19)),"➤",""),"")</f>
        <v/>
      </c>
      <c r="IH19" s="76" t="str">
        <f aca="false">IF($I19&gt;0%,IF(AND(IH$16&gt;=$F19,IH$16&lt;$F19+($G19*$I19)),"➤",""),"")</f>
        <v/>
      </c>
      <c r="II19" s="76" t="str">
        <f aca="false">IF($I19&gt;0%,IF(AND(II$16&gt;=$F19,II$16&lt;$F19+($G19*$I19)),"➤",""),"")</f>
        <v/>
      </c>
      <c r="IJ19" s="76" t="str">
        <f aca="false">IF($I19&gt;0%,IF(AND(IJ$16&gt;=$F19,IJ$16&lt;$F19+($G19*$I19)),"➤",""),"")</f>
        <v/>
      </c>
      <c r="IK19" s="76" t="str">
        <f aca="false">IF($I19&gt;0%,IF(AND(IK$16&gt;=$F19,IK$16&lt;$F19+($G19*$I19)),"➤",""),"")</f>
        <v/>
      </c>
      <c r="IL19" s="76" t="str">
        <f aca="false">IF($I19&gt;0%,IF(AND(IL$16&gt;=$F19,IL$16&lt;$F19+($G19*$I19)),"➤",""),"")</f>
        <v/>
      </c>
      <c r="IM19" s="76" t="str">
        <f aca="false">IF($I19&gt;0%,IF(AND(IM$16&gt;=$F19,IM$16&lt;$F19+($G19*$I19)),"➤",""),"")</f>
        <v/>
      </c>
      <c r="IN19" s="76" t="str">
        <f aca="false">IF($I19&gt;0%,IF(AND(IN$16&gt;=$F19,IN$16&lt;$F19+($G19*$I19)),"➤",""),"")</f>
        <v/>
      </c>
      <c r="IO19" s="76" t="str">
        <f aca="false">IF($I19&gt;0%,IF(AND(IO$16&gt;=$F19,IO$16&lt;$F19+($G19*$I19)),"➤",""),"")</f>
        <v/>
      </c>
      <c r="IP19" s="76" t="str">
        <f aca="false">IF($I19&gt;0%,IF(AND(IP$16&gt;=$F19,IP$16&lt;$F19+($G19*$I19)),"➤",""),"")</f>
        <v/>
      </c>
      <c r="IQ19" s="76" t="str">
        <f aca="false">IF($I19&gt;0%,IF(AND(IQ$16&gt;=$F19,IQ$16&lt;$F19+($G19*$I19)),"➤",""),"")</f>
        <v/>
      </c>
      <c r="IR19" s="76" t="str">
        <f aca="false">IF($I19&gt;0%,IF(AND(IR$16&gt;=$F19,IR$16&lt;$F19+($G19*$I19)),"➤",""),"")</f>
        <v/>
      </c>
      <c r="IS19" s="76" t="str">
        <f aca="false">IF($I19&gt;0%,IF(AND(IS$16&gt;=$F19,IS$16&lt;$F19+($G19*$I19)),"➤",""),"")</f>
        <v/>
      </c>
      <c r="IT19" s="76" t="str">
        <f aca="false">IF($I19&gt;0%,IF(AND(IT$16&gt;=$F19,IT$16&lt;$F19+($G19*$I19)),"➤",""),"")</f>
        <v/>
      </c>
      <c r="IU19" s="76" t="str">
        <f aca="false">IF($I19&gt;0%,IF(AND(IU$16&gt;=$F19,IU$16&lt;$F19+($G19*$I19)),"➤",""),"")</f>
        <v/>
      </c>
      <c r="IV19" s="76" t="str">
        <f aca="false">IF($I19&gt;0%,IF(AND(IV$16&gt;=$F19,IV$16&lt;$F19+($G19*$I19)),"➤",""),"")</f>
        <v/>
      </c>
      <c r="IW19" s="76" t="str">
        <f aca="false">IF($I19&gt;0%,IF(AND(IW$16&gt;=$F19,IW$16&lt;$F19+($G19*$I19)),"➤",""),"")</f>
        <v/>
      </c>
      <c r="IX19" s="76" t="str">
        <f aca="false">IF($I19&gt;0%,IF(AND(IX$16&gt;=$F19,IX$16&lt;$F19+($G19*$I19)),"➤",""),"")</f>
        <v/>
      </c>
      <c r="IY19" s="76" t="str">
        <f aca="false">IF($I19&gt;0%,IF(AND(IY$16&gt;=$F19,IY$16&lt;$F19+($G19*$I19)),"➤",""),"")</f>
        <v/>
      </c>
      <c r="IZ19" s="76" t="str">
        <f aca="false">IF($I19&gt;0%,IF(AND(IZ$16&gt;=$F19,IZ$16&lt;$F19+($G19*$I19)),"➤",""),"")</f>
        <v/>
      </c>
      <c r="JA19" s="76" t="str">
        <f aca="false">IF($I19&gt;0%,IF(AND(JA$16&gt;=$F19,JA$16&lt;$F19+($G19*$I19)),"➤",""),"")</f>
        <v/>
      </c>
      <c r="JB19" s="76" t="str">
        <f aca="false">IF($I19&gt;0%,IF(AND(JB$16&gt;=$F19,JB$16&lt;$F19+($G19*$I19)),"➤",""),"")</f>
        <v/>
      </c>
      <c r="JC19" s="76" t="str">
        <f aca="false">IF($I19&gt;0%,IF(AND(JC$16&gt;=$F19,JC$16&lt;$F19+($G19*$I19)),"➤",""),"")</f>
        <v/>
      </c>
      <c r="JD19" s="76" t="str">
        <f aca="false">IF($I19&gt;0%,IF(AND(JD$16&gt;=$F19,JD$16&lt;$F19+($G19*$I19)),"➤",""),"")</f>
        <v/>
      </c>
      <c r="JE19" s="76" t="str">
        <f aca="false">IF($I19&gt;0%,IF(AND(JE$16&gt;=$F19,JE$16&lt;$F19+($G19*$I19)),"➤",""),"")</f>
        <v/>
      </c>
      <c r="JF19" s="76" t="str">
        <f aca="false">IF($I19&gt;0%,IF(AND(JF$16&gt;=$F19,JF$16&lt;$F19+($G19*$I19)),"➤",""),"")</f>
        <v/>
      </c>
      <c r="JG19" s="76" t="str">
        <f aca="false">IF($I19&gt;0%,IF(AND(JG$16&gt;=$F19,JG$16&lt;$F19+($G19*$I19)),"➤",""),"")</f>
        <v/>
      </c>
      <c r="JH19" s="76" t="str">
        <f aca="false">IF($I19&gt;0%,IF(AND(JH$16&gt;=$F19,JH$16&lt;$F19+($G19*$I19)),"➤",""),"")</f>
        <v/>
      </c>
      <c r="JI19" s="76" t="str">
        <f aca="false">IF($I19&gt;0%,IF(AND(JI$16&gt;=$F19,JI$16&lt;$F19+($G19*$I19)),"➤",""),"")</f>
        <v/>
      </c>
      <c r="JJ19" s="76" t="str">
        <f aca="false">IF($I19&gt;0%,IF(AND(JJ$16&gt;=$F19,JJ$16&lt;$F19+($G19*$I19)),"➤",""),"")</f>
        <v/>
      </c>
      <c r="JK19" s="76" t="str">
        <f aca="false">IF($I19&gt;0%,IF(AND(JK$16&gt;=$F19,JK$16&lt;$F19+($G19*$I19)),"➤",""),"")</f>
        <v/>
      </c>
      <c r="JL19" s="76" t="str">
        <f aca="false">IF($I19&gt;0%,IF(AND(JL$16&gt;=$F19,JL$16&lt;$F19+($G19*$I19)),"➤",""),"")</f>
        <v/>
      </c>
      <c r="JM19" s="76" t="str">
        <f aca="false">IF($I19&gt;0%,IF(AND(JM$16&gt;=$F19,JM$16&lt;$F19+($G19*$I19)),"➤",""),"")</f>
        <v/>
      </c>
      <c r="JN19" s="76" t="str">
        <f aca="false">IF($I19&gt;0%,IF(AND(JN$16&gt;=$F19,JN$16&lt;$F19+($G19*$I19)),"➤",""),"")</f>
        <v/>
      </c>
      <c r="JO19" s="76" t="str">
        <f aca="false">IF($I19&gt;0%,IF(AND(JO$16&gt;=$F19,JO$16&lt;$F19+($G19*$I19)),"➤",""),"")</f>
        <v/>
      </c>
      <c r="JP19" s="76" t="str">
        <f aca="false">IF($I19&gt;0%,IF(AND(JP$16&gt;=$F19,JP$16&lt;$F19+($G19*$I19)),"➤",""),"")</f>
        <v/>
      </c>
      <c r="JQ19" s="76" t="str">
        <f aca="false">IF($I19&gt;0%,IF(AND(JQ$16&gt;=$F19,JQ$16&lt;$F19+($G19*$I19)),"➤",""),"")</f>
        <v/>
      </c>
      <c r="JR19" s="76" t="str">
        <f aca="false">IF($I19&gt;0%,IF(AND(JR$16&gt;=$F19,JR$16&lt;$F19+($G19*$I19)),"➤",""),"")</f>
        <v/>
      </c>
      <c r="JS19" s="76" t="str">
        <f aca="false">IF($I19&gt;0%,IF(AND(JS$16&gt;=$F19,JS$16&lt;$F19+($G19*$I19)),"➤",""),"")</f>
        <v/>
      </c>
      <c r="JT19" s="76" t="str">
        <f aca="false">IF($I19&gt;0%,IF(AND(JT$16&gt;=$F19,JT$16&lt;$F19+($G19*$I19)),"➤",""),"")</f>
        <v/>
      </c>
      <c r="JU19" s="76" t="str">
        <f aca="false">IF($I19&gt;0%,IF(AND(JU$16&gt;=$F19,JU$16&lt;$F19+($G19*$I19)),"➤",""),"")</f>
        <v/>
      </c>
      <c r="JV19" s="76" t="str">
        <f aca="false">IF($I19&gt;0%,IF(AND(JV$16&gt;=$F19,JV$16&lt;$F19+($G19*$I19)),"➤",""),"")</f>
        <v/>
      </c>
      <c r="JW19" s="76" t="str">
        <f aca="false">IF($I19&gt;0%,IF(AND(JW$16&gt;=$F19,JW$16&lt;$F19+($G19*$I19)),"➤",""),"")</f>
        <v/>
      </c>
      <c r="JX19" s="76" t="str">
        <f aca="false">IF($I19&gt;0%,IF(AND(JX$16&gt;=$F19,JX$16&lt;$F19+($G19*$I19)),"➤",""),"")</f>
        <v/>
      </c>
      <c r="JY19" s="76" t="str">
        <f aca="false">IF($I19&gt;0%,IF(AND(JY$16&gt;=$F19,JY$16&lt;$F19+($G19*$I19)),"➤",""),"")</f>
        <v/>
      </c>
      <c r="JZ19" s="76" t="str">
        <f aca="false">IF($I19&gt;0%,IF(AND(JZ$16&gt;=$F19,JZ$16&lt;$F19+($G19*$I19)),"➤",""),"")</f>
        <v/>
      </c>
      <c r="KA19" s="76" t="str">
        <f aca="false">IF($I19&gt;0%,IF(AND(KA$16&gt;=$F19,KA$16&lt;$F19+($G19*$I19)),"➤",""),"")</f>
        <v/>
      </c>
      <c r="KB19" s="76" t="str">
        <f aca="false">IF($I19&gt;0%,IF(AND(KB$16&gt;=$F19,KB$16&lt;$F19+($G19*$I19)),"➤",""),"")</f>
        <v/>
      </c>
      <c r="KC19" s="76" t="str">
        <f aca="false">IF($I19&gt;0%,IF(AND(KC$16&gt;=$F19,KC$16&lt;$F19+($G19*$I19)),"➤",""),"")</f>
        <v/>
      </c>
      <c r="KD19" s="76" t="str">
        <f aca="false">IF($I19&gt;0%,IF(AND(KD$16&gt;=$F19,KD$16&lt;$F19+($G19*$I19)),"➤",""),"")</f>
        <v/>
      </c>
      <c r="KE19" s="76" t="str">
        <f aca="false">IF($I19&gt;0%,IF(AND(KE$16&gt;=$F19,KE$16&lt;$F19+($G19*$I19)),"➤",""),"")</f>
        <v/>
      </c>
      <c r="KF19" s="76" t="str">
        <f aca="false">IF($I19&gt;0%,IF(AND(KF$16&gt;=$F19,KF$16&lt;$F19+($G19*$I19)),"➤",""),"")</f>
        <v/>
      </c>
      <c r="KG19" s="76" t="str">
        <f aca="false">IF($I19&gt;0%,IF(AND(KG$16&gt;=$F19,KG$16&lt;$F19+($G19*$I19)),"➤",""),"")</f>
        <v/>
      </c>
      <c r="KH19" s="76" t="str">
        <f aca="false">IF($I19&gt;0%,IF(AND(KH$16&gt;=$F19,KH$16&lt;$F19+($G19*$I19)),"➤",""),"")</f>
        <v/>
      </c>
      <c r="KI19" s="76" t="str">
        <f aca="false">IF($I19&gt;0%,IF(AND(KI$16&gt;=$F19,KI$16&lt;$F19+($G19*$I19)),"➤",""),"")</f>
        <v/>
      </c>
      <c r="KJ19" s="76" t="str">
        <f aca="false">IF($I19&gt;0%,IF(AND(KJ$16&gt;=$F19,KJ$16&lt;$F19+($G19*$I19)),"➤",""),"")</f>
        <v/>
      </c>
      <c r="KK19" s="76" t="str">
        <f aca="false">IF($I19&gt;0%,IF(AND(KK$16&gt;=$F19,KK$16&lt;$F19+($G19*$I19)),"➤",""),"")</f>
        <v/>
      </c>
      <c r="KL19" s="76" t="str">
        <f aca="false">IF($I19&gt;0%,IF(AND(KL$16&gt;=$F19,KL$16&lt;$F19+($G19*$I19)),"➤",""),"")</f>
        <v/>
      </c>
      <c r="KM19" s="76" t="str">
        <f aca="false">IF($I19&gt;0%,IF(AND(KM$16&gt;=$F19,KM$16&lt;$F19+($G19*$I19)),"➤",""),"")</f>
        <v/>
      </c>
      <c r="KN19" s="76" t="str">
        <f aca="false">IF($I19&gt;0%,IF(AND(KN$16&gt;=$F19,KN$16&lt;$F19+($G19*$I19)),"➤",""),"")</f>
        <v/>
      </c>
      <c r="KO19" s="76" t="str">
        <f aca="false">IF($I19&gt;0%,IF(AND(KO$16&gt;=$F19,KO$16&lt;$F19+($G19*$I19)),"➤",""),"")</f>
        <v/>
      </c>
      <c r="KP19" s="76" t="str">
        <f aca="false">IF($I19&gt;0%,IF(AND(KP$16&gt;=$F19,KP$16&lt;$F19+($G19*$I19)),"➤",""),"")</f>
        <v/>
      </c>
      <c r="KQ19" s="76" t="str">
        <f aca="false">IF($I19&gt;0%,IF(AND(KQ$16&gt;=$F19,KQ$16&lt;$F19+($G19*$I19)),"➤",""),"")</f>
        <v/>
      </c>
      <c r="KR19" s="76" t="str">
        <f aca="false">IF($I19&gt;0%,IF(AND(KR$16&gt;=$F19,KR$16&lt;$F19+($G19*$I19)),"➤",""),"")</f>
        <v/>
      </c>
      <c r="KS19" s="76" t="str">
        <f aca="false">IF($I19&gt;0%,IF(AND(KS$16&gt;=$F19,KS$16&lt;$F19+($G19*$I19)),"➤",""),"")</f>
        <v/>
      </c>
      <c r="KT19" s="76" t="str">
        <f aca="false">IF($I19&gt;0%,IF(AND(KT$16&gt;=$F19,KT$16&lt;$F19+($G19*$I19)),"➤",""),"")</f>
        <v/>
      </c>
      <c r="KU19" s="76" t="str">
        <f aca="false">IF($I19&gt;0%,IF(AND(KU$16&gt;=$F19,KU$16&lt;$F19+($G19*$I19)),"➤",""),"")</f>
        <v/>
      </c>
      <c r="KV19" s="76" t="str">
        <f aca="false">IF($I19&gt;0%,IF(AND(KV$16&gt;=$F19,KV$16&lt;$F19+($G19*$I19)),"➤",""),"")</f>
        <v/>
      </c>
      <c r="KW19" s="76" t="str">
        <f aca="false">IF($I19&gt;0%,IF(AND(KW$16&gt;=$F19,KW$16&lt;$F19+($G19*$I19)),"➤",""),"")</f>
        <v/>
      </c>
      <c r="KX19" s="76" t="str">
        <f aca="false">IF($I19&gt;0%,IF(AND(KX$16&gt;=$F19,KX$16&lt;$F19+($G19*$I19)),"➤",""),"")</f>
        <v/>
      </c>
      <c r="KY19" s="76" t="str">
        <f aca="false">IF($I19&gt;0%,IF(AND(KY$16&gt;=$F19,KY$16&lt;$F19+($G19*$I19)),"➤",""),"")</f>
        <v/>
      </c>
      <c r="KZ19" s="76" t="str">
        <f aca="false">IF($I19&gt;0%,IF(AND(KZ$16&gt;=$F19,KZ$16&lt;$F19+($G19*$I19)),"➤",""),"")</f>
        <v/>
      </c>
      <c r="LA19" s="76" t="str">
        <f aca="false">IF($I19&gt;0%,IF(AND(LA$16&gt;=$F19,LA$16&lt;$F19+($G19*$I19)),"➤",""),"")</f>
        <v/>
      </c>
      <c r="LB19" s="76" t="str">
        <f aca="false">IF($I19&gt;0%,IF(AND(LB$16&gt;=$F19,LB$16&lt;$F19+($G19*$I19)),"➤",""),"")</f>
        <v/>
      </c>
      <c r="LC19" s="76" t="str">
        <f aca="false">IF($I19&gt;0%,IF(AND(LC$16&gt;=$F19,LC$16&lt;$F19+($G19*$I19)),"➤",""),"")</f>
        <v/>
      </c>
      <c r="LD19" s="76" t="str">
        <f aca="false">IF($I19&gt;0%,IF(AND(LD$16&gt;=$F19,LD$16&lt;$F19+($G19*$I19)),"➤",""),"")</f>
        <v/>
      </c>
      <c r="LE19" s="76" t="str">
        <f aca="false">IF($I19&gt;0%,IF(AND(LE$16&gt;=$F19,LE$16&lt;$F19+($G19*$I19)),"➤",""),"")</f>
        <v/>
      </c>
      <c r="LF19" s="76" t="str">
        <f aca="false">IF($I19&gt;0%,IF(AND(LF$16&gt;=$F19,LF$16&lt;$F19+($G19*$I19)),"➤",""),"")</f>
        <v/>
      </c>
      <c r="LG19" s="76" t="str">
        <f aca="false">IF($I19&gt;0%,IF(AND(LG$16&gt;=$F19,LG$16&lt;$F19+($G19*$I19)),"➤",""),"")</f>
        <v/>
      </c>
      <c r="LH19" s="76" t="str">
        <f aca="false">IF($I19&gt;0%,IF(AND(LH$16&gt;=$F19,LH$16&lt;$F19+($G19*$I19)),"➤",""),"")</f>
        <v/>
      </c>
      <c r="LI19" s="76" t="str">
        <f aca="false">IF($I19&gt;0%,IF(AND(LI$16&gt;=$F19,LI$16&lt;$F19+($G19*$I19)),"➤",""),"")</f>
        <v/>
      </c>
      <c r="LJ19" s="76" t="str">
        <f aca="false">IF($I19&gt;0%,IF(AND(LJ$16&gt;=$F19,LJ$16&lt;$F19+($G19*$I19)),"➤",""),"")</f>
        <v/>
      </c>
      <c r="LK19" s="76" t="str">
        <f aca="false">IF($I19&gt;0%,IF(AND(LK$16&gt;=$F19,LK$16&lt;$F19+($G19*$I19)),"➤",""),"")</f>
        <v/>
      </c>
      <c r="LL19" s="76" t="str">
        <f aca="false">IF($I19&gt;0%,IF(AND(LL$16&gt;=$F19,LL$16&lt;$F19+($G19*$I19)),"➤",""),"")</f>
        <v/>
      </c>
      <c r="LM19" s="76" t="str">
        <f aca="false">IF($I19&gt;0%,IF(AND(LM$16&gt;=$F19,LM$16&lt;$F19+($G19*$I19)),"➤",""),"")</f>
        <v/>
      </c>
      <c r="LN19" s="76" t="str">
        <f aca="false">IF($I19&gt;0%,IF(AND(LN$16&gt;=$F19,LN$16&lt;$F19+($G19*$I19)),"➤",""),"")</f>
        <v/>
      </c>
      <c r="LO19" s="76" t="str">
        <f aca="false">IF($I19&gt;0%,IF(AND(LO$16&gt;=$F19,LO$16&lt;$F19+($G19*$I19)),"➤",""),"")</f>
        <v/>
      </c>
      <c r="LP19" s="76" t="str">
        <f aca="false">IF($I19&gt;0%,IF(AND(LP$16&gt;=$F19,LP$16&lt;$F19+($G19*$I19)),"➤",""),"")</f>
        <v/>
      </c>
      <c r="LQ19" s="76" t="str">
        <f aca="false">IF($I19&gt;0%,IF(AND(LQ$16&gt;=$F19,LQ$16&lt;$F19+($G19*$I19)),"➤",""),"")</f>
        <v/>
      </c>
      <c r="LR19" s="76" t="str">
        <f aca="false">IF($I19&gt;0%,IF(AND(LR$16&gt;=$F19,LR$16&lt;$F19+($G19*$I19)),"➤",""),"")</f>
        <v/>
      </c>
      <c r="LS19" s="76" t="str">
        <f aca="false">IF($I19&gt;0%,IF(AND(LS$16&gt;=$F19,LS$16&lt;$F19+($G19*$I19)),"➤",""),"")</f>
        <v/>
      </c>
      <c r="LT19" s="76" t="str">
        <f aca="false">IF($I19&gt;0%,IF(AND(LT$16&gt;=$F19,LT$16&lt;$F19+($G19*$I19)),"➤",""),"")</f>
        <v/>
      </c>
      <c r="LU19" s="76" t="str">
        <f aca="false">IF($I19&gt;0%,IF(AND(LU$16&gt;=$F19,LU$16&lt;$F19+($G19*$I19)),"➤",""),"")</f>
        <v/>
      </c>
      <c r="LV19" s="76" t="str">
        <f aca="false">IF($I19&gt;0%,IF(AND(LV$16&gt;=$F19,LV$16&lt;$F19+($G19*$I19)),"➤",""),"")</f>
        <v/>
      </c>
      <c r="LW19" s="76" t="str">
        <f aca="false">IF($I19&gt;0%,IF(AND(LW$16&gt;=$F19,LW$16&lt;$F19+($G19*$I19)),"➤",""),"")</f>
        <v/>
      </c>
      <c r="LX19" s="76" t="str">
        <f aca="false">IF($I19&gt;0%,IF(AND(LX$16&gt;=$F19,LX$16&lt;$F19+($G19*$I19)),"➤",""),"")</f>
        <v/>
      </c>
      <c r="LY19" s="76" t="str">
        <f aca="false">IF($I19&gt;0%,IF(AND(LY$16&gt;=$F19,LY$16&lt;$F19+($G19*$I19)),"➤",""),"")</f>
        <v/>
      </c>
      <c r="LZ19" s="76" t="str">
        <f aca="false">IF($I19&gt;0%,IF(AND(LZ$16&gt;=$F19,LZ$16&lt;$F19+($G19*$I19)),"➤",""),"")</f>
        <v/>
      </c>
      <c r="MA19" s="76" t="str">
        <f aca="false">IF($I19&gt;0%,IF(AND(MA$16&gt;=$F19,MA$16&lt;$F19+($G19*$I19)),"➤",""),"")</f>
        <v/>
      </c>
      <c r="MB19" s="76" t="str">
        <f aca="false">IF($I19&gt;0%,IF(AND(MB$16&gt;=$F19,MB$16&lt;$F19+($G19*$I19)),"➤",""),"")</f>
        <v/>
      </c>
      <c r="MC19" s="76" t="str">
        <f aca="false">IF($I19&gt;0%,IF(AND(MC$16&gt;=$F19,MC$16&lt;$F19+($G19*$I19)),"➤",""),"")</f>
        <v/>
      </c>
      <c r="MD19" s="76" t="str">
        <f aca="false">IF($I19&gt;0%,IF(AND(MD$16&gt;=$F19,MD$16&lt;$F19+($G19*$I19)),"➤",""),"")</f>
        <v/>
      </c>
      <c r="ME19" s="76" t="str">
        <f aca="false">IF($I19&gt;0%,IF(AND(ME$16&gt;=$F19,ME$16&lt;$F19+($G19*$I19)),"➤",""),"")</f>
        <v/>
      </c>
      <c r="MF19" s="76" t="str">
        <f aca="false">IF($I19&gt;0%,IF(AND(MF$16&gt;=$F19,MF$16&lt;$F19+($G19*$I19)),"➤",""),"")</f>
        <v/>
      </c>
      <c r="MG19" s="76" t="str">
        <f aca="false">IF($I19&gt;0%,IF(AND(MG$16&gt;=$F19,MG$16&lt;$F19+($G19*$I19)),"➤",""),"")</f>
        <v/>
      </c>
      <c r="MH19" s="76" t="str">
        <f aca="false">IF($I19&gt;0%,IF(AND(MH$16&gt;=$F19,MH$16&lt;$F19+($G19*$I19)),"➤",""),"")</f>
        <v/>
      </c>
      <c r="MI19" s="76" t="str">
        <f aca="false">IF($I19&gt;0%,IF(AND(MI$16&gt;=$F19,MI$16&lt;$F19+($G19*$I19)),"➤",""),"")</f>
        <v/>
      </c>
      <c r="MJ19" s="76" t="str">
        <f aca="false">IF($I19&gt;0%,IF(AND(MJ$16&gt;=$F19,MJ$16&lt;$F19+($G19*$I19)),"➤",""),"")</f>
        <v/>
      </c>
      <c r="MK19" s="76" t="str">
        <f aca="false">IF($I19&gt;0%,IF(AND(MK$16&gt;=$F19,MK$16&lt;$F19+($G19*$I19)),"➤",""),"")</f>
        <v/>
      </c>
      <c r="ML19" s="76" t="str">
        <f aca="false">IF($I19&gt;0%,IF(AND(ML$16&gt;=$F19,ML$16&lt;$F19+($G19*$I19)),"➤",""),"")</f>
        <v/>
      </c>
      <c r="MM19" s="76" t="str">
        <f aca="false">IF($I19&gt;0%,IF(AND(MM$16&gt;=$F19,MM$16&lt;$F19+($G19*$I19)),"➤",""),"")</f>
        <v/>
      </c>
      <c r="MN19" s="76" t="str">
        <f aca="false">IF($I19&gt;0%,IF(AND(MN$16&gt;=$F19,MN$16&lt;$F19+($G19*$I19)),"➤",""),"")</f>
        <v/>
      </c>
      <c r="MO19" s="76" t="str">
        <f aca="false">IF($I19&gt;0%,IF(AND(MO$16&gt;=$F19,MO$16&lt;$F19+($G19*$I19)),"➤",""),"")</f>
        <v/>
      </c>
      <c r="MP19" s="76" t="str">
        <f aca="false">IF($I19&gt;0%,IF(AND(MP$16&gt;=$F19,MP$16&lt;$F19+($G19*$I19)),"➤",""),"")</f>
        <v/>
      </c>
      <c r="MQ19" s="76" t="str">
        <f aca="false">IF($I19&gt;0%,IF(AND(MQ$16&gt;=$F19,MQ$16&lt;$F19+($G19*$I19)),"➤",""),"")</f>
        <v/>
      </c>
      <c r="MR19" s="76" t="str">
        <f aca="false">IF($I19&gt;0%,IF(AND(MR$16&gt;=$F19,MR$16&lt;$F19+($G19*$I19)),"➤",""),"")</f>
        <v/>
      </c>
      <c r="MS19" s="76" t="str">
        <f aca="false">IF($I19&gt;0%,IF(AND(MS$16&gt;=$F19,MS$16&lt;$F19+($G19*$I19)),"➤",""),"")</f>
        <v/>
      </c>
      <c r="MT19" s="76" t="str">
        <f aca="false">IF($I19&gt;0%,IF(AND(MT$16&gt;=$F19,MT$16&lt;$F19+($G19*$I19)),"➤",""),"")</f>
        <v/>
      </c>
      <c r="MU19" s="76" t="str">
        <f aca="false">IF($I19&gt;0%,IF(AND(MU$16&gt;=$F19,MU$16&lt;$F19+($G19*$I19)),"➤",""),"")</f>
        <v/>
      </c>
      <c r="MV19" s="76" t="str">
        <f aca="false">IF($I19&gt;0%,IF(AND(MV$16&gt;=$F19,MV$16&lt;$F19+($G19*$I19)),"➤",""),"")</f>
        <v/>
      </c>
      <c r="MW19" s="76" t="str">
        <f aca="false">IF($I19&gt;0%,IF(AND(MW$16&gt;=$F19,MW$16&lt;$F19+($G19*$I19)),"➤",""),"")</f>
        <v/>
      </c>
      <c r="MX19" s="76" t="str">
        <f aca="false">IF($I19&gt;0%,IF(AND(MX$16&gt;=$F19,MX$16&lt;$F19+($G19*$I19)),"➤",""),"")</f>
        <v/>
      </c>
      <c r="MY19" s="76" t="str">
        <f aca="false">IF($I19&gt;0%,IF(AND(MY$16&gt;=$F19,MY$16&lt;$F19+($G19*$I19)),"➤",""),"")</f>
        <v/>
      </c>
      <c r="MZ19" s="76" t="str">
        <f aca="false">IF($I19&gt;0%,IF(AND(MZ$16&gt;=$F19,MZ$16&lt;$F19+($G19*$I19)),"➤",""),"")</f>
        <v/>
      </c>
      <c r="NA19" s="76" t="str">
        <f aca="false">IF($I19&gt;0%,IF(AND(NA$16&gt;=$F19,NA$16&lt;$F19+($G19*$I19)),"➤",""),"")</f>
        <v/>
      </c>
      <c r="NB19" s="76" t="str">
        <f aca="false">IF($I19&gt;0%,IF(AND(NB$16&gt;=$F19,NB$16&lt;$F19+($G19*$I19)),"➤",""),"")</f>
        <v/>
      </c>
      <c r="NC19" s="76" t="str">
        <f aca="false">IF($I19&gt;0%,IF(AND(NC$16&gt;=$F19,NC$16&lt;$F19+($G19*$I19)),"➤",""),"")</f>
        <v/>
      </c>
      <c r="ND19" s="76" t="str">
        <f aca="false">IF($I19&gt;0%,IF(AND(ND$16&gt;=$F19,ND$16&lt;$F19+($G19*$I19)),"➤",""),"")</f>
        <v/>
      </c>
      <c r="NE19" s="76" t="str">
        <f aca="false">IF($I19&gt;0%,IF(AND(NE$16&gt;=$F19,NE$16&lt;$F19+($G19*$I19)),"➤",""),"")</f>
        <v/>
      </c>
      <c r="NF19" s="76" t="str">
        <f aca="false">IF($I19&gt;0%,IF(AND(NF$16&gt;=$F19,NF$16&lt;$F19+($G19*$I19)),"➤",""),"")</f>
        <v/>
      </c>
      <c r="NG19" s="76" t="str">
        <f aca="false">IF($I19&gt;0%,IF(AND(NG$16&gt;=$F19,NG$16&lt;$F19+($G19*$I19)),"➤",""),"")</f>
        <v/>
      </c>
      <c r="NH19" s="76" t="str">
        <f aca="false">IF($I19&gt;0%,IF(AND(NH$16&gt;=$F19,NH$16&lt;$F19+($G19*$I19)),"➤",""),"")</f>
        <v/>
      </c>
      <c r="NI19" s="76" t="str">
        <f aca="false">IF($I19&gt;0%,IF(AND(NI$16&gt;=$F19,NI$16&lt;$F19+($G19*$I19)),"➤",""),"")</f>
        <v/>
      </c>
      <c r="NJ19" s="76" t="str">
        <f aca="false">IF($I19&gt;0%,IF(AND(NJ$16&gt;=$F19,NJ$16&lt;$F19+($G19*$I19)),"➤",""),"")</f>
        <v/>
      </c>
      <c r="NK19" s="76" t="str">
        <f aca="false">IF($I19&gt;0%,IF(AND(NK$16&gt;=$F19,NK$16&lt;$F19+($G19*$I19)),"➤",""),"")</f>
        <v/>
      </c>
      <c r="NL19" s="76" t="str">
        <f aca="false">IF($I19&gt;0%,IF(AND(NL$16&gt;=$F19,NL$16&lt;$F19+($G19*$I19)),"➤",""),"")</f>
        <v/>
      </c>
      <c r="NM19" s="76" t="str">
        <f aca="false">IF($I19&gt;0%,IF(AND(NM$16&gt;=$F19,NM$16&lt;$F19+($G19*$I19)),"➤",""),"")</f>
        <v/>
      </c>
      <c r="NN19" s="76" t="str">
        <f aca="false">IF($I19&gt;0%,IF(AND(NN$16&gt;=$F19,NN$16&lt;$F19+($G19*$I19)),"➤",""),"")</f>
        <v/>
      </c>
      <c r="NO19" s="76" t="str">
        <f aca="false">IF($I19&gt;0%,IF(AND(NO$16&gt;=$F19,NO$16&lt;$F19+($G19*$I19)),"➤",""),"")</f>
        <v/>
      </c>
      <c r="NP19" s="76" t="str">
        <f aca="false">IF($I19&gt;0%,IF(AND(NP$16&gt;=$F19,NP$16&lt;$F19+($G19*$I19)),"➤",""),"")</f>
        <v/>
      </c>
      <c r="NQ19" s="76" t="str">
        <f aca="false">IF($I19&gt;0%,IF(AND(NQ$16&gt;=$F19,NQ$16&lt;$F19+($G19*$I19)),"➤",""),"")</f>
        <v/>
      </c>
      <c r="NR19" s="76" t="str">
        <f aca="false">IF($I19&gt;0%,IF(AND(NR$16&gt;=$F19,NR$16&lt;$F19+($G19*$I19)),"➤",""),"")</f>
        <v/>
      </c>
      <c r="NS19" s="76" t="str">
        <f aca="false">IF($I19&gt;0%,IF(AND(NS$16&gt;=$F19,NS$16&lt;$F19+($G19*$I19)),"➤",""),"")</f>
        <v/>
      </c>
      <c r="NT19" s="76" t="str">
        <f aca="false">IF($I19&gt;0%,IF(AND(NT$16&gt;=$F19,NT$16&lt;$F19+($G19*$I19)),"➤",""),"")</f>
        <v/>
      </c>
      <c r="NU19" s="76" t="str">
        <f aca="false">IF($I19&gt;0%,IF(AND(NU$16&gt;=$F19,NU$16&lt;$F19+($G19*$I19)),"➤",""),"")</f>
        <v/>
      </c>
      <c r="NV19" s="76" t="str">
        <f aca="false">IF($I19&gt;0%,IF(AND(NV$16&gt;=$F19,NV$16&lt;$F19+($G19*$I19)),"➤",""),"")</f>
        <v/>
      </c>
      <c r="NW19" s="76" t="str">
        <f aca="false">IF($I19&gt;0%,IF(AND(NW$16&gt;=$F19,NW$16&lt;$F19+($G19*$I19)),"➤",""),"")</f>
        <v/>
      </c>
      <c r="NX19" s="76" t="str">
        <f aca="false">IF($I19&gt;0%,IF(AND(NX$16&gt;=$F19,NX$16&lt;$F19+($G19*$I19)),"➤",""),"")</f>
        <v/>
      </c>
      <c r="NY19" s="76" t="str">
        <f aca="false">IF($I19&gt;0%,IF(AND(NY$16&gt;=$F19,NY$16&lt;$F19+($G19*$I19)),"➤",""),"")</f>
        <v/>
      </c>
      <c r="NZ19" s="76" t="str">
        <f aca="false">IF($I19&gt;0%,IF(AND(NZ$16&gt;=$F19,NZ$16&lt;$F19+($G19*$I19)),"➤",""),"")</f>
        <v/>
      </c>
      <c r="OA19" s="76" t="str">
        <f aca="false">IF($I19&gt;0%,IF(AND(OA$16&gt;=$F19,OA$16&lt;$F19+($G19*$I19)),"➤",""),"")</f>
        <v/>
      </c>
      <c r="OB19" s="76" t="str">
        <f aca="false">IF($I19&gt;0%,IF(AND(OB$16&gt;=$F19,OB$16&lt;$F19+($G19*$I19)),"➤",""),"")</f>
        <v/>
      </c>
      <c r="OC19" s="76" t="str">
        <f aca="false">IF($I19&gt;0%,IF(AND(OC$16&gt;=$F19,OC$16&lt;$F19+($G19*$I19)),"➤",""),"")</f>
        <v/>
      </c>
      <c r="OD19" s="76" t="str">
        <f aca="false">IF($I19&gt;0%,IF(AND(OD$16&gt;=$F19,OD$16&lt;$F19+($G19*$I19)),"➤",""),"")</f>
        <v/>
      </c>
      <c r="OE19" s="76" t="str">
        <f aca="false">IF($I19&gt;0%,IF(AND(OE$16&gt;=$F19,OE$16&lt;$F19+($G19*$I19)),"➤",""),"")</f>
        <v/>
      </c>
      <c r="OF19" s="76" t="str">
        <f aca="false">IF($I19&gt;0%,IF(AND(OF$16&gt;=$F19,OF$16&lt;$F19+($G19*$I19)),"➤",""),"")</f>
        <v/>
      </c>
      <c r="OG19" s="76" t="str">
        <f aca="false">IF($I19&gt;0%,IF(AND(OG$16&gt;=$F19,OG$16&lt;$F19+($G19*$I19)),"➤",""),"")</f>
        <v/>
      </c>
      <c r="OH19" s="76" t="str">
        <f aca="false">IF($I19&gt;0%,IF(AND(OH$16&gt;=$F19,OH$16&lt;$F19+($G19*$I19)),"➤",""),"")</f>
        <v/>
      </c>
      <c r="OI19" s="76" t="str">
        <f aca="false">IF($I19&gt;0%,IF(AND(OI$16&gt;=$F19,OI$16&lt;$F19+($G19*$I19)),"➤",""),"")</f>
        <v/>
      </c>
      <c r="OJ19" s="76" t="str">
        <f aca="false">IF($I19&gt;0%,IF(AND(OJ$16&gt;=$F19,OJ$16&lt;$F19+($G19*$I19)),"➤",""),"")</f>
        <v/>
      </c>
      <c r="OK19" s="76" t="str">
        <f aca="false">IF($I19&gt;0%,IF(AND(OK$16&gt;=$F19,OK$16&lt;$F19+($G19*$I19)),"➤",""),"")</f>
        <v/>
      </c>
      <c r="OL19" s="76" t="str">
        <f aca="false">IF($I19&gt;0%,IF(AND(OL$16&gt;=$F19,OL$16&lt;$F19+($G19*$I19)),"➤",""),"")</f>
        <v/>
      </c>
      <c r="OM19" s="76" t="str">
        <f aca="false">IF($I19&gt;0%,IF(AND(OM$16&gt;=$F19,OM$16&lt;$F19+($G19*$I19)),"➤",""),"")</f>
        <v/>
      </c>
      <c r="ON19" s="76" t="str">
        <f aca="false">IF($I19&gt;0%,IF(AND(ON$16&gt;=$F19,ON$16&lt;$F19+($G19*$I19)),"➤",""),"")</f>
        <v/>
      </c>
      <c r="OO19" s="76" t="str">
        <f aca="false">IF($I19&gt;0%,IF(AND(OO$16&gt;=$F19,OO$16&lt;$F19+($G19*$I19)),"➤",""),"")</f>
        <v/>
      </c>
      <c r="OP19" s="76" t="str">
        <f aca="false">IF($I19&gt;0%,IF(AND(OP$16&gt;=$F19,OP$16&lt;$F19+($G19*$I19)),"➤",""),"")</f>
        <v/>
      </c>
      <c r="OQ19" s="76" t="str">
        <f aca="false">IF($I19&gt;0%,IF(AND(OQ$16&gt;=$F19,OQ$16&lt;$F19+($G19*$I19)),"➤",""),"")</f>
        <v/>
      </c>
      <c r="OR19" s="76" t="str">
        <f aca="false">IF($I19&gt;0%,IF(AND(OR$16&gt;=$F19,OR$16&lt;$F19+($G19*$I19)),"➤",""),"")</f>
        <v/>
      </c>
      <c r="OS19" s="76" t="str">
        <f aca="false">IF($I19&gt;0%,IF(AND(OS$16&gt;=$F19,OS$16&lt;$F19+($G19*$I19)),"➤",""),"")</f>
        <v/>
      </c>
      <c r="OT19" s="76" t="str">
        <f aca="false">IF($I19&gt;0%,IF(AND(OT$16&gt;=$F19,OT$16&lt;$F19+($G19*$I19)),"➤",""),"")</f>
        <v/>
      </c>
      <c r="OU19" s="76" t="str">
        <f aca="false">IF($I19&gt;0%,IF(AND(OU$16&gt;=$F19,OU$16&lt;$F19+($G19*$I19)),"➤",""),"")</f>
        <v/>
      </c>
      <c r="OV19" s="76" t="str">
        <f aca="false">IF($I19&gt;0%,IF(AND(OV$16&gt;=$F19,OV$16&lt;$F19+($G19*$I19)),"➤",""),"")</f>
        <v/>
      </c>
      <c r="OW19" s="76" t="str">
        <f aca="false">IF($I19&gt;0%,IF(AND(OW$16&gt;=$F19,OW$16&lt;$F19+($G19*$I19)),"➤",""),"")</f>
        <v/>
      </c>
      <c r="OX19" s="76" t="str">
        <f aca="false">IF($I19&gt;0%,IF(AND(OX$16&gt;=$F19,OX$16&lt;$F19+($G19*$I19)),"➤",""),"")</f>
        <v/>
      </c>
      <c r="OY19" s="76" t="str">
        <f aca="false">IF($I19&gt;0%,IF(AND(OY$16&gt;=$F19,OY$16&lt;$F19+($G19*$I19)),"➤",""),"")</f>
        <v/>
      </c>
      <c r="OZ19" s="76" t="str">
        <f aca="false">IF($I19&gt;0%,IF(AND(OZ$16&gt;=$F19,OZ$16&lt;$F19+($G19*$I19)),"➤",""),"")</f>
        <v/>
      </c>
      <c r="PA19" s="76" t="str">
        <f aca="false">IF($I19&gt;0%,IF(AND(PA$16&gt;=$F19,PA$16&lt;$F19+($G19*$I19)),"➤",""),"")</f>
        <v/>
      </c>
      <c r="PB19" s="76" t="str">
        <f aca="false">IF($I19&gt;0%,IF(AND(PB$16&gt;=$F19,PB$16&lt;$F19+($G19*$I19)),"➤",""),"")</f>
        <v/>
      </c>
      <c r="PC19" s="76" t="str">
        <f aca="false">IF($I19&gt;0%,IF(AND(PC$16&gt;=$F19,PC$16&lt;$F19+($G19*$I19)),"➤",""),"")</f>
        <v/>
      </c>
      <c r="PD19" s="76" t="str">
        <f aca="false">IF($I19&gt;0%,IF(AND(PD$16&gt;=$F19,PD$16&lt;$F19+($G19*$I19)),"➤",""),"")</f>
        <v/>
      </c>
      <c r="PE19" s="76" t="str">
        <f aca="false">IF($I19&gt;0%,IF(AND(PE$16&gt;=$F19,PE$16&lt;$F19+($G19*$I19)),"➤",""),"")</f>
        <v/>
      </c>
      <c r="PF19" s="76" t="str">
        <f aca="false">IF($I19&gt;0%,IF(AND(PF$16&gt;=$F19,PF$16&lt;$F19+($G19*$I19)),"➤",""),"")</f>
        <v/>
      </c>
      <c r="PG19" s="76" t="str">
        <f aca="false">IF($I19&gt;0%,IF(AND(PG$16&gt;=$F19,PG$16&lt;$F19+($G19*$I19)),"➤",""),"")</f>
        <v/>
      </c>
      <c r="PH19" s="76" t="str">
        <f aca="false">IF($I19&gt;0%,IF(AND(PH$16&gt;=$F19,PH$16&lt;$F19+($G19*$I19)),"➤",""),"")</f>
        <v/>
      </c>
      <c r="PI19" s="76" t="str">
        <f aca="false">IF($I19&gt;0%,IF(AND(PI$16&gt;=$F19,PI$16&lt;$F19+($G19*$I19)),"➤",""),"")</f>
        <v/>
      </c>
      <c r="PJ19" s="76" t="str">
        <f aca="false">IF($I19&gt;0%,IF(AND(PJ$16&gt;=$F19,PJ$16&lt;$F19+($G19*$I19)),"➤",""),"")</f>
        <v/>
      </c>
      <c r="PK19" s="76" t="str">
        <f aca="false">IF($I19&gt;0%,IF(AND(PK$16&gt;=$F19,PK$16&lt;$F19+($G19*$I19)),"➤",""),"")</f>
        <v/>
      </c>
      <c r="PL19" s="76" t="str">
        <f aca="false">IF($I19&gt;0%,IF(AND(PL$16&gt;=$F19,PL$16&lt;$F19+($G19*$I19)),"➤",""),"")</f>
        <v/>
      </c>
      <c r="PM19" s="76" t="str">
        <f aca="false">IF($I19&gt;0%,IF(AND(PM$16&gt;=$F19,PM$16&lt;$F19+($G19*$I19)),"➤",""),"")</f>
        <v/>
      </c>
      <c r="PN19" s="76" t="str">
        <f aca="false">IF($I19&gt;0%,IF(AND(PN$16&gt;=$F19,PN$16&lt;$F19+($G19*$I19)),"➤",""),"")</f>
        <v/>
      </c>
      <c r="PO19" s="76" t="str">
        <f aca="false">IF($I19&gt;0%,IF(AND(PO$16&gt;=$F19,PO$16&lt;$F19+($G19*$I19)),"➤",""),"")</f>
        <v/>
      </c>
      <c r="PP19" s="76" t="str">
        <f aca="false">IF($I19&gt;0%,IF(AND(PP$16&gt;=$F19,PP$16&lt;$F19+($G19*$I19)),"➤",""),"")</f>
        <v/>
      </c>
      <c r="PQ19" s="76" t="str">
        <f aca="false">IF($I19&gt;0%,IF(AND(PQ$16&gt;=$F19,PQ$16&lt;$F19+($G19*$I19)),"➤",""),"")</f>
        <v/>
      </c>
      <c r="PR19" s="76" t="str">
        <f aca="false">IF($I19&gt;0%,IF(AND(PR$16&gt;=$F19,PR$16&lt;$F19+($G19*$I19)),"➤",""),"")</f>
        <v/>
      </c>
      <c r="PS19" s="76" t="str">
        <f aca="false">IF($I19&gt;0%,IF(AND(PS$16&gt;=$F19,PS$16&lt;$F19+($G19*$I19)),"➤",""),"")</f>
        <v/>
      </c>
      <c r="PT19" s="76" t="str">
        <f aca="false">IF($I19&gt;0%,IF(AND(PT$16&gt;=$F19,PT$16&lt;$F19+($G19*$I19)),"➤",""),"")</f>
        <v/>
      </c>
      <c r="PU19" s="76" t="str">
        <f aca="false">IF($I19&gt;0%,IF(AND(PU$16&gt;=$F19,PU$16&lt;$F19+($G19*$I19)),"➤",""),"")</f>
        <v/>
      </c>
      <c r="PV19" s="76" t="str">
        <f aca="false">IF($I19&gt;0%,IF(AND(PV$16&gt;=$F19,PV$16&lt;$F19+($G19*$I19)),"➤",""),"")</f>
        <v/>
      </c>
      <c r="PW19" s="76" t="str">
        <f aca="false">IF($I19&gt;0%,IF(AND(PW$16&gt;=$F19,PW$16&lt;$F19+($G19*$I19)),"➤",""),"")</f>
        <v/>
      </c>
      <c r="PX19" s="76" t="str">
        <f aca="false">IF($I19&gt;0%,IF(AND(PX$16&gt;=$F19,PX$16&lt;$F19+($G19*$I19)),"➤",""),"")</f>
        <v/>
      </c>
      <c r="PY19" s="76" t="str">
        <f aca="false">IF($I19&gt;0%,IF(AND(PY$16&gt;=$F19,PY$16&lt;$F19+($G19*$I19)),"➤",""),"")</f>
        <v/>
      </c>
      <c r="PZ19" s="76" t="str">
        <f aca="false">IF($I19&gt;0%,IF(AND(PZ$16&gt;=$F19,PZ$16&lt;$F19+($G19*$I19)),"➤",""),"")</f>
        <v/>
      </c>
      <c r="QA19" s="76" t="str">
        <f aca="false">IF($I19&gt;0%,IF(AND(QA$16&gt;=$F19,QA$16&lt;$F19+($G19*$I19)),"➤",""),"")</f>
        <v/>
      </c>
      <c r="QB19" s="76" t="str">
        <f aca="false">IF($I19&gt;0%,IF(AND(QB$16&gt;=$F19,QB$16&lt;$F19+($G19*$I19)),"➤",""),"")</f>
        <v/>
      </c>
      <c r="QC19" s="76" t="str">
        <f aca="false">IF($I19&gt;0%,IF(AND(QC$16&gt;=$F19,QC$16&lt;$F19+($G19*$I19)),"➤",""),"")</f>
        <v/>
      </c>
      <c r="QD19" s="76" t="str">
        <f aca="false">IF($I19&gt;0%,IF(AND(QD$16&gt;=$F19,QD$16&lt;$F19+($G19*$I19)),"➤",""),"")</f>
        <v/>
      </c>
      <c r="QE19" s="76" t="str">
        <f aca="false">IF($I19&gt;0%,IF(AND(QE$16&gt;=$F19,QE$16&lt;$F19+($G19*$I19)),"➤",""),"")</f>
        <v/>
      </c>
      <c r="QF19" s="76" t="str">
        <f aca="false">IF($I19&gt;0%,IF(AND(QF$16&gt;=$F19,QF$16&lt;$F19+($G19*$I19)),"➤",""),"")</f>
        <v/>
      </c>
      <c r="QG19" s="76" t="str">
        <f aca="false">IF($I19&gt;0%,IF(AND(QG$16&gt;=$F19,QG$16&lt;$F19+($G19*$I19)),"➤",""),"")</f>
        <v/>
      </c>
      <c r="QH19" s="76" t="str">
        <f aca="false">IF($I19&gt;0%,IF(AND(QH$16&gt;=$F19,QH$16&lt;$F19+($G19*$I19)),"➤",""),"")</f>
        <v/>
      </c>
      <c r="QI19" s="76" t="str">
        <f aca="false">IF($I19&gt;0%,IF(AND(QI$16&gt;=$F19,QI$16&lt;$F19+($G19*$I19)),"➤",""),"")</f>
        <v/>
      </c>
      <c r="QJ19" s="76" t="str">
        <f aca="false">IF($I19&gt;0%,IF(AND(QJ$16&gt;=$F19,QJ$16&lt;$F19+($G19*$I19)),"➤",""),"")</f>
        <v/>
      </c>
      <c r="QK19" s="76" t="str">
        <f aca="false">IF($I19&gt;0%,IF(AND(QK$16&gt;=$F19,QK$16&lt;$F19+($G19*$I19)),"➤",""),"")</f>
        <v/>
      </c>
      <c r="QL19" s="76" t="str">
        <f aca="false">IF($I19&gt;0%,IF(AND(QL$16&gt;=$F19,QL$16&lt;$F19+($G19*$I19)),"➤",""),"")</f>
        <v/>
      </c>
      <c r="QM19" s="76" t="str">
        <f aca="false">IF($I19&gt;0%,IF(AND(QM$16&gt;=$F19,QM$16&lt;$F19+($G19*$I19)),"➤",""),"")</f>
        <v/>
      </c>
      <c r="QN19" s="76" t="str">
        <f aca="false">IF($I19&gt;0%,IF(AND(QN$16&gt;=$F19,QN$16&lt;$F19+($G19*$I19)),"➤",""),"")</f>
        <v/>
      </c>
      <c r="QO19" s="76" t="str">
        <f aca="false">IF($I19&gt;0%,IF(AND(QO$16&gt;=$F19,QO$16&lt;$F19+($G19*$I19)),"➤",""),"")</f>
        <v/>
      </c>
      <c r="QP19" s="76" t="str">
        <f aca="false">IF($I19&gt;0%,IF(AND(QP$16&gt;=$F19,QP$16&lt;$F19+($G19*$I19)),"➤",""),"")</f>
        <v/>
      </c>
      <c r="QQ19" s="76" t="str">
        <f aca="false">IF($I19&gt;0%,IF(AND(QQ$16&gt;=$F19,QQ$16&lt;$F19+($G19*$I19)),"➤",""),"")</f>
        <v/>
      </c>
      <c r="QR19" s="76" t="str">
        <f aca="false">IF($I19&gt;0%,IF(AND(QR$16&gt;=$F19,QR$16&lt;$F19+($G19*$I19)),"➤",""),"")</f>
        <v/>
      </c>
      <c r="QS19" s="76" t="str">
        <f aca="false">IF($I19&gt;0%,IF(AND(QS$16&gt;=$F19,QS$16&lt;$F19+($G19*$I19)),"➤",""),"")</f>
        <v/>
      </c>
      <c r="QT19" s="76" t="str">
        <f aca="false">IF($I19&gt;0%,IF(AND(QT$16&gt;=$F19,QT$16&lt;$F19+($G19*$I19)),"➤",""),"")</f>
        <v/>
      </c>
      <c r="QU19" s="76" t="str">
        <f aca="false">IF($I19&gt;0%,IF(AND(QU$16&gt;=$F19,QU$16&lt;$F19+($G19*$I19)),"➤",""),"")</f>
        <v/>
      </c>
      <c r="QV19" s="76" t="str">
        <f aca="false">IF($I19&gt;0%,IF(AND(QV$16&gt;=$F19,QV$16&lt;$F19+($G19*$I19)),"➤",""),"")</f>
        <v/>
      </c>
      <c r="QW19" s="76" t="str">
        <f aca="false">IF($I19&gt;0%,IF(AND(QW$16&gt;=$F19,QW$16&lt;$F19+($G19*$I19)),"➤",""),"")</f>
        <v/>
      </c>
      <c r="QX19" s="76" t="str">
        <f aca="false">IF($I19&gt;0%,IF(AND(QX$16&gt;=$F19,QX$16&lt;$F19+($G19*$I19)),"➤",""),"")</f>
        <v/>
      </c>
      <c r="QY19" s="76" t="str">
        <f aca="false">IF($I19&gt;0%,IF(AND(QY$16&gt;=$F19,QY$16&lt;$F19+($G19*$I19)),"➤",""),"")</f>
        <v/>
      </c>
      <c r="QZ19" s="76" t="str">
        <f aca="false">IF($I19&gt;0%,IF(AND(QZ$16&gt;=$F19,QZ$16&lt;$F19+($G19*$I19)),"➤",""),"")</f>
        <v/>
      </c>
      <c r="RA19" s="76" t="str">
        <f aca="false">IF($I19&gt;0%,IF(AND(RA$16&gt;=$F19,RA$16&lt;$F19+($G19*$I19)),"➤",""),"")</f>
        <v/>
      </c>
      <c r="RB19" s="76" t="str">
        <f aca="false">IF($I19&gt;0%,IF(AND(RB$16&gt;=$F19,RB$16&lt;$F19+($G19*$I19)),"➤",""),"")</f>
        <v/>
      </c>
      <c r="RC19" s="76" t="str">
        <f aca="false">IF($I19&gt;0%,IF(AND(RC$16&gt;=$F19,RC$16&lt;$F19+($G19*$I19)),"➤",""),"")</f>
        <v/>
      </c>
      <c r="RD19" s="76" t="str">
        <f aca="false">IF($I19&gt;0%,IF(AND(RD$16&gt;=$F19,RD$16&lt;$F19+($G19*$I19)),"➤",""),"")</f>
        <v/>
      </c>
      <c r="RE19" s="76" t="str">
        <f aca="false">IF($I19&gt;0%,IF(AND(RE$16&gt;=$F19,RE$16&lt;$F19+($G19*$I19)),"➤",""),"")</f>
        <v/>
      </c>
      <c r="RF19" s="76" t="str">
        <f aca="false">IF($I19&gt;0%,IF(AND(RF$16&gt;=$F19,RF$16&lt;$F19+($G19*$I19)),"➤",""),"")</f>
        <v/>
      </c>
      <c r="RG19" s="76" t="str">
        <f aca="false">IF($I19&gt;0%,IF(AND(RG$16&gt;=$F19,RG$16&lt;$F19+($G19*$I19)),"➤",""),"")</f>
        <v/>
      </c>
      <c r="RH19" s="76" t="str">
        <f aca="false">IF($I19&gt;0%,IF(AND(RH$16&gt;=$F19,RH$16&lt;$F19+($G19*$I19)),"➤",""),"")</f>
        <v/>
      </c>
      <c r="RI19" s="76" t="str">
        <f aca="false">IF($I19&gt;0%,IF(AND(RI$16&gt;=$F19,RI$16&lt;$F19+($G19*$I19)),"➤",""),"")</f>
        <v/>
      </c>
      <c r="RJ19" s="76" t="str">
        <f aca="false">IF($I19&gt;0%,IF(AND(RJ$16&gt;=$F19,RJ$16&lt;$F19+($G19*$I19)),"➤",""),"")</f>
        <v/>
      </c>
      <c r="RK19" s="76" t="str">
        <f aca="false">IF($I19&gt;0%,IF(AND(RK$16&gt;=$F19,RK$16&lt;$F19+($G19*$I19)),"➤",""),"")</f>
        <v/>
      </c>
      <c r="RL19" s="76" t="str">
        <f aca="false">IF($I19&gt;0%,IF(AND(RL$16&gt;=$F19,RL$16&lt;$F19+($G19*$I19)),"➤",""),"")</f>
        <v/>
      </c>
      <c r="RM19" s="76" t="str">
        <f aca="false">IF($I19&gt;0%,IF(AND(RM$16&gt;=$F19,RM$16&lt;$F19+($G19*$I19)),"➤",""),"")</f>
        <v/>
      </c>
      <c r="RN19" s="76" t="str">
        <f aca="false">IF($I19&gt;0%,IF(AND(RN$16&gt;=$F19,RN$16&lt;$F19+($G19*$I19)),"➤",""),"")</f>
        <v/>
      </c>
      <c r="RO19" s="76" t="str">
        <f aca="false">IF($I19&gt;0%,IF(AND(RO$16&gt;=$F19,RO$16&lt;$F19+($G19*$I19)),"➤",""),"")</f>
        <v/>
      </c>
      <c r="RP19" s="76" t="str">
        <f aca="false">IF($I19&gt;0%,IF(AND(RP$16&gt;=$F19,RP$16&lt;$F19+($G19*$I19)),"➤",""),"")</f>
        <v/>
      </c>
      <c r="RQ19" s="76" t="str">
        <f aca="false">IF($I19&gt;0%,IF(AND(RQ$16&gt;=$F19,RQ$16&lt;$F19+($G19*$I19)),"➤",""),"")</f>
        <v/>
      </c>
      <c r="RR19" s="76" t="str">
        <f aca="false">IF($I19&gt;0%,IF(AND(RR$16&gt;=$F19,RR$16&lt;$F19+($G19*$I19)),"➤",""),"")</f>
        <v/>
      </c>
      <c r="RS19" s="76" t="str">
        <f aca="false">IF($I19&gt;0%,IF(AND(RS$16&gt;=$F19,RS$16&lt;$F19+($G19*$I19)),"➤",""),"")</f>
        <v/>
      </c>
      <c r="RT19" s="76" t="str">
        <f aca="false">IF($I19&gt;0%,IF(AND(RT$16&gt;=$F19,RT$16&lt;$F19+($G19*$I19)),"➤",""),"")</f>
        <v/>
      </c>
      <c r="RU19" s="76" t="str">
        <f aca="false">IF($I19&gt;0%,IF(AND(RU$16&gt;=$F19,RU$16&lt;$F19+($G19*$I19)),"➤",""),"")</f>
        <v/>
      </c>
      <c r="RV19" s="76" t="str">
        <f aca="false">IF($I19&gt;0%,IF(AND(RV$16&gt;=$F19,RV$16&lt;$F19+($G19*$I19)),"➤",""),"")</f>
        <v/>
      </c>
      <c r="RW19" s="76" t="str">
        <f aca="false">IF($I19&gt;0%,IF(AND(RW$16&gt;=$F19,RW$16&lt;$F19+($G19*$I19)),"➤",""),"")</f>
        <v/>
      </c>
      <c r="RX19" s="76" t="str">
        <f aca="false">IF($I19&gt;0%,IF(AND(RX$16&gt;=$F19,RX$16&lt;$F19+($G19*$I19)),"➤",""),"")</f>
        <v/>
      </c>
      <c r="RY19" s="76" t="str">
        <f aca="false">IF($I19&gt;0%,IF(AND(RY$16&gt;=$F19,RY$16&lt;$F19+($G19*$I19)),"➤",""),"")</f>
        <v/>
      </c>
      <c r="RZ19" s="76" t="str">
        <f aca="false">IF($I19&gt;0%,IF(AND(RZ$16&gt;=$F19,RZ$16&lt;$F19+($G19*$I19)),"➤",""),"")</f>
        <v/>
      </c>
      <c r="SA19" s="76" t="str">
        <f aca="false">IF($I19&gt;0%,IF(AND(SA$16&gt;=$F19,SA$16&lt;$F19+($G19*$I19)),"➤",""),"")</f>
        <v/>
      </c>
      <c r="SB19" s="76" t="str">
        <f aca="false">IF($I19&gt;0%,IF(AND(SB$16&gt;=$F19,SB$16&lt;$F19+($G19*$I19)),"➤",""),"")</f>
        <v/>
      </c>
      <c r="SC19" s="76" t="str">
        <f aca="false">IF($I19&gt;0%,IF(AND(SC$16&gt;=$F19,SC$16&lt;$F19+($G19*$I19)),"➤",""),"")</f>
        <v/>
      </c>
      <c r="SD19" s="76" t="str">
        <f aca="false">IF($I19&gt;0%,IF(AND(SD$16&gt;=$F19,SD$16&lt;$F19+($G19*$I19)),"➤",""),"")</f>
        <v/>
      </c>
      <c r="SE19" s="76" t="str">
        <f aca="false">IF($I19&gt;0%,IF(AND(SE$16&gt;=$F19,SE$16&lt;$F19+($G19*$I19)),"➤",""),"")</f>
        <v/>
      </c>
      <c r="SF19" s="76" t="str">
        <f aca="false">IF($I19&gt;0%,IF(AND(SF$16&gt;=$F19,SF$16&lt;$F19+($G19*$I19)),"➤",""),"")</f>
        <v/>
      </c>
      <c r="SG19" s="76" t="str">
        <f aca="false">IF($I19&gt;0%,IF(AND(SG$16&gt;=$F19,SG$16&lt;$F19+($G19*$I19)),"➤",""),"")</f>
        <v/>
      </c>
      <c r="SH19" s="76" t="str">
        <f aca="false">IF($I19&gt;0%,IF(AND(SH$16&gt;=$F19,SH$16&lt;$F19+($G19*$I19)),"➤",""),"")</f>
        <v/>
      </c>
      <c r="SI19" s="76" t="str">
        <f aca="false">IF($I19&gt;0%,IF(AND(SI$16&gt;=$F19,SI$16&lt;$F19+($G19*$I19)),"➤",""),"")</f>
        <v/>
      </c>
      <c r="SJ19" s="76" t="str">
        <f aca="false">IF($I19&gt;0%,IF(AND(SJ$16&gt;=$F19,SJ$16&lt;$F19+($G19*$I19)),"➤",""),"")</f>
        <v/>
      </c>
      <c r="SK19" s="76" t="str">
        <f aca="false">IF($I19&gt;0%,IF(AND(SK$16&gt;=$F19,SK$16&lt;$F19+($G19*$I19)),"➤",""),"")</f>
        <v/>
      </c>
      <c r="SL19" s="76" t="str">
        <f aca="false">IF($I19&gt;0%,IF(AND(SL$16&gt;=$F19,SL$16&lt;$F19+($G19*$I19)),"➤",""),"")</f>
        <v/>
      </c>
      <c r="SM19" s="76" t="str">
        <f aca="false">IF($I19&gt;0%,IF(AND(SM$16&gt;=$F19,SM$16&lt;$F19+($G19*$I19)),"➤",""),"")</f>
        <v/>
      </c>
      <c r="SN19" s="76" t="str">
        <f aca="false">IF($I19&gt;0%,IF(AND(SN$16&gt;=$F19,SN$16&lt;$F19+($G19*$I19)),"➤",""),"")</f>
        <v/>
      </c>
      <c r="SO19" s="76" t="str">
        <f aca="false">IF($I19&gt;0%,IF(AND(SO$16&gt;=$F19,SO$16&lt;$F19+($G19*$I19)),"➤",""),"")</f>
        <v/>
      </c>
      <c r="SP19" s="76" t="str">
        <f aca="false">IF($I19&gt;0%,IF(AND(SP$16&gt;=$F19,SP$16&lt;$F19+($G19*$I19)),"➤",""),"")</f>
        <v/>
      </c>
      <c r="SQ19" s="76" t="str">
        <f aca="false">IF($I19&gt;0%,IF(AND(SQ$16&gt;=$F19,SQ$16&lt;$F19+($G19*$I19)),"➤",""),"")</f>
        <v/>
      </c>
      <c r="SR19" s="76" t="str">
        <f aca="false">IF($I19&gt;0%,IF(AND(SR$16&gt;=$F19,SR$16&lt;$F19+($G19*$I19)),"➤",""),"")</f>
        <v/>
      </c>
      <c r="SS19" s="76" t="str">
        <f aca="false">IF($I19&gt;0%,IF(AND(SS$16&gt;=$F19,SS$16&lt;$F19+($G19*$I19)),"➤",""),"")</f>
        <v/>
      </c>
      <c r="ST19" s="76" t="str">
        <f aca="false">IF($I19&gt;0%,IF(AND(ST$16&gt;=$F19,ST$16&lt;$F19+($G19*$I19)),"➤",""),"")</f>
        <v/>
      </c>
      <c r="SU19" s="76" t="str">
        <f aca="false">IF($I19&gt;0%,IF(AND(SU$16&gt;=$F19,SU$16&lt;$F19+($G19*$I19)),"➤",""),"")</f>
        <v/>
      </c>
      <c r="SV19" s="76" t="str">
        <f aca="false">IF($I19&gt;0%,IF(AND(SV$16&gt;=$F19,SV$16&lt;$F19+($G19*$I19)),"➤",""),"")</f>
        <v/>
      </c>
      <c r="SW19" s="77" t="str">
        <f aca="false">IF($I19&gt;0%,IF(AND(SW$16&gt;=$F19,SW$16&lt;$F19+($G19*$I19)),"➤",""),"")</f>
        <v/>
      </c>
    </row>
    <row r="20" customFormat="false" ht="22.35" hidden="false" customHeight="false" outlineLevel="1" collapsed="false">
      <c r="C20" s="10"/>
      <c r="D20" s="78" t="s">
        <v>17</v>
      </c>
      <c r="E20" s="79" t="s">
        <v>15</v>
      </c>
      <c r="F20" s="80" t="n">
        <v>46136</v>
      </c>
      <c r="G20" s="81" t="n">
        <v>1</v>
      </c>
      <c r="H20" s="82" t="n">
        <f aca="false">(F20+G20)-1</f>
        <v>46136</v>
      </c>
      <c r="I20" s="83" t="n">
        <v>1</v>
      </c>
      <c r="J20" s="84" t="s">
        <v>16</v>
      </c>
      <c r="K20" s="85"/>
      <c r="L20" s="75" t="str">
        <f aca="false">IF($I20&gt;0%,IF(AND(L$16&gt;=$F20,L$16&lt;$F20+($G20*$I20)),"➤",""),"")</f>
        <v>➤</v>
      </c>
      <c r="M20" s="76" t="str">
        <f aca="false">IF($I20&gt;0%,IF(AND(M$16&gt;=$F20,M$16&lt;$F20+($G20*$I20)),"➤",""),"")</f>
        <v/>
      </c>
      <c r="N20" s="76" t="str">
        <f aca="false">IF($I20&gt;0%,IF(AND(N$16&gt;=$F20,N$16&lt;$F20+($G20*$I20)),"➤",""),"")</f>
        <v/>
      </c>
      <c r="O20" s="76" t="str">
        <f aca="false">IF($I20&gt;0%,IF(AND(O$16&gt;=$F20,O$16&lt;$F20+($G20*$I20)),"➤",""),"")</f>
        <v/>
      </c>
      <c r="P20" s="76" t="str">
        <f aca="false">IF($I20&gt;0%,IF(AND(P$16&gt;=$F20,P$16&lt;$F20+($G20*$I20)),"➤",""),"")</f>
        <v/>
      </c>
      <c r="Q20" s="76" t="str">
        <f aca="false">IF($I20&gt;0%,IF(AND(Q$16&gt;=$F20,Q$16&lt;$F20+($G20*$I20)),"➤",""),"")</f>
        <v/>
      </c>
      <c r="R20" s="76" t="str">
        <f aca="false">IF($I20&gt;0%,IF(AND(R$16&gt;=$F20,R$16&lt;$F20+($G20*$I20)),"➤",""),"")</f>
        <v/>
      </c>
      <c r="S20" s="76" t="str">
        <f aca="false">IF($I20&gt;0%,IF(AND(S$16&gt;=$F20,S$16&lt;$F20+($G20*$I20)),"➤",""),"")</f>
        <v/>
      </c>
      <c r="T20" s="76" t="str">
        <f aca="false">IF($I20&gt;0%,IF(AND(T$16&gt;=$F20,T$16&lt;$F20+($G20*$I20)),"➤",""),"")</f>
        <v/>
      </c>
      <c r="U20" s="76" t="str">
        <f aca="false">IF($I20&gt;0%,IF(AND(U$16&gt;=$F20,U$16&lt;$F20+($G20*$I20)),"➤",""),"")</f>
        <v/>
      </c>
      <c r="V20" s="76" t="str">
        <f aca="false">IF($I20&gt;0%,IF(AND(V$16&gt;=$F20,V$16&lt;$F20+($G20*$I20)),"➤",""),"")</f>
        <v/>
      </c>
      <c r="W20" s="76" t="str">
        <f aca="false">IF($I20&gt;0%,IF(AND(W$16&gt;=$F20,W$16&lt;$F20+($G20*$I20)),"➤",""),"")</f>
        <v/>
      </c>
      <c r="X20" s="76" t="str">
        <f aca="false">IF($I20&gt;0%,IF(AND(X$16&gt;=$F20,X$16&lt;$F20+($G20*$I20)),"➤",""),"")</f>
        <v/>
      </c>
      <c r="Y20" s="76" t="str">
        <f aca="false">IF($I20&gt;0%,IF(AND(Y$16&gt;=$F20,Y$16&lt;$F20+($G20*$I20)),"➤",""),"")</f>
        <v/>
      </c>
      <c r="Z20" s="76" t="str">
        <f aca="false">IF($I20&gt;0%,IF(AND(Z$16&gt;=$F20,Z$16&lt;$F20+($G20*$I20)),"➤",""),"")</f>
        <v/>
      </c>
      <c r="AA20" s="76" t="str">
        <f aca="false">IF($I20&gt;0%,IF(AND(AA$16&gt;=$F20,AA$16&lt;$F20+($G20*$I20)),"➤",""),"")</f>
        <v/>
      </c>
      <c r="AB20" s="76" t="str">
        <f aca="false">IF($I20&gt;0%,IF(AND(AB$16&gt;=$F20,AB$16&lt;$F20+($G20*$I20)),"➤",""),"")</f>
        <v/>
      </c>
      <c r="AC20" s="76" t="str">
        <f aca="false">IF($I20&gt;0%,IF(AND(AC$16&gt;=$F20,AC$16&lt;$F20+($G20*$I20)),"➤",""),"")</f>
        <v/>
      </c>
      <c r="AD20" s="76" t="str">
        <f aca="false">IF($I20&gt;0%,IF(AND(AD$16&gt;=$F20,AD$16&lt;$F20+($G20*$I20)),"➤",""),"")</f>
        <v/>
      </c>
      <c r="AE20" s="76" t="str">
        <f aca="false">IF($I20&gt;0%,IF(AND(AE$16&gt;=$F20,AE$16&lt;$F20+($G20*$I20)),"➤",""),"")</f>
        <v/>
      </c>
      <c r="AF20" s="76" t="str">
        <f aca="false">IF($I20&gt;0%,IF(AND(AF$16&gt;=$F20,AF$16&lt;$F20+($G20*$I20)),"➤",""),"")</f>
        <v/>
      </c>
      <c r="AG20" s="76" t="str">
        <f aca="false">IF($I20&gt;0%,IF(AND(AG$16&gt;=$F20,AG$16&lt;$F20+($G20*$I20)),"➤",""),"")</f>
        <v/>
      </c>
      <c r="AH20" s="76" t="str">
        <f aca="false">IF($I20&gt;0%,IF(AND(AH$16&gt;=$F20,AH$16&lt;$F20+($G20*$I20)),"➤",""),"")</f>
        <v/>
      </c>
      <c r="AI20" s="76" t="str">
        <f aca="false">IF($I20&gt;0%,IF(AND(AI$16&gt;=$F20,AI$16&lt;$F20+($G20*$I20)),"➤",""),"")</f>
        <v/>
      </c>
      <c r="AJ20" s="76" t="str">
        <f aca="false">IF($I20&gt;0%,IF(AND(AJ$16&gt;=$F20,AJ$16&lt;$F20+($G20*$I20)),"➤",""),"")</f>
        <v/>
      </c>
      <c r="AK20" s="76" t="str">
        <f aca="false">IF($I20&gt;0%,IF(AND(AK$16&gt;=$F20,AK$16&lt;$F20+($G20*$I20)),"➤",""),"")</f>
        <v/>
      </c>
      <c r="AL20" s="76" t="str">
        <f aca="false">IF($I20&gt;0%,IF(AND(AL$16&gt;=$F20,AL$16&lt;$F20+($G20*$I20)),"➤",""),"")</f>
        <v/>
      </c>
      <c r="AM20" s="76" t="str">
        <f aca="false">IF($I20&gt;0%,IF(AND(AM$16&gt;=$F20,AM$16&lt;$F20+($G20*$I20)),"➤",""),"")</f>
        <v/>
      </c>
      <c r="AN20" s="76" t="str">
        <f aca="false">IF($I20&gt;0%,IF(AND(AN$16&gt;=$F20,AN$16&lt;$F20+($G20*$I20)),"➤",""),"")</f>
        <v/>
      </c>
      <c r="AO20" s="76" t="str">
        <f aca="false">IF($I20&gt;0%,IF(AND(AO$16&gt;=$F20,AO$16&lt;$F20+($G20*$I20)),"➤",""),"")</f>
        <v/>
      </c>
      <c r="AP20" s="76" t="str">
        <f aca="false">IF($I20&gt;0%,IF(AND(AP$16&gt;=$F20,AP$16&lt;$F20+($G20*$I20)),"➤",""),"")</f>
        <v/>
      </c>
      <c r="AQ20" s="76" t="str">
        <f aca="false">IF($I20&gt;0%,IF(AND(AQ$16&gt;=$F20,AQ$16&lt;$F20+($G20*$I20)),"➤",""),"")</f>
        <v/>
      </c>
      <c r="AR20" s="76" t="str">
        <f aca="false">IF($I20&gt;0%,IF(AND(AR$16&gt;=$F20,AR$16&lt;$F20+($G20*$I20)),"➤",""),"")</f>
        <v/>
      </c>
      <c r="AS20" s="76" t="str">
        <f aca="false">IF($I20&gt;0%,IF(AND(AS$16&gt;=$F20,AS$16&lt;$F20+($G20*$I20)),"➤",""),"")</f>
        <v/>
      </c>
      <c r="AT20" s="76" t="str">
        <f aca="false">IF($I20&gt;0%,IF(AND(AT$16&gt;=$F20,AT$16&lt;$F20+($G20*$I20)),"➤",""),"")</f>
        <v/>
      </c>
      <c r="AU20" s="76" t="str">
        <f aca="false">IF($I20&gt;0%,IF(AND(AU$16&gt;=$F20,AU$16&lt;$F20+($G20*$I20)),"➤",""),"")</f>
        <v/>
      </c>
      <c r="AV20" s="76" t="str">
        <f aca="false">IF($I20&gt;0%,IF(AND(AV$16&gt;=$F20,AV$16&lt;$F20+($G20*$I20)),"➤",""),"")</f>
        <v/>
      </c>
      <c r="AW20" s="76" t="str">
        <f aca="false">IF($I20&gt;0%,IF(AND(AW$16&gt;=$F20,AW$16&lt;$F20+($G20*$I20)),"➤",""),"")</f>
        <v/>
      </c>
      <c r="AX20" s="76" t="str">
        <f aca="false">IF($I20&gt;0%,IF(AND(AX$16&gt;=$F20,AX$16&lt;$F20+($G20*$I20)),"➤",""),"")</f>
        <v/>
      </c>
      <c r="AY20" s="76" t="str">
        <f aca="false">IF($I20&gt;0%,IF(AND(AY$16&gt;=$F20,AY$16&lt;$F20+($G20*$I20)),"➤",""),"")</f>
        <v/>
      </c>
      <c r="AZ20" s="76" t="str">
        <f aca="false">IF($I20&gt;0%,IF(AND(AZ$16&gt;=$F20,AZ$16&lt;$F20+($G20*$I20)),"➤",""),"")</f>
        <v/>
      </c>
      <c r="BA20" s="76" t="str">
        <f aca="false">IF($I20&gt;0%,IF(AND(BA$16&gt;=$F20,BA$16&lt;$F20+($G20*$I20)),"➤",""),"")</f>
        <v/>
      </c>
      <c r="BB20" s="76" t="str">
        <f aca="false">IF($I20&gt;0%,IF(AND(BB$16&gt;=$F20,BB$16&lt;$F20+($G20*$I20)),"➤",""),"")</f>
        <v/>
      </c>
      <c r="BC20" s="76" t="str">
        <f aca="false">IF($I20&gt;0%,IF(AND(BC$16&gt;=$F20,BC$16&lt;$F20+($G20*$I20)),"➤",""),"")</f>
        <v/>
      </c>
      <c r="BD20" s="76" t="str">
        <f aca="false">IF($I20&gt;0%,IF(AND(BD$16&gt;=$F20,BD$16&lt;$F20+($G20*$I20)),"➤",""),"")</f>
        <v/>
      </c>
      <c r="BE20" s="76" t="str">
        <f aca="false">IF($I20&gt;0%,IF(AND(BE$16&gt;=$F20,BE$16&lt;$F20+($G20*$I20)),"➤",""),"")</f>
        <v/>
      </c>
      <c r="BF20" s="76" t="str">
        <f aca="false">IF($I20&gt;0%,IF(AND(BF$16&gt;=$F20,BF$16&lt;$F20+($G20*$I20)),"➤",""),"")</f>
        <v/>
      </c>
      <c r="BG20" s="76" t="str">
        <f aca="false">IF($I20&gt;0%,IF(AND(BG$16&gt;=$F20,BG$16&lt;$F20+($G20*$I20)),"➤",""),"")</f>
        <v/>
      </c>
      <c r="BH20" s="76" t="str">
        <f aca="false">IF($I20&gt;0%,IF(AND(BH$16&gt;=$F20,BH$16&lt;$F20+($G20*$I20)),"➤",""),"")</f>
        <v/>
      </c>
      <c r="BI20" s="76" t="str">
        <f aca="false">IF($I20&gt;0%,IF(AND(BI$16&gt;=$F20,BI$16&lt;$F20+($G20*$I20)),"➤",""),"")</f>
        <v/>
      </c>
      <c r="BJ20" s="76" t="str">
        <f aca="false">IF($I20&gt;0%,IF(AND(BJ$16&gt;=$F20,BJ$16&lt;$F20+($G20*$I20)),"➤",""),"")</f>
        <v/>
      </c>
      <c r="BK20" s="76" t="str">
        <f aca="false">IF($I20&gt;0%,IF(AND(BK$16&gt;=$F20,BK$16&lt;$F20+($G20*$I20)),"➤",""),"")</f>
        <v/>
      </c>
      <c r="BL20" s="76" t="str">
        <f aca="false">IF($I20&gt;0%,IF(AND(BL$16&gt;=$F20,BL$16&lt;$F20+($G20*$I20)),"➤",""),"")</f>
        <v/>
      </c>
      <c r="BM20" s="76" t="str">
        <f aca="false">IF($I20&gt;0%,IF(AND(BM$16&gt;=$F20,BM$16&lt;$F20+($G20*$I20)),"➤",""),"")</f>
        <v/>
      </c>
      <c r="BN20" s="76" t="str">
        <f aca="false">IF($I20&gt;0%,IF(AND(BN$16&gt;=$F20,BN$16&lt;$F20+($G20*$I20)),"➤",""),"")</f>
        <v/>
      </c>
      <c r="BO20" s="76" t="str">
        <f aca="false">IF($I20&gt;0%,IF(AND(BO$16&gt;=$F20,BO$16&lt;$F20+($G20*$I20)),"➤",""),"")</f>
        <v/>
      </c>
      <c r="BP20" s="76" t="str">
        <f aca="false">IF($I20&gt;0%,IF(AND(BP$16&gt;=$F20,BP$16&lt;$F20+($G20*$I20)),"➤",""),"")</f>
        <v/>
      </c>
      <c r="BQ20" s="76" t="str">
        <f aca="false">IF($I20&gt;0%,IF(AND(BQ$16&gt;=$F20,BQ$16&lt;$F20+($G20*$I20)),"➤",""),"")</f>
        <v/>
      </c>
      <c r="BR20" s="76" t="str">
        <f aca="false">IF($I20&gt;0%,IF(AND(BR$16&gt;=$F20,BR$16&lt;$F20+($G20*$I20)),"➤",""),"")</f>
        <v/>
      </c>
      <c r="BS20" s="76" t="str">
        <f aca="false">IF($I20&gt;0%,IF(AND(BS$16&gt;=$F20,BS$16&lt;$F20+($G20*$I20)),"➤",""),"")</f>
        <v/>
      </c>
      <c r="BT20" s="76" t="str">
        <f aca="false">IF($I20&gt;0%,IF(AND(BT$16&gt;=$F20,BT$16&lt;$F20+($G20*$I20)),"➤",""),"")</f>
        <v/>
      </c>
      <c r="BU20" s="76" t="str">
        <f aca="false">IF($I20&gt;0%,IF(AND(BU$16&gt;=$F20,BU$16&lt;$F20+($G20*$I20)),"➤",""),"")</f>
        <v/>
      </c>
      <c r="BV20" s="76" t="str">
        <f aca="false">IF($I20&gt;0%,IF(AND(BV$16&gt;=$F20,BV$16&lt;$F20+($G20*$I20)),"➤",""),"")</f>
        <v/>
      </c>
      <c r="BW20" s="76" t="str">
        <f aca="false">IF($I20&gt;0%,IF(AND(BW$16&gt;=$F20,BW$16&lt;$F20+($G20*$I20)),"➤",""),"")</f>
        <v/>
      </c>
      <c r="BX20" s="76" t="str">
        <f aca="false">IF($I20&gt;0%,IF(AND(BX$16&gt;=$F20,BX$16&lt;$F20+($G20*$I20)),"➤",""),"")</f>
        <v/>
      </c>
      <c r="BY20" s="76" t="str">
        <f aca="false">IF($I20&gt;0%,IF(AND(BY$16&gt;=$F20,BY$16&lt;$F20+($G20*$I20)),"➤",""),"")</f>
        <v/>
      </c>
      <c r="BZ20" s="76" t="str">
        <f aca="false">IF($I20&gt;0%,IF(AND(BZ$16&gt;=$F20,BZ$16&lt;$F20+($G20*$I20)),"➤",""),"")</f>
        <v/>
      </c>
      <c r="CA20" s="76" t="str">
        <f aca="false">IF($I20&gt;0%,IF(AND(CA$16&gt;=$F20,CA$16&lt;$F20+($G20*$I20)),"➤",""),"")</f>
        <v/>
      </c>
      <c r="CB20" s="76" t="str">
        <f aca="false">IF($I20&gt;0%,IF(AND(CB$16&gt;=$F20,CB$16&lt;$F20+($G20*$I20)),"➤",""),"")</f>
        <v/>
      </c>
      <c r="CC20" s="76" t="str">
        <f aca="false">IF($I20&gt;0%,IF(AND(CC$16&gt;=$F20,CC$16&lt;$F20+($G20*$I20)),"➤",""),"")</f>
        <v/>
      </c>
      <c r="CD20" s="76" t="str">
        <f aca="false">IF($I20&gt;0%,IF(AND(CD$16&gt;=$F20,CD$16&lt;$F20+($G20*$I20)),"➤",""),"")</f>
        <v/>
      </c>
      <c r="CE20" s="76" t="str">
        <f aca="false">IF($I20&gt;0%,IF(AND(CE$16&gt;=$F20,CE$16&lt;$F20+($G20*$I20)),"➤",""),"")</f>
        <v/>
      </c>
      <c r="CF20" s="76" t="str">
        <f aca="false">IF($I20&gt;0%,IF(AND(CF$16&gt;=$F20,CF$16&lt;$F20+($G20*$I20)),"➤",""),"")</f>
        <v/>
      </c>
      <c r="CG20" s="76" t="str">
        <f aca="false">IF($I20&gt;0%,IF(AND(CG$16&gt;=$F20,CG$16&lt;$F20+($G20*$I20)),"➤",""),"")</f>
        <v/>
      </c>
      <c r="CH20" s="76" t="str">
        <f aca="false">IF($I20&gt;0%,IF(AND(CH$16&gt;=$F20,CH$16&lt;$F20+($G20*$I20)),"➤",""),"")</f>
        <v/>
      </c>
      <c r="CI20" s="76" t="str">
        <f aca="false">IF($I20&gt;0%,IF(AND(CI$16&gt;=$F20,CI$16&lt;$F20+($G20*$I20)),"➤",""),"")</f>
        <v/>
      </c>
      <c r="CJ20" s="76" t="str">
        <f aca="false">IF($I20&gt;0%,IF(AND(CJ$16&gt;=$F20,CJ$16&lt;$F20+($G20*$I20)),"➤",""),"")</f>
        <v/>
      </c>
      <c r="CK20" s="76" t="str">
        <f aca="false">IF($I20&gt;0%,IF(AND(CK$16&gt;=$F20,CK$16&lt;$F20+($G20*$I20)),"➤",""),"")</f>
        <v/>
      </c>
      <c r="CL20" s="76" t="str">
        <f aca="false">IF($I20&gt;0%,IF(AND(CL$16&gt;=$F20,CL$16&lt;$F20+($G20*$I20)),"➤",""),"")</f>
        <v/>
      </c>
      <c r="CM20" s="76" t="str">
        <f aca="false">IF($I20&gt;0%,IF(AND(CM$16&gt;=$F20,CM$16&lt;$F20+($G20*$I20)),"➤",""),"")</f>
        <v/>
      </c>
      <c r="CN20" s="76" t="str">
        <f aca="false">IF($I20&gt;0%,IF(AND(CN$16&gt;=$F20,CN$16&lt;$F20+($G20*$I20)),"➤",""),"")</f>
        <v/>
      </c>
      <c r="CO20" s="76" t="str">
        <f aca="false">IF($I20&gt;0%,IF(AND(CO$16&gt;=$F20,CO$16&lt;$F20+($G20*$I20)),"➤",""),"")</f>
        <v/>
      </c>
      <c r="CP20" s="76" t="str">
        <f aca="false">IF($I20&gt;0%,IF(AND(CP$16&gt;=$F20,CP$16&lt;$F20+($G20*$I20)),"➤",""),"")</f>
        <v/>
      </c>
      <c r="CQ20" s="76" t="str">
        <f aca="false">IF($I20&gt;0%,IF(AND(CQ$16&gt;=$F20,CQ$16&lt;$F20+($G20*$I20)),"➤",""),"")</f>
        <v/>
      </c>
      <c r="CR20" s="76" t="str">
        <f aca="false">IF($I20&gt;0%,IF(AND(CR$16&gt;=$F20,CR$16&lt;$F20+($G20*$I20)),"➤",""),"")</f>
        <v/>
      </c>
      <c r="CS20" s="76" t="str">
        <f aca="false">IF($I20&gt;0%,IF(AND(CS$16&gt;=$F20,CS$16&lt;$F20+($G20*$I20)),"➤",""),"")</f>
        <v/>
      </c>
      <c r="CT20" s="76" t="str">
        <f aca="false">IF($I20&gt;0%,IF(AND(CT$16&gt;=$F20,CT$16&lt;$F20+($G20*$I20)),"➤",""),"")</f>
        <v/>
      </c>
      <c r="CU20" s="76" t="str">
        <f aca="false">IF($I20&gt;0%,IF(AND(CU$16&gt;=$F20,CU$16&lt;$F20+($G20*$I20)),"➤",""),"")</f>
        <v/>
      </c>
      <c r="CV20" s="76" t="str">
        <f aca="false">IF($I20&gt;0%,IF(AND(CV$16&gt;=$F20,CV$16&lt;$F20+($G20*$I20)),"➤",""),"")</f>
        <v/>
      </c>
      <c r="CW20" s="76" t="str">
        <f aca="false">IF($I20&gt;0%,IF(AND(CW$16&gt;=$F20,CW$16&lt;$F20+($G20*$I20)),"➤",""),"")</f>
        <v/>
      </c>
      <c r="CX20" s="76" t="str">
        <f aca="false">IF($I20&gt;0%,IF(AND(CX$16&gt;=$F20,CX$16&lt;$F20+($G20*$I20)),"➤",""),"")</f>
        <v/>
      </c>
      <c r="CY20" s="76" t="str">
        <f aca="false">IF($I20&gt;0%,IF(AND(CY$16&gt;=$F20,CY$16&lt;$F20+($G20*$I20)),"➤",""),"")</f>
        <v/>
      </c>
      <c r="CZ20" s="76" t="str">
        <f aca="false">IF($I20&gt;0%,IF(AND(CZ$16&gt;=$F20,CZ$16&lt;$F20+($G20*$I20)),"➤",""),"")</f>
        <v/>
      </c>
      <c r="DA20" s="76" t="str">
        <f aca="false">IF($I20&gt;0%,IF(AND(DA$16&gt;=$F20,DA$16&lt;$F20+($G20*$I20)),"➤",""),"")</f>
        <v/>
      </c>
      <c r="DB20" s="76" t="str">
        <f aca="false">IF($I20&gt;0%,IF(AND(DB$16&gt;=$F20,DB$16&lt;$F20+($G20*$I20)),"➤",""),"")</f>
        <v/>
      </c>
      <c r="DC20" s="76" t="str">
        <f aca="false">IF($I20&gt;0%,IF(AND(DC$16&gt;=$F20,DC$16&lt;$F20+($G20*$I20)),"➤",""),"")</f>
        <v/>
      </c>
      <c r="DD20" s="76" t="str">
        <f aca="false">IF($I20&gt;0%,IF(AND(DD$16&gt;=$F20,DD$16&lt;$F20+($G20*$I20)),"➤",""),"")</f>
        <v/>
      </c>
      <c r="DE20" s="76" t="str">
        <f aca="false">IF($I20&gt;0%,IF(AND(DE$16&gt;=$F20,DE$16&lt;$F20+($G20*$I20)),"➤",""),"")</f>
        <v/>
      </c>
      <c r="DF20" s="76" t="str">
        <f aca="false">IF($I20&gt;0%,IF(AND(DF$16&gt;=$F20,DF$16&lt;$F20+($G20*$I20)),"➤",""),"")</f>
        <v/>
      </c>
      <c r="DG20" s="76" t="str">
        <f aca="false">IF($I20&gt;0%,IF(AND(DG$16&gt;=$F20,DG$16&lt;$F20+($G20*$I20)),"➤",""),"")</f>
        <v/>
      </c>
      <c r="DH20" s="76" t="str">
        <f aca="false">IF($I20&gt;0%,IF(AND(DH$16&gt;=$F20,DH$16&lt;$F20+($G20*$I20)),"➤",""),"")</f>
        <v/>
      </c>
      <c r="DI20" s="76" t="str">
        <f aca="false">IF($I20&gt;0%,IF(AND(DI$16&gt;=$F20,DI$16&lt;$F20+($G20*$I20)),"➤",""),"")</f>
        <v/>
      </c>
      <c r="DJ20" s="76" t="str">
        <f aca="false">IF($I20&gt;0%,IF(AND(DJ$16&gt;=$F20,DJ$16&lt;$F20+($G20*$I20)),"➤",""),"")</f>
        <v/>
      </c>
      <c r="DK20" s="76" t="str">
        <f aca="false">IF($I20&gt;0%,IF(AND(DK$16&gt;=$F20,DK$16&lt;$F20+($G20*$I20)),"➤",""),"")</f>
        <v/>
      </c>
      <c r="DL20" s="76" t="str">
        <f aca="false">IF($I20&gt;0%,IF(AND(DL$16&gt;=$F20,DL$16&lt;$F20+($G20*$I20)),"➤",""),"")</f>
        <v/>
      </c>
      <c r="DM20" s="76" t="str">
        <f aca="false">IF($I20&gt;0%,IF(AND(DM$16&gt;=$F20,DM$16&lt;$F20+($G20*$I20)),"➤",""),"")</f>
        <v/>
      </c>
      <c r="DN20" s="76" t="str">
        <f aca="false">IF($I20&gt;0%,IF(AND(DN$16&gt;=$F20,DN$16&lt;$F20+($G20*$I20)),"➤",""),"")</f>
        <v/>
      </c>
      <c r="DO20" s="76" t="str">
        <f aca="false">IF($I20&gt;0%,IF(AND(DO$16&gt;=$F20,DO$16&lt;$F20+($G20*$I20)),"➤",""),"")</f>
        <v/>
      </c>
      <c r="DP20" s="76" t="str">
        <f aca="false">IF($I20&gt;0%,IF(AND(DP$16&gt;=$F20,DP$16&lt;$F20+($G20*$I20)),"➤",""),"")</f>
        <v/>
      </c>
      <c r="DQ20" s="76" t="str">
        <f aca="false">IF($I20&gt;0%,IF(AND(DQ$16&gt;=$F20,DQ$16&lt;$F20+($G20*$I20)),"➤",""),"")</f>
        <v/>
      </c>
      <c r="DR20" s="76" t="str">
        <f aca="false">IF($I20&gt;0%,IF(AND(DR$16&gt;=$F20,DR$16&lt;$F20+($G20*$I20)),"➤",""),"")</f>
        <v/>
      </c>
      <c r="DS20" s="76" t="str">
        <f aca="false">IF($I20&gt;0%,IF(AND(DS$16&gt;=$F20,DS$16&lt;$F20+($G20*$I20)),"➤",""),"")</f>
        <v/>
      </c>
      <c r="DT20" s="76" t="str">
        <f aca="false">IF($I20&gt;0%,IF(AND(DT$16&gt;=$F20,DT$16&lt;$F20+($G20*$I20)),"➤",""),"")</f>
        <v/>
      </c>
      <c r="DU20" s="76" t="str">
        <f aca="false">IF($I20&gt;0%,IF(AND(DU$16&gt;=$F20,DU$16&lt;$F20+($G20*$I20)),"➤",""),"")</f>
        <v/>
      </c>
      <c r="DV20" s="76" t="str">
        <f aca="false">IF($I20&gt;0%,IF(AND(DV$16&gt;=$F20,DV$16&lt;$F20+($G20*$I20)),"➤",""),"")</f>
        <v/>
      </c>
      <c r="DW20" s="76" t="str">
        <f aca="false">IF($I20&gt;0%,IF(AND(DW$16&gt;=$F20,DW$16&lt;$F20+($G20*$I20)),"➤",""),"")</f>
        <v/>
      </c>
      <c r="DX20" s="76" t="str">
        <f aca="false">IF($I20&gt;0%,IF(AND(DX$16&gt;=$F20,DX$16&lt;$F20+($G20*$I20)),"➤",""),"")</f>
        <v/>
      </c>
      <c r="DY20" s="76" t="str">
        <f aca="false">IF($I20&gt;0%,IF(AND(DY$16&gt;=$F20,DY$16&lt;$F20+($G20*$I20)),"➤",""),"")</f>
        <v/>
      </c>
      <c r="DZ20" s="76" t="str">
        <f aca="false">IF($I20&gt;0%,IF(AND(DZ$16&gt;=$F20,DZ$16&lt;$F20+($G20*$I20)),"➤",""),"")</f>
        <v/>
      </c>
      <c r="EA20" s="76" t="str">
        <f aca="false">IF($I20&gt;0%,IF(AND(EA$16&gt;=$F20,EA$16&lt;$F20+($G20*$I20)),"➤",""),"")</f>
        <v/>
      </c>
      <c r="EB20" s="76" t="str">
        <f aca="false">IF($I20&gt;0%,IF(AND(EB$16&gt;=$F20,EB$16&lt;$F20+($G20*$I20)),"➤",""),"")</f>
        <v/>
      </c>
      <c r="EC20" s="76" t="str">
        <f aca="false">IF($I20&gt;0%,IF(AND(EC$16&gt;=$F20,EC$16&lt;$F20+($G20*$I20)),"➤",""),"")</f>
        <v/>
      </c>
      <c r="ED20" s="76" t="str">
        <f aca="false">IF($I20&gt;0%,IF(AND(ED$16&gt;=$F20,ED$16&lt;$F20+($G20*$I20)),"➤",""),"")</f>
        <v/>
      </c>
      <c r="EE20" s="76" t="str">
        <f aca="false">IF($I20&gt;0%,IF(AND(EE$16&gt;=$F20,EE$16&lt;$F20+($G20*$I20)),"➤",""),"")</f>
        <v/>
      </c>
      <c r="EF20" s="76" t="str">
        <f aca="false">IF($I20&gt;0%,IF(AND(EF$16&gt;=$F20,EF$16&lt;$F20+($G20*$I20)),"➤",""),"")</f>
        <v/>
      </c>
      <c r="EG20" s="76" t="str">
        <f aca="false">IF($I20&gt;0%,IF(AND(EG$16&gt;=$F20,EG$16&lt;$F20+($G20*$I20)),"➤",""),"")</f>
        <v/>
      </c>
      <c r="EH20" s="76" t="str">
        <f aca="false">IF($I20&gt;0%,IF(AND(EH$16&gt;=$F20,EH$16&lt;$F20+($G20*$I20)),"➤",""),"")</f>
        <v/>
      </c>
      <c r="EI20" s="76" t="str">
        <f aca="false">IF($I20&gt;0%,IF(AND(EI$16&gt;=$F20,EI$16&lt;$F20+($G20*$I20)),"➤",""),"")</f>
        <v/>
      </c>
      <c r="EJ20" s="76" t="str">
        <f aca="false">IF($I20&gt;0%,IF(AND(EJ$16&gt;=$F20,EJ$16&lt;$F20+($G20*$I20)),"➤",""),"")</f>
        <v/>
      </c>
      <c r="EK20" s="76" t="str">
        <f aca="false">IF($I20&gt;0%,IF(AND(EK$16&gt;=$F20,EK$16&lt;$F20+($G20*$I20)),"➤",""),"")</f>
        <v/>
      </c>
      <c r="EL20" s="76" t="str">
        <f aca="false">IF($I20&gt;0%,IF(AND(EL$16&gt;=$F20,EL$16&lt;$F20+($G20*$I20)),"➤",""),"")</f>
        <v/>
      </c>
      <c r="EM20" s="76" t="str">
        <f aca="false">IF($I20&gt;0%,IF(AND(EM$16&gt;=$F20,EM$16&lt;$F20+($G20*$I20)),"➤",""),"")</f>
        <v/>
      </c>
      <c r="EN20" s="76" t="str">
        <f aca="false">IF($I20&gt;0%,IF(AND(EN$16&gt;=$F20,EN$16&lt;$F20+($G20*$I20)),"➤",""),"")</f>
        <v/>
      </c>
      <c r="EO20" s="76" t="str">
        <f aca="false">IF($I20&gt;0%,IF(AND(EO$16&gt;=$F20,EO$16&lt;$F20+($G20*$I20)),"➤",""),"")</f>
        <v/>
      </c>
      <c r="EP20" s="76" t="str">
        <f aca="false">IF($I20&gt;0%,IF(AND(EP$16&gt;=$F20,EP$16&lt;$F20+($G20*$I20)),"➤",""),"")</f>
        <v/>
      </c>
      <c r="EQ20" s="76" t="str">
        <f aca="false">IF($I20&gt;0%,IF(AND(EQ$16&gt;=$F20,EQ$16&lt;$F20+($G20*$I20)),"➤",""),"")</f>
        <v/>
      </c>
      <c r="ER20" s="76" t="str">
        <f aca="false">IF($I20&gt;0%,IF(AND(ER$16&gt;=$F20,ER$16&lt;$F20+($G20*$I20)),"➤",""),"")</f>
        <v/>
      </c>
      <c r="ES20" s="76" t="str">
        <f aca="false">IF($I20&gt;0%,IF(AND(ES$16&gt;=$F20,ES$16&lt;$F20+($G20*$I20)),"➤",""),"")</f>
        <v/>
      </c>
      <c r="ET20" s="76" t="str">
        <f aca="false">IF($I20&gt;0%,IF(AND(ET$16&gt;=$F20,ET$16&lt;$F20+($G20*$I20)),"➤",""),"")</f>
        <v/>
      </c>
      <c r="EU20" s="76" t="str">
        <f aca="false">IF($I20&gt;0%,IF(AND(EU$16&gt;=$F20,EU$16&lt;$F20+($G20*$I20)),"➤",""),"")</f>
        <v/>
      </c>
      <c r="EV20" s="76" t="str">
        <f aca="false">IF($I20&gt;0%,IF(AND(EV$16&gt;=$F20,EV$16&lt;$F20+($G20*$I20)),"➤",""),"")</f>
        <v/>
      </c>
      <c r="EW20" s="76" t="str">
        <f aca="false">IF($I20&gt;0%,IF(AND(EW$16&gt;=$F20,EW$16&lt;$F20+($G20*$I20)),"➤",""),"")</f>
        <v/>
      </c>
      <c r="EX20" s="76" t="str">
        <f aca="false">IF($I20&gt;0%,IF(AND(EX$16&gt;=$F20,EX$16&lt;$F20+($G20*$I20)),"➤",""),"")</f>
        <v/>
      </c>
      <c r="EY20" s="76" t="str">
        <f aca="false">IF($I20&gt;0%,IF(AND(EY$16&gt;=$F20,EY$16&lt;$F20+($G20*$I20)),"➤",""),"")</f>
        <v/>
      </c>
      <c r="EZ20" s="76" t="str">
        <f aca="false">IF($I20&gt;0%,IF(AND(EZ$16&gt;=$F20,EZ$16&lt;$F20+($G20*$I20)),"➤",""),"")</f>
        <v/>
      </c>
      <c r="FA20" s="76" t="str">
        <f aca="false">IF($I20&gt;0%,IF(AND(FA$16&gt;=$F20,FA$16&lt;$F20+($G20*$I20)),"➤",""),"")</f>
        <v/>
      </c>
      <c r="FB20" s="76" t="str">
        <f aca="false">IF($I20&gt;0%,IF(AND(FB$16&gt;=$F20,FB$16&lt;$F20+($G20*$I20)),"➤",""),"")</f>
        <v/>
      </c>
      <c r="FC20" s="76" t="str">
        <f aca="false">IF($I20&gt;0%,IF(AND(FC$16&gt;=$F20,FC$16&lt;$F20+($G20*$I20)),"➤",""),"")</f>
        <v/>
      </c>
      <c r="FD20" s="76" t="str">
        <f aca="false">IF($I20&gt;0%,IF(AND(FD$16&gt;=$F20,FD$16&lt;$F20+($G20*$I20)),"➤",""),"")</f>
        <v/>
      </c>
      <c r="FE20" s="76" t="str">
        <f aca="false">IF($I20&gt;0%,IF(AND(FE$16&gt;=$F20,FE$16&lt;$F20+($G20*$I20)),"➤",""),"")</f>
        <v/>
      </c>
      <c r="FF20" s="76" t="str">
        <f aca="false">IF($I20&gt;0%,IF(AND(FF$16&gt;=$F20,FF$16&lt;$F20+($G20*$I20)),"➤",""),"")</f>
        <v/>
      </c>
      <c r="FG20" s="76" t="str">
        <f aca="false">IF($I20&gt;0%,IF(AND(FG$16&gt;=$F20,FG$16&lt;$F20+($G20*$I20)),"➤",""),"")</f>
        <v/>
      </c>
      <c r="FH20" s="76" t="str">
        <f aca="false">IF($I20&gt;0%,IF(AND(FH$16&gt;=$F20,FH$16&lt;$F20+($G20*$I20)),"➤",""),"")</f>
        <v/>
      </c>
      <c r="FI20" s="76" t="str">
        <f aca="false">IF($I20&gt;0%,IF(AND(FI$16&gt;=$F20,FI$16&lt;$F20+($G20*$I20)),"➤",""),"")</f>
        <v/>
      </c>
      <c r="FJ20" s="76" t="str">
        <f aca="false">IF($I20&gt;0%,IF(AND(FJ$16&gt;=$F20,FJ$16&lt;$F20+($G20*$I20)),"➤",""),"")</f>
        <v/>
      </c>
      <c r="FK20" s="76" t="str">
        <f aca="false">IF($I20&gt;0%,IF(AND(FK$16&gt;=$F20,FK$16&lt;$F20+($G20*$I20)),"➤",""),"")</f>
        <v/>
      </c>
      <c r="FL20" s="76" t="str">
        <f aca="false">IF($I20&gt;0%,IF(AND(FL$16&gt;=$F20,FL$16&lt;$F20+($G20*$I20)),"➤",""),"")</f>
        <v/>
      </c>
      <c r="FM20" s="76" t="str">
        <f aca="false">IF($I20&gt;0%,IF(AND(FM$16&gt;=$F20,FM$16&lt;$F20+($G20*$I20)),"➤",""),"")</f>
        <v/>
      </c>
      <c r="FN20" s="76" t="str">
        <f aca="false">IF($I20&gt;0%,IF(AND(FN$16&gt;=$F20,FN$16&lt;$F20+($G20*$I20)),"➤",""),"")</f>
        <v/>
      </c>
      <c r="FO20" s="76" t="str">
        <f aca="false">IF($I20&gt;0%,IF(AND(FO$16&gt;=$F20,FO$16&lt;$F20+($G20*$I20)),"➤",""),"")</f>
        <v/>
      </c>
      <c r="FP20" s="76" t="str">
        <f aca="false">IF($I20&gt;0%,IF(AND(FP$16&gt;=$F20,FP$16&lt;$F20+($G20*$I20)),"➤",""),"")</f>
        <v/>
      </c>
      <c r="FQ20" s="76" t="str">
        <f aca="false">IF($I20&gt;0%,IF(AND(FQ$16&gt;=$F20,FQ$16&lt;$F20+($G20*$I20)),"➤",""),"")</f>
        <v/>
      </c>
      <c r="FR20" s="76" t="str">
        <f aca="false">IF($I20&gt;0%,IF(AND(FR$16&gt;=$F20,FR$16&lt;$F20+($G20*$I20)),"➤",""),"")</f>
        <v/>
      </c>
      <c r="FS20" s="76" t="str">
        <f aca="false">IF($I20&gt;0%,IF(AND(FS$16&gt;=$F20,FS$16&lt;$F20+($G20*$I20)),"➤",""),"")</f>
        <v/>
      </c>
      <c r="FT20" s="76" t="str">
        <f aca="false">IF($I20&gt;0%,IF(AND(FT$16&gt;=$F20,FT$16&lt;$F20+($G20*$I20)),"➤",""),"")</f>
        <v/>
      </c>
      <c r="FU20" s="76" t="str">
        <f aca="false">IF($I20&gt;0%,IF(AND(FU$16&gt;=$F20,FU$16&lt;$F20+($G20*$I20)),"➤",""),"")</f>
        <v/>
      </c>
      <c r="FV20" s="76" t="str">
        <f aca="false">IF($I20&gt;0%,IF(AND(FV$16&gt;=$F20,FV$16&lt;$F20+($G20*$I20)),"➤",""),"")</f>
        <v/>
      </c>
      <c r="FW20" s="76" t="str">
        <f aca="false">IF($I20&gt;0%,IF(AND(FW$16&gt;=$F20,FW$16&lt;$F20+($G20*$I20)),"➤",""),"")</f>
        <v/>
      </c>
      <c r="FX20" s="76" t="str">
        <f aca="false">IF($I20&gt;0%,IF(AND(FX$16&gt;=$F20,FX$16&lt;$F20+($G20*$I20)),"➤",""),"")</f>
        <v/>
      </c>
      <c r="FY20" s="76" t="str">
        <f aca="false">IF($I20&gt;0%,IF(AND(FY$16&gt;=$F20,FY$16&lt;$F20+($G20*$I20)),"➤",""),"")</f>
        <v/>
      </c>
      <c r="FZ20" s="76" t="str">
        <f aca="false">IF($I20&gt;0%,IF(AND(FZ$16&gt;=$F20,FZ$16&lt;$F20+($G20*$I20)),"➤",""),"")</f>
        <v/>
      </c>
      <c r="GA20" s="76" t="str">
        <f aca="false">IF($I20&gt;0%,IF(AND(GA$16&gt;=$F20,GA$16&lt;$F20+($G20*$I20)),"➤",""),"")</f>
        <v/>
      </c>
      <c r="GB20" s="76" t="str">
        <f aca="false">IF($I20&gt;0%,IF(AND(GB$16&gt;=$F20,GB$16&lt;$F20+($G20*$I20)),"➤",""),"")</f>
        <v/>
      </c>
      <c r="GC20" s="76" t="str">
        <f aca="false">IF($I20&gt;0%,IF(AND(GC$16&gt;=$F20,GC$16&lt;$F20+($G20*$I20)),"➤",""),"")</f>
        <v/>
      </c>
      <c r="GD20" s="76" t="str">
        <f aca="false">IF($I20&gt;0%,IF(AND(GD$16&gt;=$F20,GD$16&lt;$F20+($G20*$I20)),"➤",""),"")</f>
        <v/>
      </c>
      <c r="GE20" s="76" t="str">
        <f aca="false">IF($I20&gt;0%,IF(AND(GE$16&gt;=$F20,GE$16&lt;$F20+($G20*$I20)),"➤",""),"")</f>
        <v/>
      </c>
      <c r="GF20" s="76" t="str">
        <f aca="false">IF($I20&gt;0%,IF(AND(GF$16&gt;=$F20,GF$16&lt;$F20+($G20*$I20)),"➤",""),"")</f>
        <v/>
      </c>
      <c r="GG20" s="76" t="str">
        <f aca="false">IF($I20&gt;0%,IF(AND(GG$16&gt;=$F20,GG$16&lt;$F20+($G20*$I20)),"➤",""),"")</f>
        <v/>
      </c>
      <c r="GH20" s="76" t="str">
        <f aca="false">IF($I20&gt;0%,IF(AND(GH$16&gt;=$F20,GH$16&lt;$F20+($G20*$I20)),"➤",""),"")</f>
        <v/>
      </c>
      <c r="GI20" s="76" t="str">
        <f aca="false">IF($I20&gt;0%,IF(AND(GI$16&gt;=$F20,GI$16&lt;$F20+($G20*$I20)),"➤",""),"")</f>
        <v/>
      </c>
      <c r="GJ20" s="76" t="str">
        <f aca="false">IF($I20&gt;0%,IF(AND(GJ$16&gt;=$F20,GJ$16&lt;$F20+($G20*$I20)),"➤",""),"")</f>
        <v/>
      </c>
      <c r="GK20" s="76" t="str">
        <f aca="false">IF($I20&gt;0%,IF(AND(GK$16&gt;=$F20,GK$16&lt;$F20+($G20*$I20)),"➤",""),"")</f>
        <v/>
      </c>
      <c r="GL20" s="76" t="str">
        <f aca="false">IF($I20&gt;0%,IF(AND(GL$16&gt;=$F20,GL$16&lt;$F20+($G20*$I20)),"➤",""),"")</f>
        <v/>
      </c>
      <c r="GM20" s="76" t="str">
        <f aca="false">IF($I20&gt;0%,IF(AND(GM$16&gt;=$F20,GM$16&lt;$F20+($G20*$I20)),"➤",""),"")</f>
        <v/>
      </c>
      <c r="GN20" s="76" t="str">
        <f aca="false">IF($I20&gt;0%,IF(AND(GN$16&gt;=$F20,GN$16&lt;$F20+($G20*$I20)),"➤",""),"")</f>
        <v/>
      </c>
      <c r="GO20" s="76" t="str">
        <f aca="false">IF($I20&gt;0%,IF(AND(GO$16&gt;=$F20,GO$16&lt;$F20+($G20*$I20)),"➤",""),"")</f>
        <v/>
      </c>
      <c r="GP20" s="76" t="str">
        <f aca="false">IF($I20&gt;0%,IF(AND(GP$16&gt;=$F20,GP$16&lt;$F20+($G20*$I20)),"➤",""),"")</f>
        <v/>
      </c>
      <c r="GQ20" s="76" t="str">
        <f aca="false">IF($I20&gt;0%,IF(AND(GQ$16&gt;=$F20,GQ$16&lt;$F20+($G20*$I20)),"➤",""),"")</f>
        <v/>
      </c>
      <c r="GR20" s="76" t="str">
        <f aca="false">IF($I20&gt;0%,IF(AND(GR$16&gt;=$F20,GR$16&lt;$F20+($G20*$I20)),"➤",""),"")</f>
        <v/>
      </c>
      <c r="GS20" s="76" t="str">
        <f aca="false">IF($I20&gt;0%,IF(AND(GS$16&gt;=$F20,GS$16&lt;$F20+($G20*$I20)),"➤",""),"")</f>
        <v/>
      </c>
      <c r="GT20" s="76" t="str">
        <f aca="false">IF($I20&gt;0%,IF(AND(GT$16&gt;=$F20,GT$16&lt;$F20+($G20*$I20)),"➤",""),"")</f>
        <v/>
      </c>
      <c r="GU20" s="76" t="str">
        <f aca="false">IF($I20&gt;0%,IF(AND(GU$16&gt;=$F20,GU$16&lt;$F20+($G20*$I20)),"➤",""),"")</f>
        <v/>
      </c>
      <c r="GV20" s="76" t="str">
        <f aca="false">IF($I20&gt;0%,IF(AND(GV$16&gt;=$F20,GV$16&lt;$F20+($G20*$I20)),"➤",""),"")</f>
        <v/>
      </c>
      <c r="GW20" s="76" t="str">
        <f aca="false">IF($I20&gt;0%,IF(AND(GW$16&gt;=$F20,GW$16&lt;$F20+($G20*$I20)),"➤",""),"")</f>
        <v/>
      </c>
      <c r="GX20" s="76" t="str">
        <f aca="false">IF($I20&gt;0%,IF(AND(GX$16&gt;=$F20,GX$16&lt;$F20+($G20*$I20)),"➤",""),"")</f>
        <v/>
      </c>
      <c r="GY20" s="76" t="str">
        <f aca="false">IF($I20&gt;0%,IF(AND(GY$16&gt;=$F20,GY$16&lt;$F20+($G20*$I20)),"➤",""),"")</f>
        <v/>
      </c>
      <c r="GZ20" s="76" t="str">
        <f aca="false">IF($I20&gt;0%,IF(AND(GZ$16&gt;=$F20,GZ$16&lt;$F20+($G20*$I20)),"➤",""),"")</f>
        <v/>
      </c>
      <c r="HA20" s="76" t="str">
        <f aca="false">IF($I20&gt;0%,IF(AND(HA$16&gt;=$F20,HA$16&lt;$F20+($G20*$I20)),"➤",""),"")</f>
        <v/>
      </c>
      <c r="HB20" s="76" t="str">
        <f aca="false">IF($I20&gt;0%,IF(AND(HB$16&gt;=$F20,HB$16&lt;$F20+($G20*$I20)),"➤",""),"")</f>
        <v/>
      </c>
      <c r="HC20" s="76" t="str">
        <f aca="false">IF($I20&gt;0%,IF(AND(HC$16&gt;=$F20,HC$16&lt;$F20+($G20*$I20)),"➤",""),"")</f>
        <v/>
      </c>
      <c r="HD20" s="76" t="str">
        <f aca="false">IF($I20&gt;0%,IF(AND(HD$16&gt;=$F20,HD$16&lt;$F20+($G20*$I20)),"➤",""),"")</f>
        <v/>
      </c>
      <c r="HE20" s="76" t="str">
        <f aca="false">IF($I20&gt;0%,IF(AND(HE$16&gt;=$F20,HE$16&lt;$F20+($G20*$I20)),"➤",""),"")</f>
        <v/>
      </c>
      <c r="HF20" s="76" t="str">
        <f aca="false">IF($I20&gt;0%,IF(AND(HF$16&gt;=$F20,HF$16&lt;$F20+($G20*$I20)),"➤",""),"")</f>
        <v/>
      </c>
      <c r="HG20" s="76" t="str">
        <f aca="false">IF($I20&gt;0%,IF(AND(HG$16&gt;=$F20,HG$16&lt;$F20+($G20*$I20)),"➤",""),"")</f>
        <v/>
      </c>
      <c r="HH20" s="76" t="str">
        <f aca="false">IF($I20&gt;0%,IF(AND(HH$16&gt;=$F20,HH$16&lt;$F20+($G20*$I20)),"➤",""),"")</f>
        <v/>
      </c>
      <c r="HI20" s="76" t="str">
        <f aca="false">IF($I20&gt;0%,IF(AND(HI$16&gt;=$F20,HI$16&lt;$F20+($G20*$I20)),"➤",""),"")</f>
        <v/>
      </c>
      <c r="HJ20" s="76" t="str">
        <f aca="false">IF($I20&gt;0%,IF(AND(HJ$16&gt;=$F20,HJ$16&lt;$F20+($G20*$I20)),"➤",""),"")</f>
        <v/>
      </c>
      <c r="HK20" s="76" t="str">
        <f aca="false">IF($I20&gt;0%,IF(AND(HK$16&gt;=$F20,HK$16&lt;$F20+($G20*$I20)),"➤",""),"")</f>
        <v/>
      </c>
      <c r="HL20" s="76" t="str">
        <f aca="false">IF($I20&gt;0%,IF(AND(HL$16&gt;=$F20,HL$16&lt;$F20+($G20*$I20)),"➤",""),"")</f>
        <v/>
      </c>
      <c r="HM20" s="76" t="str">
        <f aca="false">IF($I20&gt;0%,IF(AND(HM$16&gt;=$F20,HM$16&lt;$F20+($G20*$I20)),"➤",""),"")</f>
        <v/>
      </c>
      <c r="HN20" s="76" t="str">
        <f aca="false">IF($I20&gt;0%,IF(AND(HN$16&gt;=$F20,HN$16&lt;$F20+($G20*$I20)),"➤",""),"")</f>
        <v/>
      </c>
      <c r="HO20" s="76" t="str">
        <f aca="false">IF($I20&gt;0%,IF(AND(HO$16&gt;=$F20,HO$16&lt;$F20+($G20*$I20)),"➤",""),"")</f>
        <v/>
      </c>
      <c r="HP20" s="76" t="str">
        <f aca="false">IF($I20&gt;0%,IF(AND(HP$16&gt;=$F20,HP$16&lt;$F20+($G20*$I20)),"➤",""),"")</f>
        <v/>
      </c>
      <c r="HQ20" s="76" t="str">
        <f aca="false">IF($I20&gt;0%,IF(AND(HQ$16&gt;=$F20,HQ$16&lt;$F20+($G20*$I20)),"➤",""),"")</f>
        <v/>
      </c>
      <c r="HR20" s="76" t="str">
        <f aca="false">IF($I20&gt;0%,IF(AND(HR$16&gt;=$F20,HR$16&lt;$F20+($G20*$I20)),"➤",""),"")</f>
        <v/>
      </c>
      <c r="HS20" s="76" t="str">
        <f aca="false">IF($I20&gt;0%,IF(AND(HS$16&gt;=$F20,HS$16&lt;$F20+($G20*$I20)),"➤",""),"")</f>
        <v/>
      </c>
      <c r="HT20" s="76" t="str">
        <f aca="false">IF($I20&gt;0%,IF(AND(HT$16&gt;=$F20,HT$16&lt;$F20+($G20*$I20)),"➤",""),"")</f>
        <v/>
      </c>
      <c r="HU20" s="76" t="str">
        <f aca="false">IF($I20&gt;0%,IF(AND(HU$16&gt;=$F20,HU$16&lt;$F20+($G20*$I20)),"➤",""),"")</f>
        <v/>
      </c>
      <c r="HV20" s="76" t="str">
        <f aca="false">IF($I20&gt;0%,IF(AND(HV$16&gt;=$F20,HV$16&lt;$F20+($G20*$I20)),"➤",""),"")</f>
        <v/>
      </c>
      <c r="HW20" s="76" t="str">
        <f aca="false">IF($I20&gt;0%,IF(AND(HW$16&gt;=$F20,HW$16&lt;$F20+($G20*$I20)),"➤",""),"")</f>
        <v/>
      </c>
      <c r="HX20" s="76" t="str">
        <f aca="false">IF($I20&gt;0%,IF(AND(HX$16&gt;=$F20,HX$16&lt;$F20+($G20*$I20)),"➤",""),"")</f>
        <v/>
      </c>
      <c r="HY20" s="76" t="str">
        <f aca="false">IF($I20&gt;0%,IF(AND(HY$16&gt;=$F20,HY$16&lt;$F20+($G20*$I20)),"➤",""),"")</f>
        <v/>
      </c>
      <c r="HZ20" s="76" t="str">
        <f aca="false">IF($I20&gt;0%,IF(AND(HZ$16&gt;=$F20,HZ$16&lt;$F20+($G20*$I20)),"➤",""),"")</f>
        <v/>
      </c>
      <c r="IA20" s="76" t="str">
        <f aca="false">IF($I20&gt;0%,IF(AND(IA$16&gt;=$F20,IA$16&lt;$F20+($G20*$I20)),"➤",""),"")</f>
        <v/>
      </c>
      <c r="IB20" s="76" t="str">
        <f aca="false">IF($I20&gt;0%,IF(AND(IB$16&gt;=$F20,IB$16&lt;$F20+($G20*$I20)),"➤",""),"")</f>
        <v/>
      </c>
      <c r="IC20" s="76" t="str">
        <f aca="false">IF($I20&gt;0%,IF(AND(IC$16&gt;=$F20,IC$16&lt;$F20+($G20*$I20)),"➤",""),"")</f>
        <v/>
      </c>
      <c r="ID20" s="76" t="str">
        <f aca="false">IF($I20&gt;0%,IF(AND(ID$16&gt;=$F20,ID$16&lt;$F20+($G20*$I20)),"➤",""),"")</f>
        <v/>
      </c>
      <c r="IE20" s="76" t="str">
        <f aca="false">IF($I20&gt;0%,IF(AND(IE$16&gt;=$F20,IE$16&lt;$F20+($G20*$I20)),"➤",""),"")</f>
        <v/>
      </c>
      <c r="IF20" s="76" t="str">
        <f aca="false">IF($I20&gt;0%,IF(AND(IF$16&gt;=$F20,IF$16&lt;$F20+($G20*$I20)),"➤",""),"")</f>
        <v/>
      </c>
      <c r="IG20" s="76" t="str">
        <f aca="false">IF($I20&gt;0%,IF(AND(IG$16&gt;=$F20,IG$16&lt;$F20+($G20*$I20)),"➤",""),"")</f>
        <v/>
      </c>
      <c r="IH20" s="76" t="str">
        <f aca="false">IF($I20&gt;0%,IF(AND(IH$16&gt;=$F20,IH$16&lt;$F20+($G20*$I20)),"➤",""),"")</f>
        <v/>
      </c>
      <c r="II20" s="76" t="str">
        <f aca="false">IF($I20&gt;0%,IF(AND(II$16&gt;=$F20,II$16&lt;$F20+($G20*$I20)),"➤",""),"")</f>
        <v/>
      </c>
      <c r="IJ20" s="76" t="str">
        <f aca="false">IF($I20&gt;0%,IF(AND(IJ$16&gt;=$F20,IJ$16&lt;$F20+($G20*$I20)),"➤",""),"")</f>
        <v/>
      </c>
      <c r="IK20" s="76" t="str">
        <f aca="false">IF($I20&gt;0%,IF(AND(IK$16&gt;=$F20,IK$16&lt;$F20+($G20*$I20)),"➤",""),"")</f>
        <v/>
      </c>
      <c r="IL20" s="76" t="str">
        <f aca="false">IF($I20&gt;0%,IF(AND(IL$16&gt;=$F20,IL$16&lt;$F20+($G20*$I20)),"➤",""),"")</f>
        <v/>
      </c>
      <c r="IM20" s="76" t="str">
        <f aca="false">IF($I20&gt;0%,IF(AND(IM$16&gt;=$F20,IM$16&lt;$F20+($G20*$I20)),"➤",""),"")</f>
        <v/>
      </c>
      <c r="IN20" s="76" t="str">
        <f aca="false">IF($I20&gt;0%,IF(AND(IN$16&gt;=$F20,IN$16&lt;$F20+($G20*$I20)),"➤",""),"")</f>
        <v/>
      </c>
      <c r="IO20" s="76" t="str">
        <f aca="false">IF($I20&gt;0%,IF(AND(IO$16&gt;=$F20,IO$16&lt;$F20+($G20*$I20)),"➤",""),"")</f>
        <v/>
      </c>
      <c r="IP20" s="76" t="str">
        <f aca="false">IF($I20&gt;0%,IF(AND(IP$16&gt;=$F20,IP$16&lt;$F20+($G20*$I20)),"➤",""),"")</f>
        <v/>
      </c>
      <c r="IQ20" s="76" t="str">
        <f aca="false">IF($I20&gt;0%,IF(AND(IQ$16&gt;=$F20,IQ$16&lt;$F20+($G20*$I20)),"➤",""),"")</f>
        <v/>
      </c>
      <c r="IR20" s="76" t="str">
        <f aca="false">IF($I20&gt;0%,IF(AND(IR$16&gt;=$F20,IR$16&lt;$F20+($G20*$I20)),"➤",""),"")</f>
        <v/>
      </c>
      <c r="IS20" s="76" t="str">
        <f aca="false">IF($I20&gt;0%,IF(AND(IS$16&gt;=$F20,IS$16&lt;$F20+($G20*$I20)),"➤",""),"")</f>
        <v/>
      </c>
      <c r="IT20" s="76" t="str">
        <f aca="false">IF($I20&gt;0%,IF(AND(IT$16&gt;=$F20,IT$16&lt;$F20+($G20*$I20)),"➤",""),"")</f>
        <v/>
      </c>
      <c r="IU20" s="76" t="str">
        <f aca="false">IF($I20&gt;0%,IF(AND(IU$16&gt;=$F20,IU$16&lt;$F20+($G20*$I20)),"➤",""),"")</f>
        <v/>
      </c>
      <c r="IV20" s="76" t="str">
        <f aca="false">IF($I20&gt;0%,IF(AND(IV$16&gt;=$F20,IV$16&lt;$F20+($G20*$I20)),"➤",""),"")</f>
        <v/>
      </c>
      <c r="IW20" s="76" t="str">
        <f aca="false">IF($I20&gt;0%,IF(AND(IW$16&gt;=$F20,IW$16&lt;$F20+($G20*$I20)),"➤",""),"")</f>
        <v/>
      </c>
      <c r="IX20" s="76" t="str">
        <f aca="false">IF($I20&gt;0%,IF(AND(IX$16&gt;=$F20,IX$16&lt;$F20+($G20*$I20)),"➤",""),"")</f>
        <v/>
      </c>
      <c r="IY20" s="76" t="str">
        <f aca="false">IF($I20&gt;0%,IF(AND(IY$16&gt;=$F20,IY$16&lt;$F20+($G20*$I20)),"➤",""),"")</f>
        <v/>
      </c>
      <c r="IZ20" s="76" t="str">
        <f aca="false">IF($I20&gt;0%,IF(AND(IZ$16&gt;=$F20,IZ$16&lt;$F20+($G20*$I20)),"➤",""),"")</f>
        <v/>
      </c>
      <c r="JA20" s="76" t="str">
        <f aca="false">IF($I20&gt;0%,IF(AND(JA$16&gt;=$F20,JA$16&lt;$F20+($G20*$I20)),"➤",""),"")</f>
        <v/>
      </c>
      <c r="JB20" s="76" t="str">
        <f aca="false">IF($I20&gt;0%,IF(AND(JB$16&gt;=$F20,JB$16&lt;$F20+($G20*$I20)),"➤",""),"")</f>
        <v/>
      </c>
      <c r="JC20" s="76" t="str">
        <f aca="false">IF($I20&gt;0%,IF(AND(JC$16&gt;=$F20,JC$16&lt;$F20+($G20*$I20)),"➤",""),"")</f>
        <v/>
      </c>
      <c r="JD20" s="76" t="str">
        <f aca="false">IF($I20&gt;0%,IF(AND(JD$16&gt;=$F20,JD$16&lt;$F20+($G20*$I20)),"➤",""),"")</f>
        <v/>
      </c>
      <c r="JE20" s="76" t="str">
        <f aca="false">IF($I20&gt;0%,IF(AND(JE$16&gt;=$F20,JE$16&lt;$F20+($G20*$I20)),"➤",""),"")</f>
        <v/>
      </c>
      <c r="JF20" s="76" t="str">
        <f aca="false">IF($I20&gt;0%,IF(AND(JF$16&gt;=$F20,JF$16&lt;$F20+($G20*$I20)),"➤",""),"")</f>
        <v/>
      </c>
      <c r="JG20" s="76" t="str">
        <f aca="false">IF($I20&gt;0%,IF(AND(JG$16&gt;=$F20,JG$16&lt;$F20+($G20*$I20)),"➤",""),"")</f>
        <v/>
      </c>
      <c r="JH20" s="76" t="str">
        <f aca="false">IF($I20&gt;0%,IF(AND(JH$16&gt;=$F20,JH$16&lt;$F20+($G20*$I20)),"➤",""),"")</f>
        <v/>
      </c>
      <c r="JI20" s="76" t="str">
        <f aca="false">IF($I20&gt;0%,IF(AND(JI$16&gt;=$F20,JI$16&lt;$F20+($G20*$I20)),"➤",""),"")</f>
        <v/>
      </c>
      <c r="JJ20" s="76" t="str">
        <f aca="false">IF($I20&gt;0%,IF(AND(JJ$16&gt;=$F20,JJ$16&lt;$F20+($G20*$I20)),"➤",""),"")</f>
        <v/>
      </c>
      <c r="JK20" s="76" t="str">
        <f aca="false">IF($I20&gt;0%,IF(AND(JK$16&gt;=$F20,JK$16&lt;$F20+($G20*$I20)),"➤",""),"")</f>
        <v/>
      </c>
      <c r="JL20" s="76" t="str">
        <f aca="false">IF($I20&gt;0%,IF(AND(JL$16&gt;=$F20,JL$16&lt;$F20+($G20*$I20)),"➤",""),"")</f>
        <v/>
      </c>
      <c r="JM20" s="76" t="str">
        <f aca="false">IF($I20&gt;0%,IF(AND(JM$16&gt;=$F20,JM$16&lt;$F20+($G20*$I20)),"➤",""),"")</f>
        <v/>
      </c>
      <c r="JN20" s="76" t="str">
        <f aca="false">IF($I20&gt;0%,IF(AND(JN$16&gt;=$F20,JN$16&lt;$F20+($G20*$I20)),"➤",""),"")</f>
        <v/>
      </c>
      <c r="JO20" s="76" t="str">
        <f aca="false">IF($I20&gt;0%,IF(AND(JO$16&gt;=$F20,JO$16&lt;$F20+($G20*$I20)),"➤",""),"")</f>
        <v/>
      </c>
      <c r="JP20" s="76" t="str">
        <f aca="false">IF($I20&gt;0%,IF(AND(JP$16&gt;=$F20,JP$16&lt;$F20+($G20*$I20)),"➤",""),"")</f>
        <v/>
      </c>
      <c r="JQ20" s="76" t="str">
        <f aca="false">IF($I20&gt;0%,IF(AND(JQ$16&gt;=$F20,JQ$16&lt;$F20+($G20*$I20)),"➤",""),"")</f>
        <v/>
      </c>
      <c r="JR20" s="76" t="str">
        <f aca="false">IF($I20&gt;0%,IF(AND(JR$16&gt;=$F20,JR$16&lt;$F20+($G20*$I20)),"➤",""),"")</f>
        <v/>
      </c>
      <c r="JS20" s="76" t="str">
        <f aca="false">IF($I20&gt;0%,IF(AND(JS$16&gt;=$F20,JS$16&lt;$F20+($G20*$I20)),"➤",""),"")</f>
        <v/>
      </c>
      <c r="JT20" s="76" t="str">
        <f aca="false">IF($I20&gt;0%,IF(AND(JT$16&gt;=$F20,JT$16&lt;$F20+($G20*$I20)),"➤",""),"")</f>
        <v/>
      </c>
      <c r="JU20" s="76" t="str">
        <f aca="false">IF($I20&gt;0%,IF(AND(JU$16&gt;=$F20,JU$16&lt;$F20+($G20*$I20)),"➤",""),"")</f>
        <v/>
      </c>
      <c r="JV20" s="76" t="str">
        <f aca="false">IF($I20&gt;0%,IF(AND(JV$16&gt;=$F20,JV$16&lt;$F20+($G20*$I20)),"➤",""),"")</f>
        <v/>
      </c>
      <c r="JW20" s="76" t="str">
        <f aca="false">IF($I20&gt;0%,IF(AND(JW$16&gt;=$F20,JW$16&lt;$F20+($G20*$I20)),"➤",""),"")</f>
        <v/>
      </c>
      <c r="JX20" s="76" t="str">
        <f aca="false">IF($I20&gt;0%,IF(AND(JX$16&gt;=$F20,JX$16&lt;$F20+($G20*$I20)),"➤",""),"")</f>
        <v/>
      </c>
      <c r="JY20" s="76" t="str">
        <f aca="false">IF($I20&gt;0%,IF(AND(JY$16&gt;=$F20,JY$16&lt;$F20+($G20*$I20)),"➤",""),"")</f>
        <v/>
      </c>
      <c r="JZ20" s="76" t="str">
        <f aca="false">IF($I20&gt;0%,IF(AND(JZ$16&gt;=$F20,JZ$16&lt;$F20+($G20*$I20)),"➤",""),"")</f>
        <v/>
      </c>
      <c r="KA20" s="76" t="str">
        <f aca="false">IF($I20&gt;0%,IF(AND(KA$16&gt;=$F20,KA$16&lt;$F20+($G20*$I20)),"➤",""),"")</f>
        <v/>
      </c>
      <c r="KB20" s="76" t="str">
        <f aca="false">IF($I20&gt;0%,IF(AND(KB$16&gt;=$F20,KB$16&lt;$F20+($G20*$I20)),"➤",""),"")</f>
        <v/>
      </c>
      <c r="KC20" s="76" t="str">
        <f aca="false">IF($I20&gt;0%,IF(AND(KC$16&gt;=$F20,KC$16&lt;$F20+($G20*$I20)),"➤",""),"")</f>
        <v/>
      </c>
      <c r="KD20" s="76" t="str">
        <f aca="false">IF($I20&gt;0%,IF(AND(KD$16&gt;=$F20,KD$16&lt;$F20+($G20*$I20)),"➤",""),"")</f>
        <v/>
      </c>
      <c r="KE20" s="76" t="str">
        <f aca="false">IF($I20&gt;0%,IF(AND(KE$16&gt;=$F20,KE$16&lt;$F20+($G20*$I20)),"➤",""),"")</f>
        <v/>
      </c>
      <c r="KF20" s="76" t="str">
        <f aca="false">IF($I20&gt;0%,IF(AND(KF$16&gt;=$F20,KF$16&lt;$F20+($G20*$I20)),"➤",""),"")</f>
        <v/>
      </c>
      <c r="KG20" s="76" t="str">
        <f aca="false">IF($I20&gt;0%,IF(AND(KG$16&gt;=$F20,KG$16&lt;$F20+($G20*$I20)),"➤",""),"")</f>
        <v/>
      </c>
      <c r="KH20" s="76" t="str">
        <f aca="false">IF($I20&gt;0%,IF(AND(KH$16&gt;=$F20,KH$16&lt;$F20+($G20*$I20)),"➤",""),"")</f>
        <v/>
      </c>
      <c r="KI20" s="76" t="str">
        <f aca="false">IF($I20&gt;0%,IF(AND(KI$16&gt;=$F20,KI$16&lt;$F20+($G20*$I20)),"➤",""),"")</f>
        <v/>
      </c>
      <c r="KJ20" s="76" t="str">
        <f aca="false">IF($I20&gt;0%,IF(AND(KJ$16&gt;=$F20,KJ$16&lt;$F20+($G20*$I20)),"➤",""),"")</f>
        <v/>
      </c>
      <c r="KK20" s="76" t="str">
        <f aca="false">IF($I20&gt;0%,IF(AND(KK$16&gt;=$F20,KK$16&lt;$F20+($G20*$I20)),"➤",""),"")</f>
        <v/>
      </c>
      <c r="KL20" s="76" t="str">
        <f aca="false">IF($I20&gt;0%,IF(AND(KL$16&gt;=$F20,KL$16&lt;$F20+($G20*$I20)),"➤",""),"")</f>
        <v/>
      </c>
      <c r="KM20" s="76" t="str">
        <f aca="false">IF($I20&gt;0%,IF(AND(KM$16&gt;=$F20,KM$16&lt;$F20+($G20*$I20)),"➤",""),"")</f>
        <v/>
      </c>
      <c r="KN20" s="76" t="str">
        <f aca="false">IF($I20&gt;0%,IF(AND(KN$16&gt;=$F20,KN$16&lt;$F20+($G20*$I20)),"➤",""),"")</f>
        <v/>
      </c>
      <c r="KO20" s="76" t="str">
        <f aca="false">IF($I20&gt;0%,IF(AND(KO$16&gt;=$F20,KO$16&lt;$F20+($G20*$I20)),"➤",""),"")</f>
        <v/>
      </c>
      <c r="KP20" s="76" t="str">
        <f aca="false">IF($I20&gt;0%,IF(AND(KP$16&gt;=$F20,KP$16&lt;$F20+($G20*$I20)),"➤",""),"")</f>
        <v/>
      </c>
      <c r="KQ20" s="76" t="str">
        <f aca="false">IF($I20&gt;0%,IF(AND(KQ$16&gt;=$F20,KQ$16&lt;$F20+($G20*$I20)),"➤",""),"")</f>
        <v/>
      </c>
      <c r="KR20" s="76" t="str">
        <f aca="false">IF($I20&gt;0%,IF(AND(KR$16&gt;=$F20,KR$16&lt;$F20+($G20*$I20)),"➤",""),"")</f>
        <v/>
      </c>
      <c r="KS20" s="76" t="str">
        <f aca="false">IF($I20&gt;0%,IF(AND(KS$16&gt;=$F20,KS$16&lt;$F20+($G20*$I20)),"➤",""),"")</f>
        <v/>
      </c>
      <c r="KT20" s="76" t="str">
        <f aca="false">IF($I20&gt;0%,IF(AND(KT$16&gt;=$F20,KT$16&lt;$F20+($G20*$I20)),"➤",""),"")</f>
        <v/>
      </c>
      <c r="KU20" s="76" t="str">
        <f aca="false">IF($I20&gt;0%,IF(AND(KU$16&gt;=$F20,KU$16&lt;$F20+($G20*$I20)),"➤",""),"")</f>
        <v/>
      </c>
      <c r="KV20" s="76" t="str">
        <f aca="false">IF($I20&gt;0%,IF(AND(KV$16&gt;=$F20,KV$16&lt;$F20+($G20*$I20)),"➤",""),"")</f>
        <v/>
      </c>
      <c r="KW20" s="76" t="str">
        <f aca="false">IF($I20&gt;0%,IF(AND(KW$16&gt;=$F20,KW$16&lt;$F20+($G20*$I20)),"➤",""),"")</f>
        <v/>
      </c>
      <c r="KX20" s="76" t="str">
        <f aca="false">IF($I20&gt;0%,IF(AND(KX$16&gt;=$F20,KX$16&lt;$F20+($G20*$I20)),"➤",""),"")</f>
        <v/>
      </c>
      <c r="KY20" s="76" t="str">
        <f aca="false">IF($I20&gt;0%,IF(AND(KY$16&gt;=$F20,KY$16&lt;$F20+($G20*$I20)),"➤",""),"")</f>
        <v/>
      </c>
      <c r="KZ20" s="76" t="str">
        <f aca="false">IF($I20&gt;0%,IF(AND(KZ$16&gt;=$F20,KZ$16&lt;$F20+($G20*$I20)),"➤",""),"")</f>
        <v/>
      </c>
      <c r="LA20" s="76" t="str">
        <f aca="false">IF($I20&gt;0%,IF(AND(LA$16&gt;=$F20,LA$16&lt;$F20+($G20*$I20)),"➤",""),"")</f>
        <v/>
      </c>
      <c r="LB20" s="76" t="str">
        <f aca="false">IF($I20&gt;0%,IF(AND(LB$16&gt;=$F20,LB$16&lt;$F20+($G20*$I20)),"➤",""),"")</f>
        <v/>
      </c>
      <c r="LC20" s="76" t="str">
        <f aca="false">IF($I20&gt;0%,IF(AND(LC$16&gt;=$F20,LC$16&lt;$F20+($G20*$I20)),"➤",""),"")</f>
        <v/>
      </c>
      <c r="LD20" s="76" t="str">
        <f aca="false">IF($I20&gt;0%,IF(AND(LD$16&gt;=$F20,LD$16&lt;$F20+($G20*$I20)),"➤",""),"")</f>
        <v/>
      </c>
      <c r="LE20" s="76" t="str">
        <f aca="false">IF($I20&gt;0%,IF(AND(LE$16&gt;=$F20,LE$16&lt;$F20+($G20*$I20)),"➤",""),"")</f>
        <v/>
      </c>
      <c r="LF20" s="76" t="str">
        <f aca="false">IF($I20&gt;0%,IF(AND(LF$16&gt;=$F20,LF$16&lt;$F20+($G20*$I20)),"➤",""),"")</f>
        <v/>
      </c>
      <c r="LG20" s="76" t="str">
        <f aca="false">IF($I20&gt;0%,IF(AND(LG$16&gt;=$F20,LG$16&lt;$F20+($G20*$I20)),"➤",""),"")</f>
        <v/>
      </c>
      <c r="LH20" s="76" t="str">
        <f aca="false">IF($I20&gt;0%,IF(AND(LH$16&gt;=$F20,LH$16&lt;$F20+($G20*$I20)),"➤",""),"")</f>
        <v/>
      </c>
      <c r="LI20" s="76" t="str">
        <f aca="false">IF($I20&gt;0%,IF(AND(LI$16&gt;=$F20,LI$16&lt;$F20+($G20*$I20)),"➤",""),"")</f>
        <v/>
      </c>
      <c r="LJ20" s="76" t="str">
        <f aca="false">IF($I20&gt;0%,IF(AND(LJ$16&gt;=$F20,LJ$16&lt;$F20+($G20*$I20)),"➤",""),"")</f>
        <v/>
      </c>
      <c r="LK20" s="76" t="str">
        <f aca="false">IF($I20&gt;0%,IF(AND(LK$16&gt;=$F20,LK$16&lt;$F20+($G20*$I20)),"➤",""),"")</f>
        <v/>
      </c>
      <c r="LL20" s="76" t="str">
        <f aca="false">IF($I20&gt;0%,IF(AND(LL$16&gt;=$F20,LL$16&lt;$F20+($G20*$I20)),"➤",""),"")</f>
        <v/>
      </c>
      <c r="LM20" s="76" t="str">
        <f aca="false">IF($I20&gt;0%,IF(AND(LM$16&gt;=$F20,LM$16&lt;$F20+($G20*$I20)),"➤",""),"")</f>
        <v/>
      </c>
      <c r="LN20" s="76" t="str">
        <f aca="false">IF($I20&gt;0%,IF(AND(LN$16&gt;=$F20,LN$16&lt;$F20+($G20*$I20)),"➤",""),"")</f>
        <v/>
      </c>
      <c r="LO20" s="76" t="str">
        <f aca="false">IF($I20&gt;0%,IF(AND(LO$16&gt;=$F20,LO$16&lt;$F20+($G20*$I20)),"➤",""),"")</f>
        <v/>
      </c>
      <c r="LP20" s="76" t="str">
        <f aca="false">IF($I20&gt;0%,IF(AND(LP$16&gt;=$F20,LP$16&lt;$F20+($G20*$I20)),"➤",""),"")</f>
        <v/>
      </c>
      <c r="LQ20" s="76" t="str">
        <f aca="false">IF($I20&gt;0%,IF(AND(LQ$16&gt;=$F20,LQ$16&lt;$F20+($G20*$I20)),"➤",""),"")</f>
        <v/>
      </c>
      <c r="LR20" s="76" t="str">
        <f aca="false">IF($I20&gt;0%,IF(AND(LR$16&gt;=$F20,LR$16&lt;$F20+($G20*$I20)),"➤",""),"")</f>
        <v/>
      </c>
      <c r="LS20" s="76" t="str">
        <f aca="false">IF($I20&gt;0%,IF(AND(LS$16&gt;=$F20,LS$16&lt;$F20+($G20*$I20)),"➤",""),"")</f>
        <v/>
      </c>
      <c r="LT20" s="76" t="str">
        <f aca="false">IF($I20&gt;0%,IF(AND(LT$16&gt;=$F20,LT$16&lt;$F20+($G20*$I20)),"➤",""),"")</f>
        <v/>
      </c>
      <c r="LU20" s="76" t="str">
        <f aca="false">IF($I20&gt;0%,IF(AND(LU$16&gt;=$F20,LU$16&lt;$F20+($G20*$I20)),"➤",""),"")</f>
        <v/>
      </c>
      <c r="LV20" s="76" t="str">
        <f aca="false">IF($I20&gt;0%,IF(AND(LV$16&gt;=$F20,LV$16&lt;$F20+($G20*$I20)),"➤",""),"")</f>
        <v/>
      </c>
      <c r="LW20" s="76" t="str">
        <f aca="false">IF($I20&gt;0%,IF(AND(LW$16&gt;=$F20,LW$16&lt;$F20+($G20*$I20)),"➤",""),"")</f>
        <v/>
      </c>
      <c r="LX20" s="76" t="str">
        <f aca="false">IF($I20&gt;0%,IF(AND(LX$16&gt;=$F20,LX$16&lt;$F20+($G20*$I20)),"➤",""),"")</f>
        <v/>
      </c>
      <c r="LY20" s="76" t="str">
        <f aca="false">IF($I20&gt;0%,IF(AND(LY$16&gt;=$F20,LY$16&lt;$F20+($G20*$I20)),"➤",""),"")</f>
        <v/>
      </c>
      <c r="LZ20" s="76" t="str">
        <f aca="false">IF($I20&gt;0%,IF(AND(LZ$16&gt;=$F20,LZ$16&lt;$F20+($G20*$I20)),"➤",""),"")</f>
        <v/>
      </c>
      <c r="MA20" s="76" t="str">
        <f aca="false">IF($I20&gt;0%,IF(AND(MA$16&gt;=$F20,MA$16&lt;$F20+($G20*$I20)),"➤",""),"")</f>
        <v/>
      </c>
      <c r="MB20" s="76" t="str">
        <f aca="false">IF($I20&gt;0%,IF(AND(MB$16&gt;=$F20,MB$16&lt;$F20+($G20*$I20)),"➤",""),"")</f>
        <v/>
      </c>
      <c r="MC20" s="76" t="str">
        <f aca="false">IF($I20&gt;0%,IF(AND(MC$16&gt;=$F20,MC$16&lt;$F20+($G20*$I20)),"➤",""),"")</f>
        <v/>
      </c>
      <c r="MD20" s="76" t="str">
        <f aca="false">IF($I20&gt;0%,IF(AND(MD$16&gt;=$F20,MD$16&lt;$F20+($G20*$I20)),"➤",""),"")</f>
        <v/>
      </c>
      <c r="ME20" s="76" t="str">
        <f aca="false">IF($I20&gt;0%,IF(AND(ME$16&gt;=$F20,ME$16&lt;$F20+($G20*$I20)),"➤",""),"")</f>
        <v/>
      </c>
      <c r="MF20" s="76" t="str">
        <f aca="false">IF($I20&gt;0%,IF(AND(MF$16&gt;=$F20,MF$16&lt;$F20+($G20*$I20)),"➤",""),"")</f>
        <v/>
      </c>
      <c r="MG20" s="76" t="str">
        <f aca="false">IF($I20&gt;0%,IF(AND(MG$16&gt;=$F20,MG$16&lt;$F20+($G20*$I20)),"➤",""),"")</f>
        <v/>
      </c>
      <c r="MH20" s="76" t="str">
        <f aca="false">IF($I20&gt;0%,IF(AND(MH$16&gt;=$F20,MH$16&lt;$F20+($G20*$I20)),"➤",""),"")</f>
        <v/>
      </c>
      <c r="MI20" s="76" t="str">
        <f aca="false">IF($I20&gt;0%,IF(AND(MI$16&gt;=$F20,MI$16&lt;$F20+($G20*$I20)),"➤",""),"")</f>
        <v/>
      </c>
      <c r="MJ20" s="76" t="str">
        <f aca="false">IF($I20&gt;0%,IF(AND(MJ$16&gt;=$F20,MJ$16&lt;$F20+($G20*$I20)),"➤",""),"")</f>
        <v/>
      </c>
      <c r="MK20" s="76" t="str">
        <f aca="false">IF($I20&gt;0%,IF(AND(MK$16&gt;=$F20,MK$16&lt;$F20+($G20*$I20)),"➤",""),"")</f>
        <v/>
      </c>
      <c r="ML20" s="76" t="str">
        <f aca="false">IF($I20&gt;0%,IF(AND(ML$16&gt;=$F20,ML$16&lt;$F20+($G20*$I20)),"➤",""),"")</f>
        <v/>
      </c>
      <c r="MM20" s="76" t="str">
        <f aca="false">IF($I20&gt;0%,IF(AND(MM$16&gt;=$F20,MM$16&lt;$F20+($G20*$I20)),"➤",""),"")</f>
        <v/>
      </c>
      <c r="MN20" s="76" t="str">
        <f aca="false">IF($I20&gt;0%,IF(AND(MN$16&gt;=$F20,MN$16&lt;$F20+($G20*$I20)),"➤",""),"")</f>
        <v/>
      </c>
      <c r="MO20" s="76" t="str">
        <f aca="false">IF($I20&gt;0%,IF(AND(MO$16&gt;=$F20,MO$16&lt;$F20+($G20*$I20)),"➤",""),"")</f>
        <v/>
      </c>
      <c r="MP20" s="76" t="str">
        <f aca="false">IF($I20&gt;0%,IF(AND(MP$16&gt;=$F20,MP$16&lt;$F20+($G20*$I20)),"➤",""),"")</f>
        <v/>
      </c>
      <c r="MQ20" s="76" t="str">
        <f aca="false">IF($I20&gt;0%,IF(AND(MQ$16&gt;=$F20,MQ$16&lt;$F20+($G20*$I20)),"➤",""),"")</f>
        <v/>
      </c>
      <c r="MR20" s="76" t="str">
        <f aca="false">IF($I20&gt;0%,IF(AND(MR$16&gt;=$F20,MR$16&lt;$F20+($G20*$I20)),"➤",""),"")</f>
        <v/>
      </c>
      <c r="MS20" s="76" t="str">
        <f aca="false">IF($I20&gt;0%,IF(AND(MS$16&gt;=$F20,MS$16&lt;$F20+($G20*$I20)),"➤",""),"")</f>
        <v/>
      </c>
      <c r="MT20" s="76" t="str">
        <f aca="false">IF($I20&gt;0%,IF(AND(MT$16&gt;=$F20,MT$16&lt;$F20+($G20*$I20)),"➤",""),"")</f>
        <v/>
      </c>
      <c r="MU20" s="76" t="str">
        <f aca="false">IF($I20&gt;0%,IF(AND(MU$16&gt;=$F20,MU$16&lt;$F20+($G20*$I20)),"➤",""),"")</f>
        <v/>
      </c>
      <c r="MV20" s="76" t="str">
        <f aca="false">IF($I20&gt;0%,IF(AND(MV$16&gt;=$F20,MV$16&lt;$F20+($G20*$I20)),"➤",""),"")</f>
        <v/>
      </c>
      <c r="MW20" s="76" t="str">
        <f aca="false">IF($I20&gt;0%,IF(AND(MW$16&gt;=$F20,MW$16&lt;$F20+($G20*$I20)),"➤",""),"")</f>
        <v/>
      </c>
      <c r="MX20" s="76" t="str">
        <f aca="false">IF($I20&gt;0%,IF(AND(MX$16&gt;=$F20,MX$16&lt;$F20+($G20*$I20)),"➤",""),"")</f>
        <v/>
      </c>
      <c r="MY20" s="76" t="str">
        <f aca="false">IF($I20&gt;0%,IF(AND(MY$16&gt;=$F20,MY$16&lt;$F20+($G20*$I20)),"➤",""),"")</f>
        <v/>
      </c>
      <c r="MZ20" s="76" t="str">
        <f aca="false">IF($I20&gt;0%,IF(AND(MZ$16&gt;=$F20,MZ$16&lt;$F20+($G20*$I20)),"➤",""),"")</f>
        <v/>
      </c>
      <c r="NA20" s="76" t="str">
        <f aca="false">IF($I20&gt;0%,IF(AND(NA$16&gt;=$F20,NA$16&lt;$F20+($G20*$I20)),"➤",""),"")</f>
        <v/>
      </c>
      <c r="NB20" s="76" t="str">
        <f aca="false">IF($I20&gt;0%,IF(AND(NB$16&gt;=$F20,NB$16&lt;$F20+($G20*$I20)),"➤",""),"")</f>
        <v/>
      </c>
      <c r="NC20" s="76" t="str">
        <f aca="false">IF($I20&gt;0%,IF(AND(NC$16&gt;=$F20,NC$16&lt;$F20+($G20*$I20)),"➤",""),"")</f>
        <v/>
      </c>
      <c r="ND20" s="76" t="str">
        <f aca="false">IF($I20&gt;0%,IF(AND(ND$16&gt;=$F20,ND$16&lt;$F20+($G20*$I20)),"➤",""),"")</f>
        <v/>
      </c>
      <c r="NE20" s="76" t="str">
        <f aca="false">IF($I20&gt;0%,IF(AND(NE$16&gt;=$F20,NE$16&lt;$F20+($G20*$I20)),"➤",""),"")</f>
        <v/>
      </c>
      <c r="NF20" s="76" t="str">
        <f aca="false">IF($I20&gt;0%,IF(AND(NF$16&gt;=$F20,NF$16&lt;$F20+($G20*$I20)),"➤",""),"")</f>
        <v/>
      </c>
      <c r="NG20" s="76" t="str">
        <f aca="false">IF($I20&gt;0%,IF(AND(NG$16&gt;=$F20,NG$16&lt;$F20+($G20*$I20)),"➤",""),"")</f>
        <v/>
      </c>
      <c r="NH20" s="76" t="str">
        <f aca="false">IF($I20&gt;0%,IF(AND(NH$16&gt;=$F20,NH$16&lt;$F20+($G20*$I20)),"➤",""),"")</f>
        <v/>
      </c>
      <c r="NI20" s="76" t="str">
        <f aca="false">IF($I20&gt;0%,IF(AND(NI$16&gt;=$F20,NI$16&lt;$F20+($G20*$I20)),"➤",""),"")</f>
        <v/>
      </c>
      <c r="NJ20" s="76" t="str">
        <f aca="false">IF($I20&gt;0%,IF(AND(NJ$16&gt;=$F20,NJ$16&lt;$F20+($G20*$I20)),"➤",""),"")</f>
        <v/>
      </c>
      <c r="NK20" s="76" t="str">
        <f aca="false">IF($I20&gt;0%,IF(AND(NK$16&gt;=$F20,NK$16&lt;$F20+($G20*$I20)),"➤",""),"")</f>
        <v/>
      </c>
      <c r="NL20" s="76" t="str">
        <f aca="false">IF($I20&gt;0%,IF(AND(NL$16&gt;=$F20,NL$16&lt;$F20+($G20*$I20)),"➤",""),"")</f>
        <v/>
      </c>
      <c r="NM20" s="76" t="str">
        <f aca="false">IF($I20&gt;0%,IF(AND(NM$16&gt;=$F20,NM$16&lt;$F20+($G20*$I20)),"➤",""),"")</f>
        <v/>
      </c>
      <c r="NN20" s="76" t="str">
        <f aca="false">IF($I20&gt;0%,IF(AND(NN$16&gt;=$F20,NN$16&lt;$F20+($G20*$I20)),"➤",""),"")</f>
        <v/>
      </c>
      <c r="NO20" s="76" t="str">
        <f aca="false">IF($I20&gt;0%,IF(AND(NO$16&gt;=$F20,NO$16&lt;$F20+($G20*$I20)),"➤",""),"")</f>
        <v/>
      </c>
      <c r="NP20" s="76" t="str">
        <f aca="false">IF($I20&gt;0%,IF(AND(NP$16&gt;=$F20,NP$16&lt;$F20+($G20*$I20)),"➤",""),"")</f>
        <v/>
      </c>
      <c r="NQ20" s="76" t="str">
        <f aca="false">IF($I20&gt;0%,IF(AND(NQ$16&gt;=$F20,NQ$16&lt;$F20+($G20*$I20)),"➤",""),"")</f>
        <v/>
      </c>
      <c r="NR20" s="76" t="str">
        <f aca="false">IF($I20&gt;0%,IF(AND(NR$16&gt;=$F20,NR$16&lt;$F20+($G20*$I20)),"➤",""),"")</f>
        <v/>
      </c>
      <c r="NS20" s="76" t="str">
        <f aca="false">IF($I20&gt;0%,IF(AND(NS$16&gt;=$F20,NS$16&lt;$F20+($G20*$I20)),"➤",""),"")</f>
        <v/>
      </c>
      <c r="NT20" s="76" t="str">
        <f aca="false">IF($I20&gt;0%,IF(AND(NT$16&gt;=$F20,NT$16&lt;$F20+($G20*$I20)),"➤",""),"")</f>
        <v/>
      </c>
      <c r="NU20" s="76" t="str">
        <f aca="false">IF($I20&gt;0%,IF(AND(NU$16&gt;=$F20,NU$16&lt;$F20+($G20*$I20)),"➤",""),"")</f>
        <v/>
      </c>
      <c r="NV20" s="76" t="str">
        <f aca="false">IF($I20&gt;0%,IF(AND(NV$16&gt;=$F20,NV$16&lt;$F20+($G20*$I20)),"➤",""),"")</f>
        <v/>
      </c>
      <c r="NW20" s="76" t="str">
        <f aca="false">IF($I20&gt;0%,IF(AND(NW$16&gt;=$F20,NW$16&lt;$F20+($G20*$I20)),"➤",""),"")</f>
        <v/>
      </c>
      <c r="NX20" s="76" t="str">
        <f aca="false">IF($I20&gt;0%,IF(AND(NX$16&gt;=$F20,NX$16&lt;$F20+($G20*$I20)),"➤",""),"")</f>
        <v/>
      </c>
      <c r="NY20" s="76" t="str">
        <f aca="false">IF($I20&gt;0%,IF(AND(NY$16&gt;=$F20,NY$16&lt;$F20+($G20*$I20)),"➤",""),"")</f>
        <v/>
      </c>
      <c r="NZ20" s="76" t="str">
        <f aca="false">IF($I20&gt;0%,IF(AND(NZ$16&gt;=$F20,NZ$16&lt;$F20+($G20*$I20)),"➤",""),"")</f>
        <v/>
      </c>
      <c r="OA20" s="76" t="str">
        <f aca="false">IF($I20&gt;0%,IF(AND(OA$16&gt;=$F20,OA$16&lt;$F20+($G20*$I20)),"➤",""),"")</f>
        <v/>
      </c>
      <c r="OB20" s="76" t="str">
        <f aca="false">IF($I20&gt;0%,IF(AND(OB$16&gt;=$F20,OB$16&lt;$F20+($G20*$I20)),"➤",""),"")</f>
        <v/>
      </c>
      <c r="OC20" s="76" t="str">
        <f aca="false">IF($I20&gt;0%,IF(AND(OC$16&gt;=$F20,OC$16&lt;$F20+($G20*$I20)),"➤",""),"")</f>
        <v/>
      </c>
      <c r="OD20" s="76" t="str">
        <f aca="false">IF($I20&gt;0%,IF(AND(OD$16&gt;=$F20,OD$16&lt;$F20+($G20*$I20)),"➤",""),"")</f>
        <v/>
      </c>
      <c r="OE20" s="76" t="str">
        <f aca="false">IF($I20&gt;0%,IF(AND(OE$16&gt;=$F20,OE$16&lt;$F20+($G20*$I20)),"➤",""),"")</f>
        <v/>
      </c>
      <c r="OF20" s="76" t="str">
        <f aca="false">IF($I20&gt;0%,IF(AND(OF$16&gt;=$F20,OF$16&lt;$F20+($G20*$I20)),"➤",""),"")</f>
        <v/>
      </c>
      <c r="OG20" s="76" t="str">
        <f aca="false">IF($I20&gt;0%,IF(AND(OG$16&gt;=$F20,OG$16&lt;$F20+($G20*$I20)),"➤",""),"")</f>
        <v/>
      </c>
      <c r="OH20" s="76" t="str">
        <f aca="false">IF($I20&gt;0%,IF(AND(OH$16&gt;=$F20,OH$16&lt;$F20+($G20*$I20)),"➤",""),"")</f>
        <v/>
      </c>
      <c r="OI20" s="76" t="str">
        <f aca="false">IF($I20&gt;0%,IF(AND(OI$16&gt;=$F20,OI$16&lt;$F20+($G20*$I20)),"➤",""),"")</f>
        <v/>
      </c>
      <c r="OJ20" s="76" t="str">
        <f aca="false">IF($I20&gt;0%,IF(AND(OJ$16&gt;=$F20,OJ$16&lt;$F20+($G20*$I20)),"➤",""),"")</f>
        <v/>
      </c>
      <c r="OK20" s="76" t="str">
        <f aca="false">IF($I20&gt;0%,IF(AND(OK$16&gt;=$F20,OK$16&lt;$F20+($G20*$I20)),"➤",""),"")</f>
        <v/>
      </c>
      <c r="OL20" s="76" t="str">
        <f aca="false">IF($I20&gt;0%,IF(AND(OL$16&gt;=$F20,OL$16&lt;$F20+($G20*$I20)),"➤",""),"")</f>
        <v/>
      </c>
      <c r="OM20" s="76" t="str">
        <f aca="false">IF($I20&gt;0%,IF(AND(OM$16&gt;=$F20,OM$16&lt;$F20+($G20*$I20)),"➤",""),"")</f>
        <v/>
      </c>
      <c r="ON20" s="76" t="str">
        <f aca="false">IF($I20&gt;0%,IF(AND(ON$16&gt;=$F20,ON$16&lt;$F20+($G20*$I20)),"➤",""),"")</f>
        <v/>
      </c>
      <c r="OO20" s="76" t="str">
        <f aca="false">IF($I20&gt;0%,IF(AND(OO$16&gt;=$F20,OO$16&lt;$F20+($G20*$I20)),"➤",""),"")</f>
        <v/>
      </c>
      <c r="OP20" s="76" t="str">
        <f aca="false">IF($I20&gt;0%,IF(AND(OP$16&gt;=$F20,OP$16&lt;$F20+($G20*$I20)),"➤",""),"")</f>
        <v/>
      </c>
      <c r="OQ20" s="76" t="str">
        <f aca="false">IF($I20&gt;0%,IF(AND(OQ$16&gt;=$F20,OQ$16&lt;$F20+($G20*$I20)),"➤",""),"")</f>
        <v/>
      </c>
      <c r="OR20" s="76" t="str">
        <f aca="false">IF($I20&gt;0%,IF(AND(OR$16&gt;=$F20,OR$16&lt;$F20+($G20*$I20)),"➤",""),"")</f>
        <v/>
      </c>
      <c r="OS20" s="76" t="str">
        <f aca="false">IF($I20&gt;0%,IF(AND(OS$16&gt;=$F20,OS$16&lt;$F20+($G20*$I20)),"➤",""),"")</f>
        <v/>
      </c>
      <c r="OT20" s="76" t="str">
        <f aca="false">IF($I20&gt;0%,IF(AND(OT$16&gt;=$F20,OT$16&lt;$F20+($G20*$I20)),"➤",""),"")</f>
        <v/>
      </c>
      <c r="OU20" s="76" t="str">
        <f aca="false">IF($I20&gt;0%,IF(AND(OU$16&gt;=$F20,OU$16&lt;$F20+($G20*$I20)),"➤",""),"")</f>
        <v/>
      </c>
      <c r="OV20" s="76" t="str">
        <f aca="false">IF($I20&gt;0%,IF(AND(OV$16&gt;=$F20,OV$16&lt;$F20+($G20*$I20)),"➤",""),"")</f>
        <v/>
      </c>
      <c r="OW20" s="76" t="str">
        <f aca="false">IF($I20&gt;0%,IF(AND(OW$16&gt;=$F20,OW$16&lt;$F20+($G20*$I20)),"➤",""),"")</f>
        <v/>
      </c>
      <c r="OX20" s="76" t="str">
        <f aca="false">IF($I20&gt;0%,IF(AND(OX$16&gt;=$F20,OX$16&lt;$F20+($G20*$I20)),"➤",""),"")</f>
        <v/>
      </c>
      <c r="OY20" s="76" t="str">
        <f aca="false">IF($I20&gt;0%,IF(AND(OY$16&gt;=$F20,OY$16&lt;$F20+($G20*$I20)),"➤",""),"")</f>
        <v/>
      </c>
      <c r="OZ20" s="76" t="str">
        <f aca="false">IF($I20&gt;0%,IF(AND(OZ$16&gt;=$F20,OZ$16&lt;$F20+($G20*$I20)),"➤",""),"")</f>
        <v/>
      </c>
      <c r="PA20" s="76" t="str">
        <f aca="false">IF($I20&gt;0%,IF(AND(PA$16&gt;=$F20,PA$16&lt;$F20+($G20*$I20)),"➤",""),"")</f>
        <v/>
      </c>
      <c r="PB20" s="76" t="str">
        <f aca="false">IF($I20&gt;0%,IF(AND(PB$16&gt;=$F20,PB$16&lt;$F20+($G20*$I20)),"➤",""),"")</f>
        <v/>
      </c>
      <c r="PC20" s="76" t="str">
        <f aca="false">IF($I20&gt;0%,IF(AND(PC$16&gt;=$F20,PC$16&lt;$F20+($G20*$I20)),"➤",""),"")</f>
        <v/>
      </c>
      <c r="PD20" s="76" t="str">
        <f aca="false">IF($I20&gt;0%,IF(AND(PD$16&gt;=$F20,PD$16&lt;$F20+($G20*$I20)),"➤",""),"")</f>
        <v/>
      </c>
      <c r="PE20" s="76" t="str">
        <f aca="false">IF($I20&gt;0%,IF(AND(PE$16&gt;=$F20,PE$16&lt;$F20+($G20*$I20)),"➤",""),"")</f>
        <v/>
      </c>
      <c r="PF20" s="76" t="str">
        <f aca="false">IF($I20&gt;0%,IF(AND(PF$16&gt;=$F20,PF$16&lt;$F20+($G20*$I20)),"➤",""),"")</f>
        <v/>
      </c>
      <c r="PG20" s="76" t="str">
        <f aca="false">IF($I20&gt;0%,IF(AND(PG$16&gt;=$F20,PG$16&lt;$F20+($G20*$I20)),"➤",""),"")</f>
        <v/>
      </c>
      <c r="PH20" s="76" t="str">
        <f aca="false">IF($I20&gt;0%,IF(AND(PH$16&gt;=$F20,PH$16&lt;$F20+($G20*$I20)),"➤",""),"")</f>
        <v/>
      </c>
      <c r="PI20" s="76" t="str">
        <f aca="false">IF($I20&gt;0%,IF(AND(PI$16&gt;=$F20,PI$16&lt;$F20+($G20*$I20)),"➤",""),"")</f>
        <v/>
      </c>
      <c r="PJ20" s="76" t="str">
        <f aca="false">IF($I20&gt;0%,IF(AND(PJ$16&gt;=$F20,PJ$16&lt;$F20+($G20*$I20)),"➤",""),"")</f>
        <v/>
      </c>
      <c r="PK20" s="76" t="str">
        <f aca="false">IF($I20&gt;0%,IF(AND(PK$16&gt;=$F20,PK$16&lt;$F20+($G20*$I20)),"➤",""),"")</f>
        <v/>
      </c>
      <c r="PL20" s="76" t="str">
        <f aca="false">IF($I20&gt;0%,IF(AND(PL$16&gt;=$F20,PL$16&lt;$F20+($G20*$I20)),"➤",""),"")</f>
        <v/>
      </c>
      <c r="PM20" s="76" t="str">
        <f aca="false">IF($I20&gt;0%,IF(AND(PM$16&gt;=$F20,PM$16&lt;$F20+($G20*$I20)),"➤",""),"")</f>
        <v/>
      </c>
      <c r="PN20" s="76" t="str">
        <f aca="false">IF($I20&gt;0%,IF(AND(PN$16&gt;=$F20,PN$16&lt;$F20+($G20*$I20)),"➤",""),"")</f>
        <v/>
      </c>
      <c r="PO20" s="76" t="str">
        <f aca="false">IF($I20&gt;0%,IF(AND(PO$16&gt;=$F20,PO$16&lt;$F20+($G20*$I20)),"➤",""),"")</f>
        <v/>
      </c>
      <c r="PP20" s="76" t="str">
        <f aca="false">IF($I20&gt;0%,IF(AND(PP$16&gt;=$F20,PP$16&lt;$F20+($G20*$I20)),"➤",""),"")</f>
        <v/>
      </c>
      <c r="PQ20" s="76" t="str">
        <f aca="false">IF($I20&gt;0%,IF(AND(PQ$16&gt;=$F20,PQ$16&lt;$F20+($G20*$I20)),"➤",""),"")</f>
        <v/>
      </c>
      <c r="PR20" s="76" t="str">
        <f aca="false">IF($I20&gt;0%,IF(AND(PR$16&gt;=$F20,PR$16&lt;$F20+($G20*$I20)),"➤",""),"")</f>
        <v/>
      </c>
      <c r="PS20" s="76" t="str">
        <f aca="false">IF($I20&gt;0%,IF(AND(PS$16&gt;=$F20,PS$16&lt;$F20+($G20*$I20)),"➤",""),"")</f>
        <v/>
      </c>
      <c r="PT20" s="76" t="str">
        <f aca="false">IF($I20&gt;0%,IF(AND(PT$16&gt;=$F20,PT$16&lt;$F20+($G20*$I20)),"➤",""),"")</f>
        <v/>
      </c>
      <c r="PU20" s="76" t="str">
        <f aca="false">IF($I20&gt;0%,IF(AND(PU$16&gt;=$F20,PU$16&lt;$F20+($G20*$I20)),"➤",""),"")</f>
        <v/>
      </c>
      <c r="PV20" s="76" t="str">
        <f aca="false">IF($I20&gt;0%,IF(AND(PV$16&gt;=$F20,PV$16&lt;$F20+($G20*$I20)),"➤",""),"")</f>
        <v/>
      </c>
      <c r="PW20" s="76" t="str">
        <f aca="false">IF($I20&gt;0%,IF(AND(PW$16&gt;=$F20,PW$16&lt;$F20+($G20*$I20)),"➤",""),"")</f>
        <v/>
      </c>
      <c r="PX20" s="76" t="str">
        <f aca="false">IF($I20&gt;0%,IF(AND(PX$16&gt;=$F20,PX$16&lt;$F20+($G20*$I20)),"➤",""),"")</f>
        <v/>
      </c>
      <c r="PY20" s="76" t="str">
        <f aca="false">IF($I20&gt;0%,IF(AND(PY$16&gt;=$F20,PY$16&lt;$F20+($G20*$I20)),"➤",""),"")</f>
        <v/>
      </c>
      <c r="PZ20" s="76" t="str">
        <f aca="false">IF($I20&gt;0%,IF(AND(PZ$16&gt;=$F20,PZ$16&lt;$F20+($G20*$I20)),"➤",""),"")</f>
        <v/>
      </c>
      <c r="QA20" s="76" t="str">
        <f aca="false">IF($I20&gt;0%,IF(AND(QA$16&gt;=$F20,QA$16&lt;$F20+($G20*$I20)),"➤",""),"")</f>
        <v/>
      </c>
      <c r="QB20" s="76" t="str">
        <f aca="false">IF($I20&gt;0%,IF(AND(QB$16&gt;=$F20,QB$16&lt;$F20+($G20*$I20)),"➤",""),"")</f>
        <v/>
      </c>
      <c r="QC20" s="76" t="str">
        <f aca="false">IF($I20&gt;0%,IF(AND(QC$16&gt;=$F20,QC$16&lt;$F20+($G20*$I20)),"➤",""),"")</f>
        <v/>
      </c>
      <c r="QD20" s="76" t="str">
        <f aca="false">IF($I20&gt;0%,IF(AND(QD$16&gt;=$F20,QD$16&lt;$F20+($G20*$I20)),"➤",""),"")</f>
        <v/>
      </c>
      <c r="QE20" s="76" t="str">
        <f aca="false">IF($I20&gt;0%,IF(AND(QE$16&gt;=$F20,QE$16&lt;$F20+($G20*$I20)),"➤",""),"")</f>
        <v/>
      </c>
      <c r="QF20" s="76" t="str">
        <f aca="false">IF($I20&gt;0%,IF(AND(QF$16&gt;=$F20,QF$16&lt;$F20+($G20*$I20)),"➤",""),"")</f>
        <v/>
      </c>
      <c r="QG20" s="76" t="str">
        <f aca="false">IF($I20&gt;0%,IF(AND(QG$16&gt;=$F20,QG$16&lt;$F20+($G20*$I20)),"➤",""),"")</f>
        <v/>
      </c>
      <c r="QH20" s="76" t="str">
        <f aca="false">IF($I20&gt;0%,IF(AND(QH$16&gt;=$F20,QH$16&lt;$F20+($G20*$I20)),"➤",""),"")</f>
        <v/>
      </c>
      <c r="QI20" s="76" t="str">
        <f aca="false">IF($I20&gt;0%,IF(AND(QI$16&gt;=$F20,QI$16&lt;$F20+($G20*$I20)),"➤",""),"")</f>
        <v/>
      </c>
      <c r="QJ20" s="76" t="str">
        <f aca="false">IF($I20&gt;0%,IF(AND(QJ$16&gt;=$F20,QJ$16&lt;$F20+($G20*$I20)),"➤",""),"")</f>
        <v/>
      </c>
      <c r="QK20" s="76" t="str">
        <f aca="false">IF($I20&gt;0%,IF(AND(QK$16&gt;=$F20,QK$16&lt;$F20+($G20*$I20)),"➤",""),"")</f>
        <v/>
      </c>
      <c r="QL20" s="76" t="str">
        <f aca="false">IF($I20&gt;0%,IF(AND(QL$16&gt;=$F20,QL$16&lt;$F20+($G20*$I20)),"➤",""),"")</f>
        <v/>
      </c>
      <c r="QM20" s="76" t="str">
        <f aca="false">IF($I20&gt;0%,IF(AND(QM$16&gt;=$F20,QM$16&lt;$F20+($G20*$I20)),"➤",""),"")</f>
        <v/>
      </c>
      <c r="QN20" s="76" t="str">
        <f aca="false">IF($I20&gt;0%,IF(AND(QN$16&gt;=$F20,QN$16&lt;$F20+($G20*$I20)),"➤",""),"")</f>
        <v/>
      </c>
      <c r="QO20" s="76" t="str">
        <f aca="false">IF($I20&gt;0%,IF(AND(QO$16&gt;=$F20,QO$16&lt;$F20+($G20*$I20)),"➤",""),"")</f>
        <v/>
      </c>
      <c r="QP20" s="76" t="str">
        <f aca="false">IF($I20&gt;0%,IF(AND(QP$16&gt;=$F20,QP$16&lt;$F20+($G20*$I20)),"➤",""),"")</f>
        <v/>
      </c>
      <c r="QQ20" s="76" t="str">
        <f aca="false">IF($I20&gt;0%,IF(AND(QQ$16&gt;=$F20,QQ$16&lt;$F20+($G20*$I20)),"➤",""),"")</f>
        <v/>
      </c>
      <c r="QR20" s="76" t="str">
        <f aca="false">IF($I20&gt;0%,IF(AND(QR$16&gt;=$F20,QR$16&lt;$F20+($G20*$I20)),"➤",""),"")</f>
        <v/>
      </c>
      <c r="QS20" s="76" t="str">
        <f aca="false">IF($I20&gt;0%,IF(AND(QS$16&gt;=$F20,QS$16&lt;$F20+($G20*$I20)),"➤",""),"")</f>
        <v/>
      </c>
      <c r="QT20" s="76" t="str">
        <f aca="false">IF($I20&gt;0%,IF(AND(QT$16&gt;=$F20,QT$16&lt;$F20+($G20*$I20)),"➤",""),"")</f>
        <v/>
      </c>
      <c r="QU20" s="76" t="str">
        <f aca="false">IF($I20&gt;0%,IF(AND(QU$16&gt;=$F20,QU$16&lt;$F20+($G20*$I20)),"➤",""),"")</f>
        <v/>
      </c>
      <c r="QV20" s="76" t="str">
        <f aca="false">IF($I20&gt;0%,IF(AND(QV$16&gt;=$F20,QV$16&lt;$F20+($G20*$I20)),"➤",""),"")</f>
        <v/>
      </c>
      <c r="QW20" s="76" t="str">
        <f aca="false">IF($I20&gt;0%,IF(AND(QW$16&gt;=$F20,QW$16&lt;$F20+($G20*$I20)),"➤",""),"")</f>
        <v/>
      </c>
      <c r="QX20" s="76" t="str">
        <f aca="false">IF($I20&gt;0%,IF(AND(QX$16&gt;=$F20,QX$16&lt;$F20+($G20*$I20)),"➤",""),"")</f>
        <v/>
      </c>
      <c r="QY20" s="76" t="str">
        <f aca="false">IF($I20&gt;0%,IF(AND(QY$16&gt;=$F20,QY$16&lt;$F20+($G20*$I20)),"➤",""),"")</f>
        <v/>
      </c>
      <c r="QZ20" s="76" t="str">
        <f aca="false">IF($I20&gt;0%,IF(AND(QZ$16&gt;=$F20,QZ$16&lt;$F20+($G20*$I20)),"➤",""),"")</f>
        <v/>
      </c>
      <c r="RA20" s="76" t="str">
        <f aca="false">IF($I20&gt;0%,IF(AND(RA$16&gt;=$F20,RA$16&lt;$F20+($G20*$I20)),"➤",""),"")</f>
        <v/>
      </c>
      <c r="RB20" s="76" t="str">
        <f aca="false">IF($I20&gt;0%,IF(AND(RB$16&gt;=$F20,RB$16&lt;$F20+($G20*$I20)),"➤",""),"")</f>
        <v/>
      </c>
      <c r="RC20" s="76" t="str">
        <f aca="false">IF($I20&gt;0%,IF(AND(RC$16&gt;=$F20,RC$16&lt;$F20+($G20*$I20)),"➤",""),"")</f>
        <v/>
      </c>
      <c r="RD20" s="76" t="str">
        <f aca="false">IF($I20&gt;0%,IF(AND(RD$16&gt;=$F20,RD$16&lt;$F20+($G20*$I20)),"➤",""),"")</f>
        <v/>
      </c>
      <c r="RE20" s="76" t="str">
        <f aca="false">IF($I20&gt;0%,IF(AND(RE$16&gt;=$F20,RE$16&lt;$F20+($G20*$I20)),"➤",""),"")</f>
        <v/>
      </c>
      <c r="RF20" s="76" t="str">
        <f aca="false">IF($I20&gt;0%,IF(AND(RF$16&gt;=$F20,RF$16&lt;$F20+($G20*$I20)),"➤",""),"")</f>
        <v/>
      </c>
      <c r="RG20" s="76" t="str">
        <f aca="false">IF($I20&gt;0%,IF(AND(RG$16&gt;=$F20,RG$16&lt;$F20+($G20*$I20)),"➤",""),"")</f>
        <v/>
      </c>
      <c r="RH20" s="76" t="str">
        <f aca="false">IF($I20&gt;0%,IF(AND(RH$16&gt;=$F20,RH$16&lt;$F20+($G20*$I20)),"➤",""),"")</f>
        <v/>
      </c>
      <c r="RI20" s="76" t="str">
        <f aca="false">IF($I20&gt;0%,IF(AND(RI$16&gt;=$F20,RI$16&lt;$F20+($G20*$I20)),"➤",""),"")</f>
        <v/>
      </c>
      <c r="RJ20" s="76" t="str">
        <f aca="false">IF($I20&gt;0%,IF(AND(RJ$16&gt;=$F20,RJ$16&lt;$F20+($G20*$I20)),"➤",""),"")</f>
        <v/>
      </c>
      <c r="RK20" s="76" t="str">
        <f aca="false">IF($I20&gt;0%,IF(AND(RK$16&gt;=$F20,RK$16&lt;$F20+($G20*$I20)),"➤",""),"")</f>
        <v/>
      </c>
      <c r="RL20" s="76" t="str">
        <f aca="false">IF($I20&gt;0%,IF(AND(RL$16&gt;=$F20,RL$16&lt;$F20+($G20*$I20)),"➤",""),"")</f>
        <v/>
      </c>
      <c r="RM20" s="76" t="str">
        <f aca="false">IF($I20&gt;0%,IF(AND(RM$16&gt;=$F20,RM$16&lt;$F20+($G20*$I20)),"➤",""),"")</f>
        <v/>
      </c>
      <c r="RN20" s="76" t="str">
        <f aca="false">IF($I20&gt;0%,IF(AND(RN$16&gt;=$F20,RN$16&lt;$F20+($G20*$I20)),"➤",""),"")</f>
        <v/>
      </c>
      <c r="RO20" s="76" t="str">
        <f aca="false">IF($I20&gt;0%,IF(AND(RO$16&gt;=$F20,RO$16&lt;$F20+($G20*$I20)),"➤",""),"")</f>
        <v/>
      </c>
      <c r="RP20" s="76" t="str">
        <f aca="false">IF($I20&gt;0%,IF(AND(RP$16&gt;=$F20,RP$16&lt;$F20+($G20*$I20)),"➤",""),"")</f>
        <v/>
      </c>
      <c r="RQ20" s="76" t="str">
        <f aca="false">IF($I20&gt;0%,IF(AND(RQ$16&gt;=$F20,RQ$16&lt;$F20+($G20*$I20)),"➤",""),"")</f>
        <v/>
      </c>
      <c r="RR20" s="76" t="str">
        <f aca="false">IF($I20&gt;0%,IF(AND(RR$16&gt;=$F20,RR$16&lt;$F20+($G20*$I20)),"➤",""),"")</f>
        <v/>
      </c>
      <c r="RS20" s="76" t="str">
        <f aca="false">IF($I20&gt;0%,IF(AND(RS$16&gt;=$F20,RS$16&lt;$F20+($G20*$I20)),"➤",""),"")</f>
        <v/>
      </c>
      <c r="RT20" s="76" t="str">
        <f aca="false">IF($I20&gt;0%,IF(AND(RT$16&gt;=$F20,RT$16&lt;$F20+($G20*$I20)),"➤",""),"")</f>
        <v/>
      </c>
      <c r="RU20" s="76" t="str">
        <f aca="false">IF($I20&gt;0%,IF(AND(RU$16&gt;=$F20,RU$16&lt;$F20+($G20*$I20)),"➤",""),"")</f>
        <v/>
      </c>
      <c r="RV20" s="76" t="str">
        <f aca="false">IF($I20&gt;0%,IF(AND(RV$16&gt;=$F20,RV$16&lt;$F20+($G20*$I20)),"➤",""),"")</f>
        <v/>
      </c>
      <c r="RW20" s="76" t="str">
        <f aca="false">IF($I20&gt;0%,IF(AND(RW$16&gt;=$F20,RW$16&lt;$F20+($G20*$I20)),"➤",""),"")</f>
        <v/>
      </c>
      <c r="RX20" s="76" t="str">
        <f aca="false">IF($I20&gt;0%,IF(AND(RX$16&gt;=$F20,RX$16&lt;$F20+($G20*$I20)),"➤",""),"")</f>
        <v/>
      </c>
      <c r="RY20" s="76" t="str">
        <f aca="false">IF($I20&gt;0%,IF(AND(RY$16&gt;=$F20,RY$16&lt;$F20+($G20*$I20)),"➤",""),"")</f>
        <v/>
      </c>
      <c r="RZ20" s="76" t="str">
        <f aca="false">IF($I20&gt;0%,IF(AND(RZ$16&gt;=$F20,RZ$16&lt;$F20+($G20*$I20)),"➤",""),"")</f>
        <v/>
      </c>
      <c r="SA20" s="76" t="str">
        <f aca="false">IF($I20&gt;0%,IF(AND(SA$16&gt;=$F20,SA$16&lt;$F20+($G20*$I20)),"➤",""),"")</f>
        <v/>
      </c>
      <c r="SB20" s="76" t="str">
        <f aca="false">IF($I20&gt;0%,IF(AND(SB$16&gt;=$F20,SB$16&lt;$F20+($G20*$I20)),"➤",""),"")</f>
        <v/>
      </c>
      <c r="SC20" s="76" t="str">
        <f aca="false">IF($I20&gt;0%,IF(AND(SC$16&gt;=$F20,SC$16&lt;$F20+($G20*$I20)),"➤",""),"")</f>
        <v/>
      </c>
      <c r="SD20" s="76" t="str">
        <f aca="false">IF($I20&gt;0%,IF(AND(SD$16&gt;=$F20,SD$16&lt;$F20+($G20*$I20)),"➤",""),"")</f>
        <v/>
      </c>
      <c r="SE20" s="76" t="str">
        <f aca="false">IF($I20&gt;0%,IF(AND(SE$16&gt;=$F20,SE$16&lt;$F20+($G20*$I20)),"➤",""),"")</f>
        <v/>
      </c>
      <c r="SF20" s="76" t="str">
        <f aca="false">IF($I20&gt;0%,IF(AND(SF$16&gt;=$F20,SF$16&lt;$F20+($G20*$I20)),"➤",""),"")</f>
        <v/>
      </c>
      <c r="SG20" s="76" t="str">
        <f aca="false">IF($I20&gt;0%,IF(AND(SG$16&gt;=$F20,SG$16&lt;$F20+($G20*$I20)),"➤",""),"")</f>
        <v/>
      </c>
      <c r="SH20" s="76" t="str">
        <f aca="false">IF($I20&gt;0%,IF(AND(SH$16&gt;=$F20,SH$16&lt;$F20+($G20*$I20)),"➤",""),"")</f>
        <v/>
      </c>
      <c r="SI20" s="76" t="str">
        <f aca="false">IF($I20&gt;0%,IF(AND(SI$16&gt;=$F20,SI$16&lt;$F20+($G20*$I20)),"➤",""),"")</f>
        <v/>
      </c>
      <c r="SJ20" s="76" t="str">
        <f aca="false">IF($I20&gt;0%,IF(AND(SJ$16&gt;=$F20,SJ$16&lt;$F20+($G20*$I20)),"➤",""),"")</f>
        <v/>
      </c>
      <c r="SK20" s="76" t="str">
        <f aca="false">IF($I20&gt;0%,IF(AND(SK$16&gt;=$F20,SK$16&lt;$F20+($G20*$I20)),"➤",""),"")</f>
        <v/>
      </c>
      <c r="SL20" s="76" t="str">
        <f aca="false">IF($I20&gt;0%,IF(AND(SL$16&gt;=$F20,SL$16&lt;$F20+($G20*$I20)),"➤",""),"")</f>
        <v/>
      </c>
      <c r="SM20" s="76" t="str">
        <f aca="false">IF($I20&gt;0%,IF(AND(SM$16&gt;=$F20,SM$16&lt;$F20+($G20*$I20)),"➤",""),"")</f>
        <v/>
      </c>
      <c r="SN20" s="76" t="str">
        <f aca="false">IF($I20&gt;0%,IF(AND(SN$16&gt;=$F20,SN$16&lt;$F20+($G20*$I20)),"➤",""),"")</f>
        <v/>
      </c>
      <c r="SO20" s="76" t="str">
        <f aca="false">IF($I20&gt;0%,IF(AND(SO$16&gt;=$F20,SO$16&lt;$F20+($G20*$I20)),"➤",""),"")</f>
        <v/>
      </c>
      <c r="SP20" s="76" t="str">
        <f aca="false">IF($I20&gt;0%,IF(AND(SP$16&gt;=$F20,SP$16&lt;$F20+($G20*$I20)),"➤",""),"")</f>
        <v/>
      </c>
      <c r="SQ20" s="76" t="str">
        <f aca="false">IF($I20&gt;0%,IF(AND(SQ$16&gt;=$F20,SQ$16&lt;$F20+($G20*$I20)),"➤",""),"")</f>
        <v/>
      </c>
      <c r="SR20" s="76" t="str">
        <f aca="false">IF($I20&gt;0%,IF(AND(SR$16&gt;=$F20,SR$16&lt;$F20+($G20*$I20)),"➤",""),"")</f>
        <v/>
      </c>
      <c r="SS20" s="76" t="str">
        <f aca="false">IF($I20&gt;0%,IF(AND(SS$16&gt;=$F20,SS$16&lt;$F20+($G20*$I20)),"➤",""),"")</f>
        <v/>
      </c>
      <c r="ST20" s="76" t="str">
        <f aca="false">IF($I20&gt;0%,IF(AND(ST$16&gt;=$F20,ST$16&lt;$F20+($G20*$I20)),"➤",""),"")</f>
        <v/>
      </c>
      <c r="SU20" s="76" t="str">
        <f aca="false">IF($I20&gt;0%,IF(AND(SU$16&gt;=$F20,SU$16&lt;$F20+($G20*$I20)),"➤",""),"")</f>
        <v/>
      </c>
      <c r="SV20" s="76" t="str">
        <f aca="false">IF($I20&gt;0%,IF(AND(SV$16&gt;=$F20,SV$16&lt;$F20+($G20*$I20)),"➤",""),"")</f>
        <v/>
      </c>
      <c r="SW20" s="77" t="str">
        <f aca="false">IF($I20&gt;0%,IF(AND(SW$16&gt;=$F20,SW$16&lt;$F20+($G20*$I20)),"➤",""),"")</f>
        <v/>
      </c>
    </row>
    <row r="21" customFormat="false" ht="14.25" hidden="false" customHeight="false" outlineLevel="1" collapsed="false">
      <c r="C21" s="10"/>
      <c r="D21" s="78" t="s">
        <v>18</v>
      </c>
      <c r="E21" s="79" t="s">
        <v>19</v>
      </c>
      <c r="F21" s="80" t="n">
        <v>46137</v>
      </c>
      <c r="G21" s="81" t="n">
        <v>2</v>
      </c>
      <c r="H21" s="82" t="n">
        <f aca="false">(F21+G21)-1</f>
        <v>46138</v>
      </c>
      <c r="I21" s="83" t="n">
        <v>1</v>
      </c>
      <c r="J21" s="84" t="s">
        <v>16</v>
      </c>
      <c r="K21" s="85"/>
      <c r="L21" s="75" t="str">
        <f aca="false">IF($I21&gt;0%,IF(AND(L$16&gt;=$F21,L$16&lt;$F21+($G21*$I21)),"➤",""),"")</f>
        <v/>
      </c>
      <c r="M21" s="76" t="str">
        <f aca="false">IF($I21&gt;0%,IF(AND(M$16&gt;=$F21,M$16&lt;$F21+($G21*$I21)),"➤",""),"")</f>
        <v>➤</v>
      </c>
      <c r="N21" s="76" t="str">
        <f aca="false">IF($I21&gt;0%,IF(AND(N$16&gt;=$F21,N$16&lt;$F21+($G21*$I21)),"➤",""),"")</f>
        <v>➤</v>
      </c>
      <c r="O21" s="76" t="str">
        <f aca="false">IF($I21&gt;0%,IF(AND(O$16&gt;=$F21,O$16&lt;$F21+($G21*$I21)),"➤",""),"")</f>
        <v/>
      </c>
      <c r="P21" s="76" t="str">
        <f aca="false">IF($I21&gt;0%,IF(AND(P$16&gt;=$F21,P$16&lt;$F21+($G21*$I21)),"➤",""),"")</f>
        <v/>
      </c>
      <c r="Q21" s="76" t="str">
        <f aca="false">IF($I21&gt;0%,IF(AND(Q$16&gt;=$F21,Q$16&lt;$F21+($G21*$I21)),"➤",""),"")</f>
        <v/>
      </c>
      <c r="R21" s="76" t="str">
        <f aca="false">IF($I21&gt;0%,IF(AND(R$16&gt;=$F21,R$16&lt;$F21+($G21*$I21)),"➤",""),"")</f>
        <v/>
      </c>
      <c r="S21" s="76" t="str">
        <f aca="false">IF($I21&gt;0%,IF(AND(S$16&gt;=$F21,S$16&lt;$F21+($G21*$I21)),"➤",""),"")</f>
        <v/>
      </c>
      <c r="T21" s="76" t="str">
        <f aca="false">IF($I21&gt;0%,IF(AND(T$16&gt;=$F21,T$16&lt;$F21+($G21*$I21)),"➤",""),"")</f>
        <v/>
      </c>
      <c r="U21" s="76" t="str">
        <f aca="false">IF($I21&gt;0%,IF(AND(U$16&gt;=$F21,U$16&lt;$F21+($G21*$I21)),"➤",""),"")</f>
        <v/>
      </c>
      <c r="V21" s="76" t="str">
        <f aca="false">IF($I21&gt;0%,IF(AND(V$16&gt;=$F21,V$16&lt;$F21+($G21*$I21)),"➤",""),"")</f>
        <v/>
      </c>
      <c r="W21" s="76" t="str">
        <f aca="false">IF($I21&gt;0%,IF(AND(W$16&gt;=$F21,W$16&lt;$F21+($G21*$I21)),"➤",""),"")</f>
        <v/>
      </c>
      <c r="X21" s="76" t="str">
        <f aca="false">IF($I21&gt;0%,IF(AND(X$16&gt;=$F21,X$16&lt;$F21+($G21*$I21)),"➤",""),"")</f>
        <v/>
      </c>
      <c r="Y21" s="76" t="str">
        <f aca="false">IF($I21&gt;0%,IF(AND(Y$16&gt;=$F21,Y$16&lt;$F21+($G21*$I21)),"➤",""),"")</f>
        <v/>
      </c>
      <c r="Z21" s="76" t="str">
        <f aca="false">IF($I21&gt;0%,IF(AND(Z$16&gt;=$F21,Z$16&lt;$F21+($G21*$I21)),"➤",""),"")</f>
        <v/>
      </c>
      <c r="AA21" s="76" t="str">
        <f aca="false">IF($I21&gt;0%,IF(AND(AA$16&gt;=$F21,AA$16&lt;$F21+($G21*$I21)),"➤",""),"")</f>
        <v/>
      </c>
      <c r="AB21" s="76" t="str">
        <f aca="false">IF($I21&gt;0%,IF(AND(AB$16&gt;=$F21,AB$16&lt;$F21+($G21*$I21)),"➤",""),"")</f>
        <v/>
      </c>
      <c r="AC21" s="76" t="str">
        <f aca="false">IF($I21&gt;0%,IF(AND(AC$16&gt;=$F21,AC$16&lt;$F21+($G21*$I21)),"➤",""),"")</f>
        <v/>
      </c>
      <c r="AD21" s="76" t="str">
        <f aca="false">IF($I21&gt;0%,IF(AND(AD$16&gt;=$F21,AD$16&lt;$F21+($G21*$I21)),"➤",""),"")</f>
        <v/>
      </c>
      <c r="AE21" s="76" t="str">
        <f aca="false">IF($I21&gt;0%,IF(AND(AE$16&gt;=$F21,AE$16&lt;$F21+($G21*$I21)),"➤",""),"")</f>
        <v/>
      </c>
      <c r="AF21" s="76" t="str">
        <f aca="false">IF($I21&gt;0%,IF(AND(AF$16&gt;=$F21,AF$16&lt;$F21+($G21*$I21)),"➤",""),"")</f>
        <v/>
      </c>
      <c r="AG21" s="76" t="str">
        <f aca="false">IF($I21&gt;0%,IF(AND(AG$16&gt;=$F21,AG$16&lt;$F21+($G21*$I21)),"➤",""),"")</f>
        <v/>
      </c>
      <c r="AH21" s="76" t="str">
        <f aca="false">IF($I21&gt;0%,IF(AND(AH$16&gt;=$F21,AH$16&lt;$F21+($G21*$I21)),"➤",""),"")</f>
        <v/>
      </c>
      <c r="AI21" s="76" t="str">
        <f aca="false">IF($I21&gt;0%,IF(AND(AI$16&gt;=$F21,AI$16&lt;$F21+($G21*$I21)),"➤",""),"")</f>
        <v/>
      </c>
      <c r="AJ21" s="76" t="str">
        <f aca="false">IF($I21&gt;0%,IF(AND(AJ$16&gt;=$F21,AJ$16&lt;$F21+($G21*$I21)),"➤",""),"")</f>
        <v/>
      </c>
      <c r="AK21" s="76" t="str">
        <f aca="false">IF($I21&gt;0%,IF(AND(AK$16&gt;=$F21,AK$16&lt;$F21+($G21*$I21)),"➤",""),"")</f>
        <v/>
      </c>
      <c r="AL21" s="76" t="str">
        <f aca="false">IF($I21&gt;0%,IF(AND(AL$16&gt;=$F21,AL$16&lt;$F21+($G21*$I21)),"➤",""),"")</f>
        <v/>
      </c>
      <c r="AM21" s="76" t="str">
        <f aca="false">IF($I21&gt;0%,IF(AND(AM$16&gt;=$F21,AM$16&lt;$F21+($G21*$I21)),"➤",""),"")</f>
        <v/>
      </c>
      <c r="AN21" s="76" t="str">
        <f aca="false">IF($I21&gt;0%,IF(AND(AN$16&gt;=$F21,AN$16&lt;$F21+($G21*$I21)),"➤",""),"")</f>
        <v/>
      </c>
      <c r="AO21" s="76" t="str">
        <f aca="false">IF($I21&gt;0%,IF(AND(AO$16&gt;=$F21,AO$16&lt;$F21+($G21*$I21)),"➤",""),"")</f>
        <v/>
      </c>
      <c r="AP21" s="76" t="str">
        <f aca="false">IF($I21&gt;0%,IF(AND(AP$16&gt;=$F21,AP$16&lt;$F21+($G21*$I21)),"➤",""),"")</f>
        <v/>
      </c>
      <c r="AQ21" s="76" t="str">
        <f aca="false">IF($I21&gt;0%,IF(AND(AQ$16&gt;=$F21,AQ$16&lt;$F21+($G21*$I21)),"➤",""),"")</f>
        <v/>
      </c>
      <c r="AR21" s="76" t="str">
        <f aca="false">IF($I21&gt;0%,IF(AND(AR$16&gt;=$F21,AR$16&lt;$F21+($G21*$I21)),"➤",""),"")</f>
        <v/>
      </c>
      <c r="AS21" s="76" t="str">
        <f aca="false">IF($I21&gt;0%,IF(AND(AS$16&gt;=$F21,AS$16&lt;$F21+($G21*$I21)),"➤",""),"")</f>
        <v/>
      </c>
      <c r="AT21" s="76" t="str">
        <f aca="false">IF($I21&gt;0%,IF(AND(AT$16&gt;=$F21,AT$16&lt;$F21+($G21*$I21)),"➤",""),"")</f>
        <v/>
      </c>
      <c r="AU21" s="76" t="str">
        <f aca="false">IF($I21&gt;0%,IF(AND(AU$16&gt;=$F21,AU$16&lt;$F21+($G21*$I21)),"➤",""),"")</f>
        <v/>
      </c>
      <c r="AV21" s="76" t="str">
        <f aca="false">IF($I21&gt;0%,IF(AND(AV$16&gt;=$F21,AV$16&lt;$F21+($G21*$I21)),"➤",""),"")</f>
        <v/>
      </c>
      <c r="AW21" s="76" t="str">
        <f aca="false">IF($I21&gt;0%,IF(AND(AW$16&gt;=$F21,AW$16&lt;$F21+($G21*$I21)),"➤",""),"")</f>
        <v/>
      </c>
      <c r="AX21" s="76" t="str">
        <f aca="false">IF($I21&gt;0%,IF(AND(AX$16&gt;=$F21,AX$16&lt;$F21+($G21*$I21)),"➤",""),"")</f>
        <v/>
      </c>
      <c r="AY21" s="76" t="str">
        <f aca="false">IF($I21&gt;0%,IF(AND(AY$16&gt;=$F21,AY$16&lt;$F21+($G21*$I21)),"➤",""),"")</f>
        <v/>
      </c>
      <c r="AZ21" s="76" t="str">
        <f aca="false">IF($I21&gt;0%,IF(AND(AZ$16&gt;=$F21,AZ$16&lt;$F21+($G21*$I21)),"➤",""),"")</f>
        <v/>
      </c>
      <c r="BA21" s="76" t="str">
        <f aca="false">IF($I21&gt;0%,IF(AND(BA$16&gt;=$F21,BA$16&lt;$F21+($G21*$I21)),"➤",""),"")</f>
        <v/>
      </c>
      <c r="BB21" s="76" t="str">
        <f aca="false">IF($I21&gt;0%,IF(AND(BB$16&gt;=$F21,BB$16&lt;$F21+($G21*$I21)),"➤",""),"")</f>
        <v/>
      </c>
      <c r="BC21" s="76" t="str">
        <f aca="false">IF($I21&gt;0%,IF(AND(BC$16&gt;=$F21,BC$16&lt;$F21+($G21*$I21)),"➤",""),"")</f>
        <v/>
      </c>
      <c r="BD21" s="76" t="str">
        <f aca="false">IF($I21&gt;0%,IF(AND(BD$16&gt;=$F21,BD$16&lt;$F21+($G21*$I21)),"➤",""),"")</f>
        <v/>
      </c>
      <c r="BE21" s="76" t="str">
        <f aca="false">IF($I21&gt;0%,IF(AND(BE$16&gt;=$F21,BE$16&lt;$F21+($G21*$I21)),"➤",""),"")</f>
        <v/>
      </c>
      <c r="BF21" s="76" t="str">
        <f aca="false">IF($I21&gt;0%,IF(AND(BF$16&gt;=$F21,BF$16&lt;$F21+($G21*$I21)),"➤",""),"")</f>
        <v/>
      </c>
      <c r="BG21" s="76" t="str">
        <f aca="false">IF($I21&gt;0%,IF(AND(BG$16&gt;=$F21,BG$16&lt;$F21+($G21*$I21)),"➤",""),"")</f>
        <v/>
      </c>
      <c r="BH21" s="76" t="str">
        <f aca="false">IF($I21&gt;0%,IF(AND(BH$16&gt;=$F21,BH$16&lt;$F21+($G21*$I21)),"➤",""),"")</f>
        <v/>
      </c>
      <c r="BI21" s="76" t="str">
        <f aca="false">IF($I21&gt;0%,IF(AND(BI$16&gt;=$F21,BI$16&lt;$F21+($G21*$I21)),"➤",""),"")</f>
        <v/>
      </c>
      <c r="BJ21" s="76" t="str">
        <f aca="false">IF($I21&gt;0%,IF(AND(BJ$16&gt;=$F21,BJ$16&lt;$F21+($G21*$I21)),"➤",""),"")</f>
        <v/>
      </c>
      <c r="BK21" s="76" t="str">
        <f aca="false">IF($I21&gt;0%,IF(AND(BK$16&gt;=$F21,BK$16&lt;$F21+($G21*$I21)),"➤",""),"")</f>
        <v/>
      </c>
      <c r="BL21" s="76" t="str">
        <f aca="false">IF($I21&gt;0%,IF(AND(BL$16&gt;=$F21,BL$16&lt;$F21+($G21*$I21)),"➤",""),"")</f>
        <v/>
      </c>
      <c r="BM21" s="76" t="str">
        <f aca="false">IF($I21&gt;0%,IF(AND(BM$16&gt;=$F21,BM$16&lt;$F21+($G21*$I21)),"➤",""),"")</f>
        <v/>
      </c>
      <c r="BN21" s="76" t="str">
        <f aca="false">IF($I21&gt;0%,IF(AND(BN$16&gt;=$F21,BN$16&lt;$F21+($G21*$I21)),"➤",""),"")</f>
        <v/>
      </c>
      <c r="BO21" s="76" t="str">
        <f aca="false">IF($I21&gt;0%,IF(AND(BO$16&gt;=$F21,BO$16&lt;$F21+($G21*$I21)),"➤",""),"")</f>
        <v/>
      </c>
      <c r="BP21" s="76" t="str">
        <f aca="false">IF($I21&gt;0%,IF(AND(BP$16&gt;=$F21,BP$16&lt;$F21+($G21*$I21)),"➤",""),"")</f>
        <v/>
      </c>
      <c r="BQ21" s="76" t="str">
        <f aca="false">IF($I21&gt;0%,IF(AND(BQ$16&gt;=$F21,BQ$16&lt;$F21+($G21*$I21)),"➤",""),"")</f>
        <v/>
      </c>
      <c r="BR21" s="76" t="str">
        <f aca="false">IF($I21&gt;0%,IF(AND(BR$16&gt;=$F21,BR$16&lt;$F21+($G21*$I21)),"➤",""),"")</f>
        <v/>
      </c>
      <c r="BS21" s="76" t="str">
        <f aca="false">IF($I21&gt;0%,IF(AND(BS$16&gt;=$F21,BS$16&lt;$F21+($G21*$I21)),"➤",""),"")</f>
        <v/>
      </c>
      <c r="BT21" s="76" t="str">
        <f aca="false">IF($I21&gt;0%,IF(AND(BT$16&gt;=$F21,BT$16&lt;$F21+($G21*$I21)),"➤",""),"")</f>
        <v/>
      </c>
      <c r="BU21" s="76" t="str">
        <f aca="false">IF($I21&gt;0%,IF(AND(BU$16&gt;=$F21,BU$16&lt;$F21+($G21*$I21)),"➤",""),"")</f>
        <v/>
      </c>
      <c r="BV21" s="76" t="str">
        <f aca="false">IF($I21&gt;0%,IF(AND(BV$16&gt;=$F21,BV$16&lt;$F21+($G21*$I21)),"➤",""),"")</f>
        <v/>
      </c>
      <c r="BW21" s="76" t="str">
        <f aca="false">IF($I21&gt;0%,IF(AND(BW$16&gt;=$F21,BW$16&lt;$F21+($G21*$I21)),"➤",""),"")</f>
        <v/>
      </c>
      <c r="BX21" s="76" t="str">
        <f aca="false">IF($I21&gt;0%,IF(AND(BX$16&gt;=$F21,BX$16&lt;$F21+($G21*$I21)),"➤",""),"")</f>
        <v/>
      </c>
      <c r="BY21" s="76" t="str">
        <f aca="false">IF($I21&gt;0%,IF(AND(BY$16&gt;=$F21,BY$16&lt;$F21+($G21*$I21)),"➤",""),"")</f>
        <v/>
      </c>
      <c r="BZ21" s="76" t="str">
        <f aca="false">IF($I21&gt;0%,IF(AND(BZ$16&gt;=$F21,BZ$16&lt;$F21+($G21*$I21)),"➤",""),"")</f>
        <v/>
      </c>
      <c r="CA21" s="76" t="str">
        <f aca="false">IF($I21&gt;0%,IF(AND(CA$16&gt;=$F21,CA$16&lt;$F21+($G21*$I21)),"➤",""),"")</f>
        <v/>
      </c>
      <c r="CB21" s="76" t="str">
        <f aca="false">IF($I21&gt;0%,IF(AND(CB$16&gt;=$F21,CB$16&lt;$F21+($G21*$I21)),"➤",""),"")</f>
        <v/>
      </c>
      <c r="CC21" s="76" t="str">
        <f aca="false">IF($I21&gt;0%,IF(AND(CC$16&gt;=$F21,CC$16&lt;$F21+($G21*$I21)),"➤",""),"")</f>
        <v/>
      </c>
      <c r="CD21" s="76" t="str">
        <f aca="false">IF($I21&gt;0%,IF(AND(CD$16&gt;=$F21,CD$16&lt;$F21+($G21*$I21)),"➤",""),"")</f>
        <v/>
      </c>
      <c r="CE21" s="76" t="str">
        <f aca="false">IF($I21&gt;0%,IF(AND(CE$16&gt;=$F21,CE$16&lt;$F21+($G21*$I21)),"➤",""),"")</f>
        <v/>
      </c>
      <c r="CF21" s="76" t="str">
        <f aca="false">IF($I21&gt;0%,IF(AND(CF$16&gt;=$F21,CF$16&lt;$F21+($G21*$I21)),"➤",""),"")</f>
        <v/>
      </c>
      <c r="CG21" s="76" t="str">
        <f aca="false">IF($I21&gt;0%,IF(AND(CG$16&gt;=$F21,CG$16&lt;$F21+($G21*$I21)),"➤",""),"")</f>
        <v/>
      </c>
      <c r="CH21" s="76" t="str">
        <f aca="false">IF($I21&gt;0%,IF(AND(CH$16&gt;=$F21,CH$16&lt;$F21+($G21*$I21)),"➤",""),"")</f>
        <v/>
      </c>
      <c r="CI21" s="76" t="str">
        <f aca="false">IF($I21&gt;0%,IF(AND(CI$16&gt;=$F21,CI$16&lt;$F21+($G21*$I21)),"➤",""),"")</f>
        <v/>
      </c>
      <c r="CJ21" s="76" t="str">
        <f aca="false">IF($I21&gt;0%,IF(AND(CJ$16&gt;=$F21,CJ$16&lt;$F21+($G21*$I21)),"➤",""),"")</f>
        <v/>
      </c>
      <c r="CK21" s="76" t="str">
        <f aca="false">IF($I21&gt;0%,IF(AND(CK$16&gt;=$F21,CK$16&lt;$F21+($G21*$I21)),"➤",""),"")</f>
        <v/>
      </c>
      <c r="CL21" s="76" t="str">
        <f aca="false">IF($I21&gt;0%,IF(AND(CL$16&gt;=$F21,CL$16&lt;$F21+($G21*$I21)),"➤",""),"")</f>
        <v/>
      </c>
      <c r="CM21" s="76" t="str">
        <f aca="false">IF($I21&gt;0%,IF(AND(CM$16&gt;=$F21,CM$16&lt;$F21+($G21*$I21)),"➤",""),"")</f>
        <v/>
      </c>
      <c r="CN21" s="76" t="str">
        <f aca="false">IF($I21&gt;0%,IF(AND(CN$16&gt;=$F21,CN$16&lt;$F21+($G21*$I21)),"➤",""),"")</f>
        <v/>
      </c>
      <c r="CO21" s="76" t="str">
        <f aca="false">IF($I21&gt;0%,IF(AND(CO$16&gt;=$F21,CO$16&lt;$F21+($G21*$I21)),"➤",""),"")</f>
        <v/>
      </c>
      <c r="CP21" s="76" t="str">
        <f aca="false">IF($I21&gt;0%,IF(AND(CP$16&gt;=$F21,CP$16&lt;$F21+($G21*$I21)),"➤",""),"")</f>
        <v/>
      </c>
      <c r="CQ21" s="76" t="str">
        <f aca="false">IF($I21&gt;0%,IF(AND(CQ$16&gt;=$F21,CQ$16&lt;$F21+($G21*$I21)),"➤",""),"")</f>
        <v/>
      </c>
      <c r="CR21" s="76" t="str">
        <f aca="false">IF($I21&gt;0%,IF(AND(CR$16&gt;=$F21,CR$16&lt;$F21+($G21*$I21)),"➤",""),"")</f>
        <v/>
      </c>
      <c r="CS21" s="76" t="str">
        <f aca="false">IF($I21&gt;0%,IF(AND(CS$16&gt;=$F21,CS$16&lt;$F21+($G21*$I21)),"➤",""),"")</f>
        <v/>
      </c>
      <c r="CT21" s="76" t="str">
        <f aca="false">IF($I21&gt;0%,IF(AND(CT$16&gt;=$F21,CT$16&lt;$F21+($G21*$I21)),"➤",""),"")</f>
        <v/>
      </c>
      <c r="CU21" s="76" t="str">
        <f aca="false">IF($I21&gt;0%,IF(AND(CU$16&gt;=$F21,CU$16&lt;$F21+($G21*$I21)),"➤",""),"")</f>
        <v/>
      </c>
      <c r="CV21" s="76" t="str">
        <f aca="false">IF($I21&gt;0%,IF(AND(CV$16&gt;=$F21,CV$16&lt;$F21+($G21*$I21)),"➤",""),"")</f>
        <v/>
      </c>
      <c r="CW21" s="76" t="str">
        <f aca="false">IF($I21&gt;0%,IF(AND(CW$16&gt;=$F21,CW$16&lt;$F21+($G21*$I21)),"➤",""),"")</f>
        <v/>
      </c>
      <c r="CX21" s="76" t="str">
        <f aca="false">IF($I21&gt;0%,IF(AND(CX$16&gt;=$F21,CX$16&lt;$F21+($G21*$I21)),"➤",""),"")</f>
        <v/>
      </c>
      <c r="CY21" s="76" t="str">
        <f aca="false">IF($I21&gt;0%,IF(AND(CY$16&gt;=$F21,CY$16&lt;$F21+($G21*$I21)),"➤",""),"")</f>
        <v/>
      </c>
      <c r="CZ21" s="76" t="str">
        <f aca="false">IF($I21&gt;0%,IF(AND(CZ$16&gt;=$F21,CZ$16&lt;$F21+($G21*$I21)),"➤",""),"")</f>
        <v/>
      </c>
      <c r="DA21" s="76" t="str">
        <f aca="false">IF($I21&gt;0%,IF(AND(DA$16&gt;=$F21,DA$16&lt;$F21+($G21*$I21)),"➤",""),"")</f>
        <v/>
      </c>
      <c r="DB21" s="76" t="str">
        <f aca="false">IF($I21&gt;0%,IF(AND(DB$16&gt;=$F21,DB$16&lt;$F21+($G21*$I21)),"➤",""),"")</f>
        <v/>
      </c>
      <c r="DC21" s="76" t="str">
        <f aca="false">IF($I21&gt;0%,IF(AND(DC$16&gt;=$F21,DC$16&lt;$F21+($G21*$I21)),"➤",""),"")</f>
        <v/>
      </c>
      <c r="DD21" s="76" t="str">
        <f aca="false">IF($I21&gt;0%,IF(AND(DD$16&gt;=$F21,DD$16&lt;$F21+($G21*$I21)),"➤",""),"")</f>
        <v/>
      </c>
      <c r="DE21" s="76" t="str">
        <f aca="false">IF($I21&gt;0%,IF(AND(DE$16&gt;=$F21,DE$16&lt;$F21+($G21*$I21)),"➤",""),"")</f>
        <v/>
      </c>
      <c r="DF21" s="76" t="str">
        <f aca="false">IF($I21&gt;0%,IF(AND(DF$16&gt;=$F21,DF$16&lt;$F21+($G21*$I21)),"➤",""),"")</f>
        <v/>
      </c>
      <c r="DG21" s="76" t="str">
        <f aca="false">IF($I21&gt;0%,IF(AND(DG$16&gt;=$F21,DG$16&lt;$F21+($G21*$I21)),"➤",""),"")</f>
        <v/>
      </c>
      <c r="DH21" s="76" t="str">
        <f aca="false">IF($I21&gt;0%,IF(AND(DH$16&gt;=$F21,DH$16&lt;$F21+($G21*$I21)),"➤",""),"")</f>
        <v/>
      </c>
      <c r="DI21" s="76" t="str">
        <f aca="false">IF($I21&gt;0%,IF(AND(DI$16&gt;=$F21,DI$16&lt;$F21+($G21*$I21)),"➤",""),"")</f>
        <v/>
      </c>
      <c r="DJ21" s="76" t="str">
        <f aca="false">IF($I21&gt;0%,IF(AND(DJ$16&gt;=$F21,DJ$16&lt;$F21+($G21*$I21)),"➤",""),"")</f>
        <v/>
      </c>
      <c r="DK21" s="76" t="str">
        <f aca="false">IF($I21&gt;0%,IF(AND(DK$16&gt;=$F21,DK$16&lt;$F21+($G21*$I21)),"➤",""),"")</f>
        <v/>
      </c>
      <c r="DL21" s="76" t="str">
        <f aca="false">IF($I21&gt;0%,IF(AND(DL$16&gt;=$F21,DL$16&lt;$F21+($G21*$I21)),"➤",""),"")</f>
        <v/>
      </c>
      <c r="DM21" s="76" t="str">
        <f aca="false">IF($I21&gt;0%,IF(AND(DM$16&gt;=$F21,DM$16&lt;$F21+($G21*$I21)),"➤",""),"")</f>
        <v/>
      </c>
      <c r="DN21" s="76" t="str">
        <f aca="false">IF($I21&gt;0%,IF(AND(DN$16&gt;=$F21,DN$16&lt;$F21+($G21*$I21)),"➤",""),"")</f>
        <v/>
      </c>
      <c r="DO21" s="76" t="str">
        <f aca="false">IF($I21&gt;0%,IF(AND(DO$16&gt;=$F21,DO$16&lt;$F21+($G21*$I21)),"➤",""),"")</f>
        <v/>
      </c>
      <c r="DP21" s="76" t="str">
        <f aca="false">IF($I21&gt;0%,IF(AND(DP$16&gt;=$F21,DP$16&lt;$F21+($G21*$I21)),"➤",""),"")</f>
        <v/>
      </c>
      <c r="DQ21" s="76" t="str">
        <f aca="false">IF($I21&gt;0%,IF(AND(DQ$16&gt;=$F21,DQ$16&lt;$F21+($G21*$I21)),"➤",""),"")</f>
        <v/>
      </c>
      <c r="DR21" s="76" t="str">
        <f aca="false">IF($I21&gt;0%,IF(AND(DR$16&gt;=$F21,DR$16&lt;$F21+($G21*$I21)),"➤",""),"")</f>
        <v/>
      </c>
      <c r="DS21" s="76" t="str">
        <f aca="false">IF($I21&gt;0%,IF(AND(DS$16&gt;=$F21,DS$16&lt;$F21+($G21*$I21)),"➤",""),"")</f>
        <v/>
      </c>
      <c r="DT21" s="76" t="str">
        <f aca="false">IF($I21&gt;0%,IF(AND(DT$16&gt;=$F21,DT$16&lt;$F21+($G21*$I21)),"➤",""),"")</f>
        <v/>
      </c>
      <c r="DU21" s="76" t="str">
        <f aca="false">IF($I21&gt;0%,IF(AND(DU$16&gt;=$F21,DU$16&lt;$F21+($G21*$I21)),"➤",""),"")</f>
        <v/>
      </c>
      <c r="DV21" s="76" t="str">
        <f aca="false">IF($I21&gt;0%,IF(AND(DV$16&gt;=$F21,DV$16&lt;$F21+($G21*$I21)),"➤",""),"")</f>
        <v/>
      </c>
      <c r="DW21" s="76" t="str">
        <f aca="false">IF($I21&gt;0%,IF(AND(DW$16&gt;=$F21,DW$16&lt;$F21+($G21*$I21)),"➤",""),"")</f>
        <v/>
      </c>
      <c r="DX21" s="76" t="str">
        <f aca="false">IF($I21&gt;0%,IF(AND(DX$16&gt;=$F21,DX$16&lt;$F21+($G21*$I21)),"➤",""),"")</f>
        <v/>
      </c>
      <c r="DY21" s="76" t="str">
        <f aca="false">IF($I21&gt;0%,IF(AND(DY$16&gt;=$F21,DY$16&lt;$F21+($G21*$I21)),"➤",""),"")</f>
        <v/>
      </c>
      <c r="DZ21" s="76" t="str">
        <f aca="false">IF($I21&gt;0%,IF(AND(DZ$16&gt;=$F21,DZ$16&lt;$F21+($G21*$I21)),"➤",""),"")</f>
        <v/>
      </c>
      <c r="EA21" s="76" t="str">
        <f aca="false">IF($I21&gt;0%,IF(AND(EA$16&gt;=$F21,EA$16&lt;$F21+($G21*$I21)),"➤",""),"")</f>
        <v/>
      </c>
      <c r="EB21" s="76" t="str">
        <f aca="false">IF($I21&gt;0%,IF(AND(EB$16&gt;=$F21,EB$16&lt;$F21+($G21*$I21)),"➤",""),"")</f>
        <v/>
      </c>
      <c r="EC21" s="76" t="str">
        <f aca="false">IF($I21&gt;0%,IF(AND(EC$16&gt;=$F21,EC$16&lt;$F21+($G21*$I21)),"➤",""),"")</f>
        <v/>
      </c>
      <c r="ED21" s="76" t="str">
        <f aca="false">IF($I21&gt;0%,IF(AND(ED$16&gt;=$F21,ED$16&lt;$F21+($G21*$I21)),"➤",""),"")</f>
        <v/>
      </c>
      <c r="EE21" s="76" t="str">
        <f aca="false">IF($I21&gt;0%,IF(AND(EE$16&gt;=$F21,EE$16&lt;$F21+($G21*$I21)),"➤",""),"")</f>
        <v/>
      </c>
      <c r="EF21" s="76" t="str">
        <f aca="false">IF($I21&gt;0%,IF(AND(EF$16&gt;=$F21,EF$16&lt;$F21+($G21*$I21)),"➤",""),"")</f>
        <v/>
      </c>
      <c r="EG21" s="76" t="str">
        <f aca="false">IF($I21&gt;0%,IF(AND(EG$16&gt;=$F21,EG$16&lt;$F21+($G21*$I21)),"➤",""),"")</f>
        <v/>
      </c>
      <c r="EH21" s="76" t="str">
        <f aca="false">IF($I21&gt;0%,IF(AND(EH$16&gt;=$F21,EH$16&lt;$F21+($G21*$I21)),"➤",""),"")</f>
        <v/>
      </c>
      <c r="EI21" s="76" t="str">
        <f aca="false">IF($I21&gt;0%,IF(AND(EI$16&gt;=$F21,EI$16&lt;$F21+($G21*$I21)),"➤",""),"")</f>
        <v/>
      </c>
      <c r="EJ21" s="76" t="str">
        <f aca="false">IF($I21&gt;0%,IF(AND(EJ$16&gt;=$F21,EJ$16&lt;$F21+($G21*$I21)),"➤",""),"")</f>
        <v/>
      </c>
      <c r="EK21" s="76" t="str">
        <f aca="false">IF($I21&gt;0%,IF(AND(EK$16&gt;=$F21,EK$16&lt;$F21+($G21*$I21)),"➤",""),"")</f>
        <v/>
      </c>
      <c r="EL21" s="76" t="str">
        <f aca="false">IF($I21&gt;0%,IF(AND(EL$16&gt;=$F21,EL$16&lt;$F21+($G21*$I21)),"➤",""),"")</f>
        <v/>
      </c>
      <c r="EM21" s="76" t="str">
        <f aca="false">IF($I21&gt;0%,IF(AND(EM$16&gt;=$F21,EM$16&lt;$F21+($G21*$I21)),"➤",""),"")</f>
        <v/>
      </c>
      <c r="EN21" s="76" t="str">
        <f aca="false">IF($I21&gt;0%,IF(AND(EN$16&gt;=$F21,EN$16&lt;$F21+($G21*$I21)),"➤",""),"")</f>
        <v/>
      </c>
      <c r="EO21" s="76" t="str">
        <f aca="false">IF($I21&gt;0%,IF(AND(EO$16&gt;=$F21,EO$16&lt;$F21+($G21*$I21)),"➤",""),"")</f>
        <v/>
      </c>
      <c r="EP21" s="76" t="str">
        <f aca="false">IF($I21&gt;0%,IF(AND(EP$16&gt;=$F21,EP$16&lt;$F21+($G21*$I21)),"➤",""),"")</f>
        <v/>
      </c>
      <c r="EQ21" s="76" t="str">
        <f aca="false">IF($I21&gt;0%,IF(AND(EQ$16&gt;=$F21,EQ$16&lt;$F21+($G21*$I21)),"➤",""),"")</f>
        <v/>
      </c>
      <c r="ER21" s="76" t="str">
        <f aca="false">IF($I21&gt;0%,IF(AND(ER$16&gt;=$F21,ER$16&lt;$F21+($G21*$I21)),"➤",""),"")</f>
        <v/>
      </c>
      <c r="ES21" s="76" t="str">
        <f aca="false">IF($I21&gt;0%,IF(AND(ES$16&gt;=$F21,ES$16&lt;$F21+($G21*$I21)),"➤",""),"")</f>
        <v/>
      </c>
      <c r="ET21" s="76" t="str">
        <f aca="false">IF($I21&gt;0%,IF(AND(ET$16&gt;=$F21,ET$16&lt;$F21+($G21*$I21)),"➤",""),"")</f>
        <v/>
      </c>
      <c r="EU21" s="76" t="str">
        <f aca="false">IF($I21&gt;0%,IF(AND(EU$16&gt;=$F21,EU$16&lt;$F21+($G21*$I21)),"➤",""),"")</f>
        <v/>
      </c>
      <c r="EV21" s="76" t="str">
        <f aca="false">IF($I21&gt;0%,IF(AND(EV$16&gt;=$F21,EV$16&lt;$F21+($G21*$I21)),"➤",""),"")</f>
        <v/>
      </c>
      <c r="EW21" s="76" t="str">
        <f aca="false">IF($I21&gt;0%,IF(AND(EW$16&gt;=$F21,EW$16&lt;$F21+($G21*$I21)),"➤",""),"")</f>
        <v/>
      </c>
      <c r="EX21" s="76" t="str">
        <f aca="false">IF($I21&gt;0%,IF(AND(EX$16&gt;=$F21,EX$16&lt;$F21+($G21*$I21)),"➤",""),"")</f>
        <v/>
      </c>
      <c r="EY21" s="76" t="str">
        <f aca="false">IF($I21&gt;0%,IF(AND(EY$16&gt;=$F21,EY$16&lt;$F21+($G21*$I21)),"➤",""),"")</f>
        <v/>
      </c>
      <c r="EZ21" s="76" t="str">
        <f aca="false">IF($I21&gt;0%,IF(AND(EZ$16&gt;=$F21,EZ$16&lt;$F21+($G21*$I21)),"➤",""),"")</f>
        <v/>
      </c>
      <c r="FA21" s="76" t="str">
        <f aca="false">IF($I21&gt;0%,IF(AND(FA$16&gt;=$F21,FA$16&lt;$F21+($G21*$I21)),"➤",""),"")</f>
        <v/>
      </c>
      <c r="FB21" s="76" t="str">
        <f aca="false">IF($I21&gt;0%,IF(AND(FB$16&gt;=$F21,FB$16&lt;$F21+($G21*$I21)),"➤",""),"")</f>
        <v/>
      </c>
      <c r="FC21" s="76" t="str">
        <f aca="false">IF($I21&gt;0%,IF(AND(FC$16&gt;=$F21,FC$16&lt;$F21+($G21*$I21)),"➤",""),"")</f>
        <v/>
      </c>
      <c r="FD21" s="76" t="str">
        <f aca="false">IF($I21&gt;0%,IF(AND(FD$16&gt;=$F21,FD$16&lt;$F21+($G21*$I21)),"➤",""),"")</f>
        <v/>
      </c>
      <c r="FE21" s="76" t="str">
        <f aca="false">IF($I21&gt;0%,IF(AND(FE$16&gt;=$F21,FE$16&lt;$F21+($G21*$I21)),"➤",""),"")</f>
        <v/>
      </c>
      <c r="FF21" s="76" t="str">
        <f aca="false">IF($I21&gt;0%,IF(AND(FF$16&gt;=$F21,FF$16&lt;$F21+($G21*$I21)),"➤",""),"")</f>
        <v/>
      </c>
      <c r="FG21" s="76" t="str">
        <f aca="false">IF($I21&gt;0%,IF(AND(FG$16&gt;=$F21,FG$16&lt;$F21+($G21*$I21)),"➤",""),"")</f>
        <v/>
      </c>
      <c r="FH21" s="76" t="str">
        <f aca="false">IF($I21&gt;0%,IF(AND(FH$16&gt;=$F21,FH$16&lt;$F21+($G21*$I21)),"➤",""),"")</f>
        <v/>
      </c>
      <c r="FI21" s="76" t="str">
        <f aca="false">IF($I21&gt;0%,IF(AND(FI$16&gt;=$F21,FI$16&lt;$F21+($G21*$I21)),"➤",""),"")</f>
        <v/>
      </c>
      <c r="FJ21" s="76" t="str">
        <f aca="false">IF($I21&gt;0%,IF(AND(FJ$16&gt;=$F21,FJ$16&lt;$F21+($G21*$I21)),"➤",""),"")</f>
        <v/>
      </c>
      <c r="FK21" s="76" t="str">
        <f aca="false">IF($I21&gt;0%,IF(AND(FK$16&gt;=$F21,FK$16&lt;$F21+($G21*$I21)),"➤",""),"")</f>
        <v/>
      </c>
      <c r="FL21" s="76" t="str">
        <f aca="false">IF($I21&gt;0%,IF(AND(FL$16&gt;=$F21,FL$16&lt;$F21+($G21*$I21)),"➤",""),"")</f>
        <v/>
      </c>
      <c r="FM21" s="76" t="str">
        <f aca="false">IF($I21&gt;0%,IF(AND(FM$16&gt;=$F21,FM$16&lt;$F21+($G21*$I21)),"➤",""),"")</f>
        <v/>
      </c>
      <c r="FN21" s="76" t="str">
        <f aca="false">IF($I21&gt;0%,IF(AND(FN$16&gt;=$F21,FN$16&lt;$F21+($G21*$I21)),"➤",""),"")</f>
        <v/>
      </c>
      <c r="FO21" s="76" t="str">
        <f aca="false">IF($I21&gt;0%,IF(AND(FO$16&gt;=$F21,FO$16&lt;$F21+($G21*$I21)),"➤",""),"")</f>
        <v/>
      </c>
      <c r="FP21" s="76" t="str">
        <f aca="false">IF($I21&gt;0%,IF(AND(FP$16&gt;=$F21,FP$16&lt;$F21+($G21*$I21)),"➤",""),"")</f>
        <v/>
      </c>
      <c r="FQ21" s="76" t="str">
        <f aca="false">IF($I21&gt;0%,IF(AND(FQ$16&gt;=$F21,FQ$16&lt;$F21+($G21*$I21)),"➤",""),"")</f>
        <v/>
      </c>
      <c r="FR21" s="76" t="str">
        <f aca="false">IF($I21&gt;0%,IF(AND(FR$16&gt;=$F21,FR$16&lt;$F21+($G21*$I21)),"➤",""),"")</f>
        <v/>
      </c>
      <c r="FS21" s="76" t="str">
        <f aca="false">IF($I21&gt;0%,IF(AND(FS$16&gt;=$F21,FS$16&lt;$F21+($G21*$I21)),"➤",""),"")</f>
        <v/>
      </c>
      <c r="FT21" s="76" t="str">
        <f aca="false">IF($I21&gt;0%,IF(AND(FT$16&gt;=$F21,FT$16&lt;$F21+($G21*$I21)),"➤",""),"")</f>
        <v/>
      </c>
      <c r="FU21" s="76" t="str">
        <f aca="false">IF($I21&gt;0%,IF(AND(FU$16&gt;=$F21,FU$16&lt;$F21+($G21*$I21)),"➤",""),"")</f>
        <v/>
      </c>
      <c r="FV21" s="76" t="str">
        <f aca="false">IF($I21&gt;0%,IF(AND(FV$16&gt;=$F21,FV$16&lt;$F21+($G21*$I21)),"➤",""),"")</f>
        <v/>
      </c>
      <c r="FW21" s="76" t="str">
        <f aca="false">IF($I21&gt;0%,IF(AND(FW$16&gt;=$F21,FW$16&lt;$F21+($G21*$I21)),"➤",""),"")</f>
        <v/>
      </c>
      <c r="FX21" s="76" t="str">
        <f aca="false">IF($I21&gt;0%,IF(AND(FX$16&gt;=$F21,FX$16&lt;$F21+($G21*$I21)),"➤",""),"")</f>
        <v/>
      </c>
      <c r="FY21" s="76" t="str">
        <f aca="false">IF($I21&gt;0%,IF(AND(FY$16&gt;=$F21,FY$16&lt;$F21+($G21*$I21)),"➤",""),"")</f>
        <v/>
      </c>
      <c r="FZ21" s="76" t="str">
        <f aca="false">IF($I21&gt;0%,IF(AND(FZ$16&gt;=$F21,FZ$16&lt;$F21+($G21*$I21)),"➤",""),"")</f>
        <v/>
      </c>
      <c r="GA21" s="76" t="str">
        <f aca="false">IF($I21&gt;0%,IF(AND(GA$16&gt;=$F21,GA$16&lt;$F21+($G21*$I21)),"➤",""),"")</f>
        <v/>
      </c>
      <c r="GB21" s="76" t="str">
        <f aca="false">IF($I21&gt;0%,IF(AND(GB$16&gt;=$F21,GB$16&lt;$F21+($G21*$I21)),"➤",""),"")</f>
        <v/>
      </c>
      <c r="GC21" s="76" t="str">
        <f aca="false">IF($I21&gt;0%,IF(AND(GC$16&gt;=$F21,GC$16&lt;$F21+($G21*$I21)),"➤",""),"")</f>
        <v/>
      </c>
      <c r="GD21" s="76" t="str">
        <f aca="false">IF($I21&gt;0%,IF(AND(GD$16&gt;=$F21,GD$16&lt;$F21+($G21*$I21)),"➤",""),"")</f>
        <v/>
      </c>
      <c r="GE21" s="76" t="str">
        <f aca="false">IF($I21&gt;0%,IF(AND(GE$16&gt;=$F21,GE$16&lt;$F21+($G21*$I21)),"➤",""),"")</f>
        <v/>
      </c>
      <c r="GF21" s="76" t="str">
        <f aca="false">IF($I21&gt;0%,IF(AND(GF$16&gt;=$F21,GF$16&lt;$F21+($G21*$I21)),"➤",""),"")</f>
        <v/>
      </c>
      <c r="GG21" s="76" t="str">
        <f aca="false">IF($I21&gt;0%,IF(AND(GG$16&gt;=$F21,GG$16&lt;$F21+($G21*$I21)),"➤",""),"")</f>
        <v/>
      </c>
      <c r="GH21" s="76" t="str">
        <f aca="false">IF($I21&gt;0%,IF(AND(GH$16&gt;=$F21,GH$16&lt;$F21+($G21*$I21)),"➤",""),"")</f>
        <v/>
      </c>
      <c r="GI21" s="76" t="str">
        <f aca="false">IF($I21&gt;0%,IF(AND(GI$16&gt;=$F21,GI$16&lt;$F21+($G21*$I21)),"➤",""),"")</f>
        <v/>
      </c>
      <c r="GJ21" s="76" t="str">
        <f aca="false">IF($I21&gt;0%,IF(AND(GJ$16&gt;=$F21,GJ$16&lt;$F21+($G21*$I21)),"➤",""),"")</f>
        <v/>
      </c>
      <c r="GK21" s="76" t="str">
        <f aca="false">IF($I21&gt;0%,IF(AND(GK$16&gt;=$F21,GK$16&lt;$F21+($G21*$I21)),"➤",""),"")</f>
        <v/>
      </c>
      <c r="GL21" s="76" t="str">
        <f aca="false">IF($I21&gt;0%,IF(AND(GL$16&gt;=$F21,GL$16&lt;$F21+($G21*$I21)),"➤",""),"")</f>
        <v/>
      </c>
      <c r="GM21" s="76" t="str">
        <f aca="false">IF($I21&gt;0%,IF(AND(GM$16&gt;=$F21,GM$16&lt;$F21+($G21*$I21)),"➤",""),"")</f>
        <v/>
      </c>
      <c r="GN21" s="76" t="str">
        <f aca="false">IF($I21&gt;0%,IF(AND(GN$16&gt;=$F21,GN$16&lt;$F21+($G21*$I21)),"➤",""),"")</f>
        <v/>
      </c>
      <c r="GO21" s="76" t="str">
        <f aca="false">IF($I21&gt;0%,IF(AND(GO$16&gt;=$F21,GO$16&lt;$F21+($G21*$I21)),"➤",""),"")</f>
        <v/>
      </c>
      <c r="GP21" s="76" t="str">
        <f aca="false">IF($I21&gt;0%,IF(AND(GP$16&gt;=$F21,GP$16&lt;$F21+($G21*$I21)),"➤",""),"")</f>
        <v/>
      </c>
      <c r="GQ21" s="76" t="str">
        <f aca="false">IF($I21&gt;0%,IF(AND(GQ$16&gt;=$F21,GQ$16&lt;$F21+($G21*$I21)),"➤",""),"")</f>
        <v/>
      </c>
      <c r="GR21" s="76" t="str">
        <f aca="false">IF($I21&gt;0%,IF(AND(GR$16&gt;=$F21,GR$16&lt;$F21+($G21*$I21)),"➤",""),"")</f>
        <v/>
      </c>
      <c r="GS21" s="76" t="str">
        <f aca="false">IF($I21&gt;0%,IF(AND(GS$16&gt;=$F21,GS$16&lt;$F21+($G21*$I21)),"➤",""),"")</f>
        <v/>
      </c>
      <c r="GT21" s="76" t="str">
        <f aca="false">IF($I21&gt;0%,IF(AND(GT$16&gt;=$F21,GT$16&lt;$F21+($G21*$I21)),"➤",""),"")</f>
        <v/>
      </c>
      <c r="GU21" s="76" t="str">
        <f aca="false">IF($I21&gt;0%,IF(AND(GU$16&gt;=$F21,GU$16&lt;$F21+($G21*$I21)),"➤",""),"")</f>
        <v/>
      </c>
      <c r="GV21" s="76" t="str">
        <f aca="false">IF($I21&gt;0%,IF(AND(GV$16&gt;=$F21,GV$16&lt;$F21+($G21*$I21)),"➤",""),"")</f>
        <v/>
      </c>
      <c r="GW21" s="76" t="str">
        <f aca="false">IF($I21&gt;0%,IF(AND(GW$16&gt;=$F21,GW$16&lt;$F21+($G21*$I21)),"➤",""),"")</f>
        <v/>
      </c>
      <c r="GX21" s="76" t="str">
        <f aca="false">IF($I21&gt;0%,IF(AND(GX$16&gt;=$F21,GX$16&lt;$F21+($G21*$I21)),"➤",""),"")</f>
        <v/>
      </c>
      <c r="GY21" s="76" t="str">
        <f aca="false">IF($I21&gt;0%,IF(AND(GY$16&gt;=$F21,GY$16&lt;$F21+($G21*$I21)),"➤",""),"")</f>
        <v/>
      </c>
      <c r="GZ21" s="76" t="str">
        <f aca="false">IF($I21&gt;0%,IF(AND(GZ$16&gt;=$F21,GZ$16&lt;$F21+($G21*$I21)),"➤",""),"")</f>
        <v/>
      </c>
      <c r="HA21" s="76" t="str">
        <f aca="false">IF($I21&gt;0%,IF(AND(HA$16&gt;=$F21,HA$16&lt;$F21+($G21*$I21)),"➤",""),"")</f>
        <v/>
      </c>
      <c r="HB21" s="76" t="str">
        <f aca="false">IF($I21&gt;0%,IF(AND(HB$16&gt;=$F21,HB$16&lt;$F21+($G21*$I21)),"➤",""),"")</f>
        <v/>
      </c>
      <c r="HC21" s="76" t="str">
        <f aca="false">IF($I21&gt;0%,IF(AND(HC$16&gt;=$F21,HC$16&lt;$F21+($G21*$I21)),"➤",""),"")</f>
        <v/>
      </c>
      <c r="HD21" s="76" t="str">
        <f aca="false">IF($I21&gt;0%,IF(AND(HD$16&gt;=$F21,HD$16&lt;$F21+($G21*$I21)),"➤",""),"")</f>
        <v/>
      </c>
      <c r="HE21" s="76" t="str">
        <f aca="false">IF($I21&gt;0%,IF(AND(HE$16&gt;=$F21,HE$16&lt;$F21+($G21*$I21)),"➤",""),"")</f>
        <v/>
      </c>
      <c r="HF21" s="76" t="str">
        <f aca="false">IF($I21&gt;0%,IF(AND(HF$16&gt;=$F21,HF$16&lt;$F21+($G21*$I21)),"➤",""),"")</f>
        <v/>
      </c>
      <c r="HG21" s="76" t="str">
        <f aca="false">IF($I21&gt;0%,IF(AND(HG$16&gt;=$F21,HG$16&lt;$F21+($G21*$I21)),"➤",""),"")</f>
        <v/>
      </c>
      <c r="HH21" s="76" t="str">
        <f aca="false">IF($I21&gt;0%,IF(AND(HH$16&gt;=$F21,HH$16&lt;$F21+($G21*$I21)),"➤",""),"")</f>
        <v/>
      </c>
      <c r="HI21" s="76" t="str">
        <f aca="false">IF($I21&gt;0%,IF(AND(HI$16&gt;=$F21,HI$16&lt;$F21+($G21*$I21)),"➤",""),"")</f>
        <v/>
      </c>
      <c r="HJ21" s="76" t="str">
        <f aca="false">IF($I21&gt;0%,IF(AND(HJ$16&gt;=$F21,HJ$16&lt;$F21+($G21*$I21)),"➤",""),"")</f>
        <v/>
      </c>
      <c r="HK21" s="76" t="str">
        <f aca="false">IF($I21&gt;0%,IF(AND(HK$16&gt;=$F21,HK$16&lt;$F21+($G21*$I21)),"➤",""),"")</f>
        <v/>
      </c>
      <c r="HL21" s="76" t="str">
        <f aca="false">IF($I21&gt;0%,IF(AND(HL$16&gt;=$F21,HL$16&lt;$F21+($G21*$I21)),"➤",""),"")</f>
        <v/>
      </c>
      <c r="HM21" s="76" t="str">
        <f aca="false">IF($I21&gt;0%,IF(AND(HM$16&gt;=$F21,HM$16&lt;$F21+($G21*$I21)),"➤",""),"")</f>
        <v/>
      </c>
      <c r="HN21" s="76" t="str">
        <f aca="false">IF($I21&gt;0%,IF(AND(HN$16&gt;=$F21,HN$16&lt;$F21+($G21*$I21)),"➤",""),"")</f>
        <v/>
      </c>
      <c r="HO21" s="76" t="str">
        <f aca="false">IF($I21&gt;0%,IF(AND(HO$16&gt;=$F21,HO$16&lt;$F21+($G21*$I21)),"➤",""),"")</f>
        <v/>
      </c>
      <c r="HP21" s="76" t="str">
        <f aca="false">IF($I21&gt;0%,IF(AND(HP$16&gt;=$F21,HP$16&lt;$F21+($G21*$I21)),"➤",""),"")</f>
        <v/>
      </c>
      <c r="HQ21" s="76" t="str">
        <f aca="false">IF($I21&gt;0%,IF(AND(HQ$16&gt;=$F21,HQ$16&lt;$F21+($G21*$I21)),"➤",""),"")</f>
        <v/>
      </c>
      <c r="HR21" s="76" t="str">
        <f aca="false">IF($I21&gt;0%,IF(AND(HR$16&gt;=$F21,HR$16&lt;$F21+($G21*$I21)),"➤",""),"")</f>
        <v/>
      </c>
      <c r="HS21" s="76" t="str">
        <f aca="false">IF($I21&gt;0%,IF(AND(HS$16&gt;=$F21,HS$16&lt;$F21+($G21*$I21)),"➤",""),"")</f>
        <v/>
      </c>
      <c r="HT21" s="76" t="str">
        <f aca="false">IF($I21&gt;0%,IF(AND(HT$16&gt;=$F21,HT$16&lt;$F21+($G21*$I21)),"➤",""),"")</f>
        <v/>
      </c>
      <c r="HU21" s="76" t="str">
        <f aca="false">IF($I21&gt;0%,IF(AND(HU$16&gt;=$F21,HU$16&lt;$F21+($G21*$I21)),"➤",""),"")</f>
        <v/>
      </c>
      <c r="HV21" s="76" t="str">
        <f aca="false">IF($I21&gt;0%,IF(AND(HV$16&gt;=$F21,HV$16&lt;$F21+($G21*$I21)),"➤",""),"")</f>
        <v/>
      </c>
      <c r="HW21" s="76" t="str">
        <f aca="false">IF($I21&gt;0%,IF(AND(HW$16&gt;=$F21,HW$16&lt;$F21+($G21*$I21)),"➤",""),"")</f>
        <v/>
      </c>
      <c r="HX21" s="76" t="str">
        <f aca="false">IF($I21&gt;0%,IF(AND(HX$16&gt;=$F21,HX$16&lt;$F21+($G21*$I21)),"➤",""),"")</f>
        <v/>
      </c>
      <c r="HY21" s="76" t="str">
        <f aca="false">IF($I21&gt;0%,IF(AND(HY$16&gt;=$F21,HY$16&lt;$F21+($G21*$I21)),"➤",""),"")</f>
        <v/>
      </c>
      <c r="HZ21" s="76" t="str">
        <f aca="false">IF($I21&gt;0%,IF(AND(HZ$16&gt;=$F21,HZ$16&lt;$F21+($G21*$I21)),"➤",""),"")</f>
        <v/>
      </c>
      <c r="IA21" s="76" t="str">
        <f aca="false">IF($I21&gt;0%,IF(AND(IA$16&gt;=$F21,IA$16&lt;$F21+($G21*$I21)),"➤",""),"")</f>
        <v/>
      </c>
      <c r="IB21" s="76" t="str">
        <f aca="false">IF($I21&gt;0%,IF(AND(IB$16&gt;=$F21,IB$16&lt;$F21+($G21*$I21)),"➤",""),"")</f>
        <v/>
      </c>
      <c r="IC21" s="76" t="str">
        <f aca="false">IF($I21&gt;0%,IF(AND(IC$16&gt;=$F21,IC$16&lt;$F21+($G21*$I21)),"➤",""),"")</f>
        <v/>
      </c>
      <c r="ID21" s="76" t="str">
        <f aca="false">IF($I21&gt;0%,IF(AND(ID$16&gt;=$F21,ID$16&lt;$F21+($G21*$I21)),"➤",""),"")</f>
        <v/>
      </c>
      <c r="IE21" s="76" t="str">
        <f aca="false">IF($I21&gt;0%,IF(AND(IE$16&gt;=$F21,IE$16&lt;$F21+($G21*$I21)),"➤",""),"")</f>
        <v/>
      </c>
      <c r="IF21" s="76" t="str">
        <f aca="false">IF($I21&gt;0%,IF(AND(IF$16&gt;=$F21,IF$16&lt;$F21+($G21*$I21)),"➤",""),"")</f>
        <v/>
      </c>
      <c r="IG21" s="76" t="str">
        <f aca="false">IF($I21&gt;0%,IF(AND(IG$16&gt;=$F21,IG$16&lt;$F21+($G21*$I21)),"➤",""),"")</f>
        <v/>
      </c>
      <c r="IH21" s="76" t="str">
        <f aca="false">IF($I21&gt;0%,IF(AND(IH$16&gt;=$F21,IH$16&lt;$F21+($G21*$I21)),"➤",""),"")</f>
        <v/>
      </c>
      <c r="II21" s="76" t="str">
        <f aca="false">IF($I21&gt;0%,IF(AND(II$16&gt;=$F21,II$16&lt;$F21+($G21*$I21)),"➤",""),"")</f>
        <v/>
      </c>
      <c r="IJ21" s="76" t="str">
        <f aca="false">IF($I21&gt;0%,IF(AND(IJ$16&gt;=$F21,IJ$16&lt;$F21+($G21*$I21)),"➤",""),"")</f>
        <v/>
      </c>
      <c r="IK21" s="76" t="str">
        <f aca="false">IF($I21&gt;0%,IF(AND(IK$16&gt;=$F21,IK$16&lt;$F21+($G21*$I21)),"➤",""),"")</f>
        <v/>
      </c>
      <c r="IL21" s="76" t="str">
        <f aca="false">IF($I21&gt;0%,IF(AND(IL$16&gt;=$F21,IL$16&lt;$F21+($G21*$I21)),"➤",""),"")</f>
        <v/>
      </c>
      <c r="IM21" s="76" t="str">
        <f aca="false">IF($I21&gt;0%,IF(AND(IM$16&gt;=$F21,IM$16&lt;$F21+($G21*$I21)),"➤",""),"")</f>
        <v/>
      </c>
      <c r="IN21" s="76" t="str">
        <f aca="false">IF($I21&gt;0%,IF(AND(IN$16&gt;=$F21,IN$16&lt;$F21+($G21*$I21)),"➤",""),"")</f>
        <v/>
      </c>
      <c r="IO21" s="76" t="str">
        <f aca="false">IF($I21&gt;0%,IF(AND(IO$16&gt;=$F21,IO$16&lt;$F21+($G21*$I21)),"➤",""),"")</f>
        <v/>
      </c>
      <c r="IP21" s="76" t="str">
        <f aca="false">IF($I21&gt;0%,IF(AND(IP$16&gt;=$F21,IP$16&lt;$F21+($G21*$I21)),"➤",""),"")</f>
        <v/>
      </c>
      <c r="IQ21" s="76" t="str">
        <f aca="false">IF($I21&gt;0%,IF(AND(IQ$16&gt;=$F21,IQ$16&lt;$F21+($G21*$I21)),"➤",""),"")</f>
        <v/>
      </c>
      <c r="IR21" s="76" t="str">
        <f aca="false">IF($I21&gt;0%,IF(AND(IR$16&gt;=$F21,IR$16&lt;$F21+($G21*$I21)),"➤",""),"")</f>
        <v/>
      </c>
      <c r="IS21" s="76" t="str">
        <f aca="false">IF($I21&gt;0%,IF(AND(IS$16&gt;=$F21,IS$16&lt;$F21+($G21*$I21)),"➤",""),"")</f>
        <v/>
      </c>
      <c r="IT21" s="76" t="str">
        <f aca="false">IF($I21&gt;0%,IF(AND(IT$16&gt;=$F21,IT$16&lt;$F21+($G21*$I21)),"➤",""),"")</f>
        <v/>
      </c>
      <c r="IU21" s="76" t="str">
        <f aca="false">IF($I21&gt;0%,IF(AND(IU$16&gt;=$F21,IU$16&lt;$F21+($G21*$I21)),"➤",""),"")</f>
        <v/>
      </c>
      <c r="IV21" s="76" t="str">
        <f aca="false">IF($I21&gt;0%,IF(AND(IV$16&gt;=$F21,IV$16&lt;$F21+($G21*$I21)),"➤",""),"")</f>
        <v/>
      </c>
      <c r="IW21" s="76" t="str">
        <f aca="false">IF($I21&gt;0%,IF(AND(IW$16&gt;=$F21,IW$16&lt;$F21+($G21*$I21)),"➤",""),"")</f>
        <v/>
      </c>
      <c r="IX21" s="76" t="str">
        <f aca="false">IF($I21&gt;0%,IF(AND(IX$16&gt;=$F21,IX$16&lt;$F21+($G21*$I21)),"➤",""),"")</f>
        <v/>
      </c>
      <c r="IY21" s="76" t="str">
        <f aca="false">IF($I21&gt;0%,IF(AND(IY$16&gt;=$F21,IY$16&lt;$F21+($G21*$I21)),"➤",""),"")</f>
        <v/>
      </c>
      <c r="IZ21" s="76" t="str">
        <f aca="false">IF($I21&gt;0%,IF(AND(IZ$16&gt;=$F21,IZ$16&lt;$F21+($G21*$I21)),"➤",""),"")</f>
        <v/>
      </c>
      <c r="JA21" s="76" t="str">
        <f aca="false">IF($I21&gt;0%,IF(AND(JA$16&gt;=$F21,JA$16&lt;$F21+($G21*$I21)),"➤",""),"")</f>
        <v/>
      </c>
      <c r="JB21" s="76" t="str">
        <f aca="false">IF($I21&gt;0%,IF(AND(JB$16&gt;=$F21,JB$16&lt;$F21+($G21*$I21)),"➤",""),"")</f>
        <v/>
      </c>
      <c r="JC21" s="76" t="str">
        <f aca="false">IF($I21&gt;0%,IF(AND(JC$16&gt;=$F21,JC$16&lt;$F21+($G21*$I21)),"➤",""),"")</f>
        <v/>
      </c>
      <c r="JD21" s="76" t="str">
        <f aca="false">IF($I21&gt;0%,IF(AND(JD$16&gt;=$F21,JD$16&lt;$F21+($G21*$I21)),"➤",""),"")</f>
        <v/>
      </c>
      <c r="JE21" s="76" t="str">
        <f aca="false">IF($I21&gt;0%,IF(AND(JE$16&gt;=$F21,JE$16&lt;$F21+($G21*$I21)),"➤",""),"")</f>
        <v/>
      </c>
      <c r="JF21" s="76" t="str">
        <f aca="false">IF($I21&gt;0%,IF(AND(JF$16&gt;=$F21,JF$16&lt;$F21+($G21*$I21)),"➤",""),"")</f>
        <v/>
      </c>
      <c r="JG21" s="76" t="str">
        <f aca="false">IF($I21&gt;0%,IF(AND(JG$16&gt;=$F21,JG$16&lt;$F21+($G21*$I21)),"➤",""),"")</f>
        <v/>
      </c>
      <c r="JH21" s="76" t="str">
        <f aca="false">IF($I21&gt;0%,IF(AND(JH$16&gt;=$F21,JH$16&lt;$F21+($G21*$I21)),"➤",""),"")</f>
        <v/>
      </c>
      <c r="JI21" s="76" t="str">
        <f aca="false">IF($I21&gt;0%,IF(AND(JI$16&gt;=$F21,JI$16&lt;$F21+($G21*$I21)),"➤",""),"")</f>
        <v/>
      </c>
      <c r="JJ21" s="76" t="str">
        <f aca="false">IF($I21&gt;0%,IF(AND(JJ$16&gt;=$F21,JJ$16&lt;$F21+($G21*$I21)),"➤",""),"")</f>
        <v/>
      </c>
      <c r="JK21" s="76" t="str">
        <f aca="false">IF($I21&gt;0%,IF(AND(JK$16&gt;=$F21,JK$16&lt;$F21+($G21*$I21)),"➤",""),"")</f>
        <v/>
      </c>
      <c r="JL21" s="76" t="str">
        <f aca="false">IF($I21&gt;0%,IF(AND(JL$16&gt;=$F21,JL$16&lt;$F21+($G21*$I21)),"➤",""),"")</f>
        <v/>
      </c>
      <c r="JM21" s="76" t="str">
        <f aca="false">IF($I21&gt;0%,IF(AND(JM$16&gt;=$F21,JM$16&lt;$F21+($G21*$I21)),"➤",""),"")</f>
        <v/>
      </c>
      <c r="JN21" s="76" t="str">
        <f aca="false">IF($I21&gt;0%,IF(AND(JN$16&gt;=$F21,JN$16&lt;$F21+($G21*$I21)),"➤",""),"")</f>
        <v/>
      </c>
      <c r="JO21" s="76" t="str">
        <f aca="false">IF($I21&gt;0%,IF(AND(JO$16&gt;=$F21,JO$16&lt;$F21+($G21*$I21)),"➤",""),"")</f>
        <v/>
      </c>
      <c r="JP21" s="76" t="str">
        <f aca="false">IF($I21&gt;0%,IF(AND(JP$16&gt;=$F21,JP$16&lt;$F21+($G21*$I21)),"➤",""),"")</f>
        <v/>
      </c>
      <c r="JQ21" s="76" t="str">
        <f aca="false">IF($I21&gt;0%,IF(AND(JQ$16&gt;=$F21,JQ$16&lt;$F21+($G21*$I21)),"➤",""),"")</f>
        <v/>
      </c>
      <c r="JR21" s="76" t="str">
        <f aca="false">IF($I21&gt;0%,IF(AND(JR$16&gt;=$F21,JR$16&lt;$F21+($G21*$I21)),"➤",""),"")</f>
        <v/>
      </c>
      <c r="JS21" s="76" t="str">
        <f aca="false">IF($I21&gt;0%,IF(AND(JS$16&gt;=$F21,JS$16&lt;$F21+($G21*$I21)),"➤",""),"")</f>
        <v/>
      </c>
      <c r="JT21" s="76" t="str">
        <f aca="false">IF($I21&gt;0%,IF(AND(JT$16&gt;=$F21,JT$16&lt;$F21+($G21*$I21)),"➤",""),"")</f>
        <v/>
      </c>
      <c r="JU21" s="76" t="str">
        <f aca="false">IF($I21&gt;0%,IF(AND(JU$16&gt;=$F21,JU$16&lt;$F21+($G21*$I21)),"➤",""),"")</f>
        <v/>
      </c>
      <c r="JV21" s="76" t="str">
        <f aca="false">IF($I21&gt;0%,IF(AND(JV$16&gt;=$F21,JV$16&lt;$F21+($G21*$I21)),"➤",""),"")</f>
        <v/>
      </c>
      <c r="JW21" s="76" t="str">
        <f aca="false">IF($I21&gt;0%,IF(AND(JW$16&gt;=$F21,JW$16&lt;$F21+($G21*$I21)),"➤",""),"")</f>
        <v/>
      </c>
      <c r="JX21" s="76" t="str">
        <f aca="false">IF($I21&gt;0%,IF(AND(JX$16&gt;=$F21,JX$16&lt;$F21+($G21*$I21)),"➤",""),"")</f>
        <v/>
      </c>
      <c r="JY21" s="76" t="str">
        <f aca="false">IF($I21&gt;0%,IF(AND(JY$16&gt;=$F21,JY$16&lt;$F21+($G21*$I21)),"➤",""),"")</f>
        <v/>
      </c>
      <c r="JZ21" s="76" t="str">
        <f aca="false">IF($I21&gt;0%,IF(AND(JZ$16&gt;=$F21,JZ$16&lt;$F21+($G21*$I21)),"➤",""),"")</f>
        <v/>
      </c>
      <c r="KA21" s="76" t="str">
        <f aca="false">IF($I21&gt;0%,IF(AND(KA$16&gt;=$F21,KA$16&lt;$F21+($G21*$I21)),"➤",""),"")</f>
        <v/>
      </c>
      <c r="KB21" s="76" t="str">
        <f aca="false">IF($I21&gt;0%,IF(AND(KB$16&gt;=$F21,KB$16&lt;$F21+($G21*$I21)),"➤",""),"")</f>
        <v/>
      </c>
      <c r="KC21" s="76" t="str">
        <f aca="false">IF($I21&gt;0%,IF(AND(KC$16&gt;=$F21,KC$16&lt;$F21+($G21*$I21)),"➤",""),"")</f>
        <v/>
      </c>
      <c r="KD21" s="76" t="str">
        <f aca="false">IF($I21&gt;0%,IF(AND(KD$16&gt;=$F21,KD$16&lt;$F21+($G21*$I21)),"➤",""),"")</f>
        <v/>
      </c>
      <c r="KE21" s="76" t="str">
        <f aca="false">IF($I21&gt;0%,IF(AND(KE$16&gt;=$F21,KE$16&lt;$F21+($G21*$I21)),"➤",""),"")</f>
        <v/>
      </c>
      <c r="KF21" s="76" t="str">
        <f aca="false">IF($I21&gt;0%,IF(AND(KF$16&gt;=$F21,KF$16&lt;$F21+($G21*$I21)),"➤",""),"")</f>
        <v/>
      </c>
      <c r="KG21" s="76" t="str">
        <f aca="false">IF($I21&gt;0%,IF(AND(KG$16&gt;=$F21,KG$16&lt;$F21+($G21*$I21)),"➤",""),"")</f>
        <v/>
      </c>
      <c r="KH21" s="76" t="str">
        <f aca="false">IF($I21&gt;0%,IF(AND(KH$16&gt;=$F21,KH$16&lt;$F21+($G21*$I21)),"➤",""),"")</f>
        <v/>
      </c>
      <c r="KI21" s="76" t="str">
        <f aca="false">IF($I21&gt;0%,IF(AND(KI$16&gt;=$F21,KI$16&lt;$F21+($G21*$I21)),"➤",""),"")</f>
        <v/>
      </c>
      <c r="KJ21" s="76" t="str">
        <f aca="false">IF($I21&gt;0%,IF(AND(KJ$16&gt;=$F21,KJ$16&lt;$F21+($G21*$I21)),"➤",""),"")</f>
        <v/>
      </c>
      <c r="KK21" s="76" t="str">
        <f aca="false">IF($I21&gt;0%,IF(AND(KK$16&gt;=$F21,KK$16&lt;$F21+($G21*$I21)),"➤",""),"")</f>
        <v/>
      </c>
      <c r="KL21" s="76" t="str">
        <f aca="false">IF($I21&gt;0%,IF(AND(KL$16&gt;=$F21,KL$16&lt;$F21+($G21*$I21)),"➤",""),"")</f>
        <v/>
      </c>
      <c r="KM21" s="76" t="str">
        <f aca="false">IF($I21&gt;0%,IF(AND(KM$16&gt;=$F21,KM$16&lt;$F21+($G21*$I21)),"➤",""),"")</f>
        <v/>
      </c>
      <c r="KN21" s="76" t="str">
        <f aca="false">IF($I21&gt;0%,IF(AND(KN$16&gt;=$F21,KN$16&lt;$F21+($G21*$I21)),"➤",""),"")</f>
        <v/>
      </c>
      <c r="KO21" s="76" t="str">
        <f aca="false">IF($I21&gt;0%,IF(AND(KO$16&gt;=$F21,KO$16&lt;$F21+($G21*$I21)),"➤",""),"")</f>
        <v/>
      </c>
      <c r="KP21" s="76" t="str">
        <f aca="false">IF($I21&gt;0%,IF(AND(KP$16&gt;=$F21,KP$16&lt;$F21+($G21*$I21)),"➤",""),"")</f>
        <v/>
      </c>
      <c r="KQ21" s="76" t="str">
        <f aca="false">IF($I21&gt;0%,IF(AND(KQ$16&gt;=$F21,KQ$16&lt;$F21+($G21*$I21)),"➤",""),"")</f>
        <v/>
      </c>
      <c r="KR21" s="76" t="str">
        <f aca="false">IF($I21&gt;0%,IF(AND(KR$16&gt;=$F21,KR$16&lt;$F21+($G21*$I21)),"➤",""),"")</f>
        <v/>
      </c>
      <c r="KS21" s="76" t="str">
        <f aca="false">IF($I21&gt;0%,IF(AND(KS$16&gt;=$F21,KS$16&lt;$F21+($G21*$I21)),"➤",""),"")</f>
        <v/>
      </c>
      <c r="KT21" s="76" t="str">
        <f aca="false">IF($I21&gt;0%,IF(AND(KT$16&gt;=$F21,KT$16&lt;$F21+($G21*$I21)),"➤",""),"")</f>
        <v/>
      </c>
      <c r="KU21" s="76" t="str">
        <f aca="false">IF($I21&gt;0%,IF(AND(KU$16&gt;=$F21,KU$16&lt;$F21+($G21*$I21)),"➤",""),"")</f>
        <v/>
      </c>
      <c r="KV21" s="76" t="str">
        <f aca="false">IF($I21&gt;0%,IF(AND(KV$16&gt;=$F21,KV$16&lt;$F21+($G21*$I21)),"➤",""),"")</f>
        <v/>
      </c>
      <c r="KW21" s="76" t="str">
        <f aca="false">IF($I21&gt;0%,IF(AND(KW$16&gt;=$F21,KW$16&lt;$F21+($G21*$I21)),"➤",""),"")</f>
        <v/>
      </c>
      <c r="KX21" s="76" t="str">
        <f aca="false">IF($I21&gt;0%,IF(AND(KX$16&gt;=$F21,KX$16&lt;$F21+($G21*$I21)),"➤",""),"")</f>
        <v/>
      </c>
      <c r="KY21" s="76" t="str">
        <f aca="false">IF($I21&gt;0%,IF(AND(KY$16&gt;=$F21,KY$16&lt;$F21+($G21*$I21)),"➤",""),"")</f>
        <v/>
      </c>
      <c r="KZ21" s="76" t="str">
        <f aca="false">IF($I21&gt;0%,IF(AND(KZ$16&gt;=$F21,KZ$16&lt;$F21+($G21*$I21)),"➤",""),"")</f>
        <v/>
      </c>
      <c r="LA21" s="76" t="str">
        <f aca="false">IF($I21&gt;0%,IF(AND(LA$16&gt;=$F21,LA$16&lt;$F21+($G21*$I21)),"➤",""),"")</f>
        <v/>
      </c>
      <c r="LB21" s="76" t="str">
        <f aca="false">IF($I21&gt;0%,IF(AND(LB$16&gt;=$F21,LB$16&lt;$F21+($G21*$I21)),"➤",""),"")</f>
        <v/>
      </c>
      <c r="LC21" s="76" t="str">
        <f aca="false">IF($I21&gt;0%,IF(AND(LC$16&gt;=$F21,LC$16&lt;$F21+($G21*$I21)),"➤",""),"")</f>
        <v/>
      </c>
      <c r="LD21" s="76" t="str">
        <f aca="false">IF($I21&gt;0%,IF(AND(LD$16&gt;=$F21,LD$16&lt;$F21+($G21*$I21)),"➤",""),"")</f>
        <v/>
      </c>
      <c r="LE21" s="76" t="str">
        <f aca="false">IF($I21&gt;0%,IF(AND(LE$16&gt;=$F21,LE$16&lt;$F21+($G21*$I21)),"➤",""),"")</f>
        <v/>
      </c>
      <c r="LF21" s="76" t="str">
        <f aca="false">IF($I21&gt;0%,IF(AND(LF$16&gt;=$F21,LF$16&lt;$F21+($G21*$I21)),"➤",""),"")</f>
        <v/>
      </c>
      <c r="LG21" s="76" t="str">
        <f aca="false">IF($I21&gt;0%,IF(AND(LG$16&gt;=$F21,LG$16&lt;$F21+($G21*$I21)),"➤",""),"")</f>
        <v/>
      </c>
      <c r="LH21" s="76" t="str">
        <f aca="false">IF($I21&gt;0%,IF(AND(LH$16&gt;=$F21,LH$16&lt;$F21+($G21*$I21)),"➤",""),"")</f>
        <v/>
      </c>
      <c r="LI21" s="76" t="str">
        <f aca="false">IF($I21&gt;0%,IF(AND(LI$16&gt;=$F21,LI$16&lt;$F21+($G21*$I21)),"➤",""),"")</f>
        <v/>
      </c>
      <c r="LJ21" s="76" t="str">
        <f aca="false">IF($I21&gt;0%,IF(AND(LJ$16&gt;=$F21,LJ$16&lt;$F21+($G21*$I21)),"➤",""),"")</f>
        <v/>
      </c>
      <c r="LK21" s="76" t="str">
        <f aca="false">IF($I21&gt;0%,IF(AND(LK$16&gt;=$F21,LK$16&lt;$F21+($G21*$I21)),"➤",""),"")</f>
        <v/>
      </c>
      <c r="LL21" s="76" t="str">
        <f aca="false">IF($I21&gt;0%,IF(AND(LL$16&gt;=$F21,LL$16&lt;$F21+($G21*$I21)),"➤",""),"")</f>
        <v/>
      </c>
      <c r="LM21" s="76" t="str">
        <f aca="false">IF($I21&gt;0%,IF(AND(LM$16&gt;=$F21,LM$16&lt;$F21+($G21*$I21)),"➤",""),"")</f>
        <v/>
      </c>
      <c r="LN21" s="76" t="str">
        <f aca="false">IF($I21&gt;0%,IF(AND(LN$16&gt;=$F21,LN$16&lt;$F21+($G21*$I21)),"➤",""),"")</f>
        <v/>
      </c>
      <c r="LO21" s="76" t="str">
        <f aca="false">IF($I21&gt;0%,IF(AND(LO$16&gt;=$F21,LO$16&lt;$F21+($G21*$I21)),"➤",""),"")</f>
        <v/>
      </c>
      <c r="LP21" s="76" t="str">
        <f aca="false">IF($I21&gt;0%,IF(AND(LP$16&gt;=$F21,LP$16&lt;$F21+($G21*$I21)),"➤",""),"")</f>
        <v/>
      </c>
      <c r="LQ21" s="76" t="str">
        <f aca="false">IF($I21&gt;0%,IF(AND(LQ$16&gt;=$F21,LQ$16&lt;$F21+($G21*$I21)),"➤",""),"")</f>
        <v/>
      </c>
      <c r="LR21" s="76" t="str">
        <f aca="false">IF($I21&gt;0%,IF(AND(LR$16&gt;=$F21,LR$16&lt;$F21+($G21*$I21)),"➤",""),"")</f>
        <v/>
      </c>
      <c r="LS21" s="76" t="str">
        <f aca="false">IF($I21&gt;0%,IF(AND(LS$16&gt;=$F21,LS$16&lt;$F21+($G21*$I21)),"➤",""),"")</f>
        <v/>
      </c>
      <c r="LT21" s="76" t="str">
        <f aca="false">IF($I21&gt;0%,IF(AND(LT$16&gt;=$F21,LT$16&lt;$F21+($G21*$I21)),"➤",""),"")</f>
        <v/>
      </c>
      <c r="LU21" s="76" t="str">
        <f aca="false">IF($I21&gt;0%,IF(AND(LU$16&gt;=$F21,LU$16&lt;$F21+($G21*$I21)),"➤",""),"")</f>
        <v/>
      </c>
      <c r="LV21" s="76" t="str">
        <f aca="false">IF($I21&gt;0%,IF(AND(LV$16&gt;=$F21,LV$16&lt;$F21+($G21*$I21)),"➤",""),"")</f>
        <v/>
      </c>
      <c r="LW21" s="76" t="str">
        <f aca="false">IF($I21&gt;0%,IF(AND(LW$16&gt;=$F21,LW$16&lt;$F21+($G21*$I21)),"➤",""),"")</f>
        <v/>
      </c>
      <c r="LX21" s="76" t="str">
        <f aca="false">IF($I21&gt;0%,IF(AND(LX$16&gt;=$F21,LX$16&lt;$F21+($G21*$I21)),"➤",""),"")</f>
        <v/>
      </c>
      <c r="LY21" s="76" t="str">
        <f aca="false">IF($I21&gt;0%,IF(AND(LY$16&gt;=$F21,LY$16&lt;$F21+($G21*$I21)),"➤",""),"")</f>
        <v/>
      </c>
      <c r="LZ21" s="76" t="str">
        <f aca="false">IF($I21&gt;0%,IF(AND(LZ$16&gt;=$F21,LZ$16&lt;$F21+($G21*$I21)),"➤",""),"")</f>
        <v/>
      </c>
      <c r="MA21" s="76" t="str">
        <f aca="false">IF($I21&gt;0%,IF(AND(MA$16&gt;=$F21,MA$16&lt;$F21+($G21*$I21)),"➤",""),"")</f>
        <v/>
      </c>
      <c r="MB21" s="76" t="str">
        <f aca="false">IF($I21&gt;0%,IF(AND(MB$16&gt;=$F21,MB$16&lt;$F21+($G21*$I21)),"➤",""),"")</f>
        <v/>
      </c>
      <c r="MC21" s="76" t="str">
        <f aca="false">IF($I21&gt;0%,IF(AND(MC$16&gt;=$F21,MC$16&lt;$F21+($G21*$I21)),"➤",""),"")</f>
        <v/>
      </c>
      <c r="MD21" s="76" t="str">
        <f aca="false">IF($I21&gt;0%,IF(AND(MD$16&gt;=$F21,MD$16&lt;$F21+($G21*$I21)),"➤",""),"")</f>
        <v/>
      </c>
      <c r="ME21" s="76" t="str">
        <f aca="false">IF($I21&gt;0%,IF(AND(ME$16&gt;=$F21,ME$16&lt;$F21+($G21*$I21)),"➤",""),"")</f>
        <v/>
      </c>
      <c r="MF21" s="76" t="str">
        <f aca="false">IF($I21&gt;0%,IF(AND(MF$16&gt;=$F21,MF$16&lt;$F21+($G21*$I21)),"➤",""),"")</f>
        <v/>
      </c>
      <c r="MG21" s="76" t="str">
        <f aca="false">IF($I21&gt;0%,IF(AND(MG$16&gt;=$F21,MG$16&lt;$F21+($G21*$I21)),"➤",""),"")</f>
        <v/>
      </c>
      <c r="MH21" s="76" t="str">
        <f aca="false">IF($I21&gt;0%,IF(AND(MH$16&gt;=$F21,MH$16&lt;$F21+($G21*$I21)),"➤",""),"")</f>
        <v/>
      </c>
      <c r="MI21" s="76" t="str">
        <f aca="false">IF($I21&gt;0%,IF(AND(MI$16&gt;=$F21,MI$16&lt;$F21+($G21*$I21)),"➤",""),"")</f>
        <v/>
      </c>
      <c r="MJ21" s="76" t="str">
        <f aca="false">IF($I21&gt;0%,IF(AND(MJ$16&gt;=$F21,MJ$16&lt;$F21+($G21*$I21)),"➤",""),"")</f>
        <v/>
      </c>
      <c r="MK21" s="76" t="str">
        <f aca="false">IF($I21&gt;0%,IF(AND(MK$16&gt;=$F21,MK$16&lt;$F21+($G21*$I21)),"➤",""),"")</f>
        <v/>
      </c>
      <c r="ML21" s="76" t="str">
        <f aca="false">IF($I21&gt;0%,IF(AND(ML$16&gt;=$F21,ML$16&lt;$F21+($G21*$I21)),"➤",""),"")</f>
        <v/>
      </c>
      <c r="MM21" s="76" t="str">
        <f aca="false">IF($I21&gt;0%,IF(AND(MM$16&gt;=$F21,MM$16&lt;$F21+($G21*$I21)),"➤",""),"")</f>
        <v/>
      </c>
      <c r="MN21" s="76" t="str">
        <f aca="false">IF($I21&gt;0%,IF(AND(MN$16&gt;=$F21,MN$16&lt;$F21+($G21*$I21)),"➤",""),"")</f>
        <v/>
      </c>
      <c r="MO21" s="76" t="str">
        <f aca="false">IF($I21&gt;0%,IF(AND(MO$16&gt;=$F21,MO$16&lt;$F21+($G21*$I21)),"➤",""),"")</f>
        <v/>
      </c>
      <c r="MP21" s="76" t="str">
        <f aca="false">IF($I21&gt;0%,IF(AND(MP$16&gt;=$F21,MP$16&lt;$F21+($G21*$I21)),"➤",""),"")</f>
        <v/>
      </c>
      <c r="MQ21" s="76" t="str">
        <f aca="false">IF($I21&gt;0%,IF(AND(MQ$16&gt;=$F21,MQ$16&lt;$F21+($G21*$I21)),"➤",""),"")</f>
        <v/>
      </c>
      <c r="MR21" s="76" t="str">
        <f aca="false">IF($I21&gt;0%,IF(AND(MR$16&gt;=$F21,MR$16&lt;$F21+($G21*$I21)),"➤",""),"")</f>
        <v/>
      </c>
      <c r="MS21" s="76" t="str">
        <f aca="false">IF($I21&gt;0%,IF(AND(MS$16&gt;=$F21,MS$16&lt;$F21+($G21*$I21)),"➤",""),"")</f>
        <v/>
      </c>
      <c r="MT21" s="76" t="str">
        <f aca="false">IF($I21&gt;0%,IF(AND(MT$16&gt;=$F21,MT$16&lt;$F21+($G21*$I21)),"➤",""),"")</f>
        <v/>
      </c>
      <c r="MU21" s="76" t="str">
        <f aca="false">IF($I21&gt;0%,IF(AND(MU$16&gt;=$F21,MU$16&lt;$F21+($G21*$I21)),"➤",""),"")</f>
        <v/>
      </c>
      <c r="MV21" s="76" t="str">
        <f aca="false">IF($I21&gt;0%,IF(AND(MV$16&gt;=$F21,MV$16&lt;$F21+($G21*$I21)),"➤",""),"")</f>
        <v/>
      </c>
      <c r="MW21" s="76" t="str">
        <f aca="false">IF($I21&gt;0%,IF(AND(MW$16&gt;=$F21,MW$16&lt;$F21+($G21*$I21)),"➤",""),"")</f>
        <v/>
      </c>
      <c r="MX21" s="76" t="str">
        <f aca="false">IF($I21&gt;0%,IF(AND(MX$16&gt;=$F21,MX$16&lt;$F21+($G21*$I21)),"➤",""),"")</f>
        <v/>
      </c>
      <c r="MY21" s="76" t="str">
        <f aca="false">IF($I21&gt;0%,IF(AND(MY$16&gt;=$F21,MY$16&lt;$F21+($G21*$I21)),"➤",""),"")</f>
        <v/>
      </c>
      <c r="MZ21" s="76" t="str">
        <f aca="false">IF($I21&gt;0%,IF(AND(MZ$16&gt;=$F21,MZ$16&lt;$F21+($G21*$I21)),"➤",""),"")</f>
        <v/>
      </c>
      <c r="NA21" s="76" t="str">
        <f aca="false">IF($I21&gt;0%,IF(AND(NA$16&gt;=$F21,NA$16&lt;$F21+($G21*$I21)),"➤",""),"")</f>
        <v/>
      </c>
      <c r="NB21" s="76" t="str">
        <f aca="false">IF($I21&gt;0%,IF(AND(NB$16&gt;=$F21,NB$16&lt;$F21+($G21*$I21)),"➤",""),"")</f>
        <v/>
      </c>
      <c r="NC21" s="76" t="str">
        <f aca="false">IF($I21&gt;0%,IF(AND(NC$16&gt;=$F21,NC$16&lt;$F21+($G21*$I21)),"➤",""),"")</f>
        <v/>
      </c>
      <c r="ND21" s="76" t="str">
        <f aca="false">IF($I21&gt;0%,IF(AND(ND$16&gt;=$F21,ND$16&lt;$F21+($G21*$I21)),"➤",""),"")</f>
        <v/>
      </c>
      <c r="NE21" s="76" t="str">
        <f aca="false">IF($I21&gt;0%,IF(AND(NE$16&gt;=$F21,NE$16&lt;$F21+($G21*$I21)),"➤",""),"")</f>
        <v/>
      </c>
      <c r="NF21" s="76" t="str">
        <f aca="false">IF($I21&gt;0%,IF(AND(NF$16&gt;=$F21,NF$16&lt;$F21+($G21*$I21)),"➤",""),"")</f>
        <v/>
      </c>
      <c r="NG21" s="76" t="str">
        <f aca="false">IF($I21&gt;0%,IF(AND(NG$16&gt;=$F21,NG$16&lt;$F21+($G21*$I21)),"➤",""),"")</f>
        <v/>
      </c>
      <c r="NH21" s="76" t="str">
        <f aca="false">IF($I21&gt;0%,IF(AND(NH$16&gt;=$F21,NH$16&lt;$F21+($G21*$I21)),"➤",""),"")</f>
        <v/>
      </c>
      <c r="NI21" s="76" t="str">
        <f aca="false">IF($I21&gt;0%,IF(AND(NI$16&gt;=$F21,NI$16&lt;$F21+($G21*$I21)),"➤",""),"")</f>
        <v/>
      </c>
      <c r="NJ21" s="76" t="str">
        <f aca="false">IF($I21&gt;0%,IF(AND(NJ$16&gt;=$F21,NJ$16&lt;$F21+($G21*$I21)),"➤",""),"")</f>
        <v/>
      </c>
      <c r="NK21" s="76" t="str">
        <f aca="false">IF($I21&gt;0%,IF(AND(NK$16&gt;=$F21,NK$16&lt;$F21+($G21*$I21)),"➤",""),"")</f>
        <v/>
      </c>
      <c r="NL21" s="76" t="str">
        <f aca="false">IF($I21&gt;0%,IF(AND(NL$16&gt;=$F21,NL$16&lt;$F21+($G21*$I21)),"➤",""),"")</f>
        <v/>
      </c>
      <c r="NM21" s="76" t="str">
        <f aca="false">IF($I21&gt;0%,IF(AND(NM$16&gt;=$F21,NM$16&lt;$F21+($G21*$I21)),"➤",""),"")</f>
        <v/>
      </c>
      <c r="NN21" s="76" t="str">
        <f aca="false">IF($I21&gt;0%,IF(AND(NN$16&gt;=$F21,NN$16&lt;$F21+($G21*$I21)),"➤",""),"")</f>
        <v/>
      </c>
      <c r="NO21" s="76" t="str">
        <f aca="false">IF($I21&gt;0%,IF(AND(NO$16&gt;=$F21,NO$16&lt;$F21+($G21*$I21)),"➤",""),"")</f>
        <v/>
      </c>
      <c r="NP21" s="76" t="str">
        <f aca="false">IF($I21&gt;0%,IF(AND(NP$16&gt;=$F21,NP$16&lt;$F21+($G21*$I21)),"➤",""),"")</f>
        <v/>
      </c>
      <c r="NQ21" s="76" t="str">
        <f aca="false">IF($I21&gt;0%,IF(AND(NQ$16&gt;=$F21,NQ$16&lt;$F21+($G21*$I21)),"➤",""),"")</f>
        <v/>
      </c>
      <c r="NR21" s="76" t="str">
        <f aca="false">IF($I21&gt;0%,IF(AND(NR$16&gt;=$F21,NR$16&lt;$F21+($G21*$I21)),"➤",""),"")</f>
        <v/>
      </c>
      <c r="NS21" s="76" t="str">
        <f aca="false">IF($I21&gt;0%,IF(AND(NS$16&gt;=$F21,NS$16&lt;$F21+($G21*$I21)),"➤",""),"")</f>
        <v/>
      </c>
      <c r="NT21" s="76" t="str">
        <f aca="false">IF($I21&gt;0%,IF(AND(NT$16&gt;=$F21,NT$16&lt;$F21+($G21*$I21)),"➤",""),"")</f>
        <v/>
      </c>
      <c r="NU21" s="76" t="str">
        <f aca="false">IF($I21&gt;0%,IF(AND(NU$16&gt;=$F21,NU$16&lt;$F21+($G21*$I21)),"➤",""),"")</f>
        <v/>
      </c>
      <c r="NV21" s="76" t="str">
        <f aca="false">IF($I21&gt;0%,IF(AND(NV$16&gt;=$F21,NV$16&lt;$F21+($G21*$I21)),"➤",""),"")</f>
        <v/>
      </c>
      <c r="NW21" s="76" t="str">
        <f aca="false">IF($I21&gt;0%,IF(AND(NW$16&gt;=$F21,NW$16&lt;$F21+($G21*$I21)),"➤",""),"")</f>
        <v/>
      </c>
      <c r="NX21" s="76" t="str">
        <f aca="false">IF($I21&gt;0%,IF(AND(NX$16&gt;=$F21,NX$16&lt;$F21+($G21*$I21)),"➤",""),"")</f>
        <v/>
      </c>
      <c r="NY21" s="76" t="str">
        <f aca="false">IF($I21&gt;0%,IF(AND(NY$16&gt;=$F21,NY$16&lt;$F21+($G21*$I21)),"➤",""),"")</f>
        <v/>
      </c>
      <c r="NZ21" s="76" t="str">
        <f aca="false">IF($I21&gt;0%,IF(AND(NZ$16&gt;=$F21,NZ$16&lt;$F21+($G21*$I21)),"➤",""),"")</f>
        <v/>
      </c>
      <c r="OA21" s="76" t="str">
        <f aca="false">IF($I21&gt;0%,IF(AND(OA$16&gt;=$F21,OA$16&lt;$F21+($G21*$I21)),"➤",""),"")</f>
        <v/>
      </c>
      <c r="OB21" s="76" t="str">
        <f aca="false">IF($I21&gt;0%,IF(AND(OB$16&gt;=$F21,OB$16&lt;$F21+($G21*$I21)),"➤",""),"")</f>
        <v/>
      </c>
      <c r="OC21" s="76" t="str">
        <f aca="false">IF($I21&gt;0%,IF(AND(OC$16&gt;=$F21,OC$16&lt;$F21+($G21*$I21)),"➤",""),"")</f>
        <v/>
      </c>
      <c r="OD21" s="76" t="str">
        <f aca="false">IF($I21&gt;0%,IF(AND(OD$16&gt;=$F21,OD$16&lt;$F21+($G21*$I21)),"➤",""),"")</f>
        <v/>
      </c>
      <c r="OE21" s="76" t="str">
        <f aca="false">IF($I21&gt;0%,IF(AND(OE$16&gt;=$F21,OE$16&lt;$F21+($G21*$I21)),"➤",""),"")</f>
        <v/>
      </c>
      <c r="OF21" s="76" t="str">
        <f aca="false">IF($I21&gt;0%,IF(AND(OF$16&gt;=$F21,OF$16&lt;$F21+($G21*$I21)),"➤",""),"")</f>
        <v/>
      </c>
      <c r="OG21" s="76" t="str">
        <f aca="false">IF($I21&gt;0%,IF(AND(OG$16&gt;=$F21,OG$16&lt;$F21+($G21*$I21)),"➤",""),"")</f>
        <v/>
      </c>
      <c r="OH21" s="76" t="str">
        <f aca="false">IF($I21&gt;0%,IF(AND(OH$16&gt;=$F21,OH$16&lt;$F21+($G21*$I21)),"➤",""),"")</f>
        <v/>
      </c>
      <c r="OI21" s="76" t="str">
        <f aca="false">IF($I21&gt;0%,IF(AND(OI$16&gt;=$F21,OI$16&lt;$F21+($G21*$I21)),"➤",""),"")</f>
        <v/>
      </c>
      <c r="OJ21" s="76" t="str">
        <f aca="false">IF($I21&gt;0%,IF(AND(OJ$16&gt;=$F21,OJ$16&lt;$F21+($G21*$I21)),"➤",""),"")</f>
        <v/>
      </c>
      <c r="OK21" s="76" t="str">
        <f aca="false">IF($I21&gt;0%,IF(AND(OK$16&gt;=$F21,OK$16&lt;$F21+($G21*$I21)),"➤",""),"")</f>
        <v/>
      </c>
      <c r="OL21" s="76" t="str">
        <f aca="false">IF($I21&gt;0%,IF(AND(OL$16&gt;=$F21,OL$16&lt;$F21+($G21*$I21)),"➤",""),"")</f>
        <v/>
      </c>
      <c r="OM21" s="76" t="str">
        <f aca="false">IF($I21&gt;0%,IF(AND(OM$16&gt;=$F21,OM$16&lt;$F21+($G21*$I21)),"➤",""),"")</f>
        <v/>
      </c>
      <c r="ON21" s="76" t="str">
        <f aca="false">IF($I21&gt;0%,IF(AND(ON$16&gt;=$F21,ON$16&lt;$F21+($G21*$I21)),"➤",""),"")</f>
        <v/>
      </c>
      <c r="OO21" s="76" t="str">
        <f aca="false">IF($I21&gt;0%,IF(AND(OO$16&gt;=$F21,OO$16&lt;$F21+($G21*$I21)),"➤",""),"")</f>
        <v/>
      </c>
      <c r="OP21" s="76" t="str">
        <f aca="false">IF($I21&gt;0%,IF(AND(OP$16&gt;=$F21,OP$16&lt;$F21+($G21*$I21)),"➤",""),"")</f>
        <v/>
      </c>
      <c r="OQ21" s="76" t="str">
        <f aca="false">IF($I21&gt;0%,IF(AND(OQ$16&gt;=$F21,OQ$16&lt;$F21+($G21*$I21)),"➤",""),"")</f>
        <v/>
      </c>
      <c r="OR21" s="76" t="str">
        <f aca="false">IF($I21&gt;0%,IF(AND(OR$16&gt;=$F21,OR$16&lt;$F21+($G21*$I21)),"➤",""),"")</f>
        <v/>
      </c>
      <c r="OS21" s="76" t="str">
        <f aca="false">IF($I21&gt;0%,IF(AND(OS$16&gt;=$F21,OS$16&lt;$F21+($G21*$I21)),"➤",""),"")</f>
        <v/>
      </c>
      <c r="OT21" s="76" t="str">
        <f aca="false">IF($I21&gt;0%,IF(AND(OT$16&gt;=$F21,OT$16&lt;$F21+($G21*$I21)),"➤",""),"")</f>
        <v/>
      </c>
      <c r="OU21" s="76" t="str">
        <f aca="false">IF($I21&gt;0%,IF(AND(OU$16&gt;=$F21,OU$16&lt;$F21+($G21*$I21)),"➤",""),"")</f>
        <v/>
      </c>
      <c r="OV21" s="76" t="str">
        <f aca="false">IF($I21&gt;0%,IF(AND(OV$16&gt;=$F21,OV$16&lt;$F21+($G21*$I21)),"➤",""),"")</f>
        <v/>
      </c>
      <c r="OW21" s="76" t="str">
        <f aca="false">IF($I21&gt;0%,IF(AND(OW$16&gt;=$F21,OW$16&lt;$F21+($G21*$I21)),"➤",""),"")</f>
        <v/>
      </c>
      <c r="OX21" s="76" t="str">
        <f aca="false">IF($I21&gt;0%,IF(AND(OX$16&gt;=$F21,OX$16&lt;$F21+($G21*$I21)),"➤",""),"")</f>
        <v/>
      </c>
      <c r="OY21" s="76" t="str">
        <f aca="false">IF($I21&gt;0%,IF(AND(OY$16&gt;=$F21,OY$16&lt;$F21+($G21*$I21)),"➤",""),"")</f>
        <v/>
      </c>
      <c r="OZ21" s="76" t="str">
        <f aca="false">IF($I21&gt;0%,IF(AND(OZ$16&gt;=$F21,OZ$16&lt;$F21+($G21*$I21)),"➤",""),"")</f>
        <v/>
      </c>
      <c r="PA21" s="76" t="str">
        <f aca="false">IF($I21&gt;0%,IF(AND(PA$16&gt;=$F21,PA$16&lt;$F21+($G21*$I21)),"➤",""),"")</f>
        <v/>
      </c>
      <c r="PB21" s="76" t="str">
        <f aca="false">IF($I21&gt;0%,IF(AND(PB$16&gt;=$F21,PB$16&lt;$F21+($G21*$I21)),"➤",""),"")</f>
        <v/>
      </c>
      <c r="PC21" s="76" t="str">
        <f aca="false">IF($I21&gt;0%,IF(AND(PC$16&gt;=$F21,PC$16&lt;$F21+($G21*$I21)),"➤",""),"")</f>
        <v/>
      </c>
      <c r="PD21" s="76" t="str">
        <f aca="false">IF($I21&gt;0%,IF(AND(PD$16&gt;=$F21,PD$16&lt;$F21+($G21*$I21)),"➤",""),"")</f>
        <v/>
      </c>
      <c r="PE21" s="76" t="str">
        <f aca="false">IF($I21&gt;0%,IF(AND(PE$16&gt;=$F21,PE$16&lt;$F21+($G21*$I21)),"➤",""),"")</f>
        <v/>
      </c>
      <c r="PF21" s="76" t="str">
        <f aca="false">IF($I21&gt;0%,IF(AND(PF$16&gt;=$F21,PF$16&lt;$F21+($G21*$I21)),"➤",""),"")</f>
        <v/>
      </c>
      <c r="PG21" s="76" t="str">
        <f aca="false">IF($I21&gt;0%,IF(AND(PG$16&gt;=$F21,PG$16&lt;$F21+($G21*$I21)),"➤",""),"")</f>
        <v/>
      </c>
      <c r="PH21" s="76" t="str">
        <f aca="false">IF($I21&gt;0%,IF(AND(PH$16&gt;=$F21,PH$16&lt;$F21+($G21*$I21)),"➤",""),"")</f>
        <v/>
      </c>
      <c r="PI21" s="76" t="str">
        <f aca="false">IF($I21&gt;0%,IF(AND(PI$16&gt;=$F21,PI$16&lt;$F21+($G21*$I21)),"➤",""),"")</f>
        <v/>
      </c>
      <c r="PJ21" s="76" t="str">
        <f aca="false">IF($I21&gt;0%,IF(AND(PJ$16&gt;=$F21,PJ$16&lt;$F21+($G21*$I21)),"➤",""),"")</f>
        <v/>
      </c>
      <c r="PK21" s="76" t="str">
        <f aca="false">IF($I21&gt;0%,IF(AND(PK$16&gt;=$F21,PK$16&lt;$F21+($G21*$I21)),"➤",""),"")</f>
        <v/>
      </c>
      <c r="PL21" s="76" t="str">
        <f aca="false">IF($I21&gt;0%,IF(AND(PL$16&gt;=$F21,PL$16&lt;$F21+($G21*$I21)),"➤",""),"")</f>
        <v/>
      </c>
      <c r="PM21" s="76" t="str">
        <f aca="false">IF($I21&gt;0%,IF(AND(PM$16&gt;=$F21,PM$16&lt;$F21+($G21*$I21)),"➤",""),"")</f>
        <v/>
      </c>
      <c r="PN21" s="76" t="str">
        <f aca="false">IF($I21&gt;0%,IF(AND(PN$16&gt;=$F21,PN$16&lt;$F21+($G21*$I21)),"➤",""),"")</f>
        <v/>
      </c>
      <c r="PO21" s="76" t="str">
        <f aca="false">IF($I21&gt;0%,IF(AND(PO$16&gt;=$F21,PO$16&lt;$F21+($G21*$I21)),"➤",""),"")</f>
        <v/>
      </c>
      <c r="PP21" s="76" t="str">
        <f aca="false">IF($I21&gt;0%,IF(AND(PP$16&gt;=$F21,PP$16&lt;$F21+($G21*$I21)),"➤",""),"")</f>
        <v/>
      </c>
      <c r="PQ21" s="76" t="str">
        <f aca="false">IF($I21&gt;0%,IF(AND(PQ$16&gt;=$F21,PQ$16&lt;$F21+($G21*$I21)),"➤",""),"")</f>
        <v/>
      </c>
      <c r="PR21" s="76" t="str">
        <f aca="false">IF($I21&gt;0%,IF(AND(PR$16&gt;=$F21,PR$16&lt;$F21+($G21*$I21)),"➤",""),"")</f>
        <v/>
      </c>
      <c r="PS21" s="76" t="str">
        <f aca="false">IF($I21&gt;0%,IF(AND(PS$16&gt;=$F21,PS$16&lt;$F21+($G21*$I21)),"➤",""),"")</f>
        <v/>
      </c>
      <c r="PT21" s="76" t="str">
        <f aca="false">IF($I21&gt;0%,IF(AND(PT$16&gt;=$F21,PT$16&lt;$F21+($G21*$I21)),"➤",""),"")</f>
        <v/>
      </c>
      <c r="PU21" s="76" t="str">
        <f aca="false">IF($I21&gt;0%,IF(AND(PU$16&gt;=$F21,PU$16&lt;$F21+($G21*$I21)),"➤",""),"")</f>
        <v/>
      </c>
      <c r="PV21" s="76" t="str">
        <f aca="false">IF($I21&gt;0%,IF(AND(PV$16&gt;=$F21,PV$16&lt;$F21+($G21*$I21)),"➤",""),"")</f>
        <v/>
      </c>
      <c r="PW21" s="76" t="str">
        <f aca="false">IF($I21&gt;0%,IF(AND(PW$16&gt;=$F21,PW$16&lt;$F21+($G21*$I21)),"➤",""),"")</f>
        <v/>
      </c>
      <c r="PX21" s="76" t="str">
        <f aca="false">IF($I21&gt;0%,IF(AND(PX$16&gt;=$F21,PX$16&lt;$F21+($G21*$I21)),"➤",""),"")</f>
        <v/>
      </c>
      <c r="PY21" s="76" t="str">
        <f aca="false">IF($I21&gt;0%,IF(AND(PY$16&gt;=$F21,PY$16&lt;$F21+($G21*$I21)),"➤",""),"")</f>
        <v/>
      </c>
      <c r="PZ21" s="76" t="str">
        <f aca="false">IF($I21&gt;0%,IF(AND(PZ$16&gt;=$F21,PZ$16&lt;$F21+($G21*$I21)),"➤",""),"")</f>
        <v/>
      </c>
      <c r="QA21" s="76" t="str">
        <f aca="false">IF($I21&gt;0%,IF(AND(QA$16&gt;=$F21,QA$16&lt;$F21+($G21*$I21)),"➤",""),"")</f>
        <v/>
      </c>
      <c r="QB21" s="76" t="str">
        <f aca="false">IF($I21&gt;0%,IF(AND(QB$16&gt;=$F21,QB$16&lt;$F21+($G21*$I21)),"➤",""),"")</f>
        <v/>
      </c>
      <c r="QC21" s="76" t="str">
        <f aca="false">IF($I21&gt;0%,IF(AND(QC$16&gt;=$F21,QC$16&lt;$F21+($G21*$I21)),"➤",""),"")</f>
        <v/>
      </c>
      <c r="QD21" s="76" t="str">
        <f aca="false">IF($I21&gt;0%,IF(AND(QD$16&gt;=$F21,QD$16&lt;$F21+($G21*$I21)),"➤",""),"")</f>
        <v/>
      </c>
      <c r="QE21" s="76" t="str">
        <f aca="false">IF($I21&gt;0%,IF(AND(QE$16&gt;=$F21,QE$16&lt;$F21+($G21*$I21)),"➤",""),"")</f>
        <v/>
      </c>
      <c r="QF21" s="76" t="str">
        <f aca="false">IF($I21&gt;0%,IF(AND(QF$16&gt;=$F21,QF$16&lt;$F21+($G21*$I21)),"➤",""),"")</f>
        <v/>
      </c>
      <c r="QG21" s="76" t="str">
        <f aca="false">IF($I21&gt;0%,IF(AND(QG$16&gt;=$F21,QG$16&lt;$F21+($G21*$I21)),"➤",""),"")</f>
        <v/>
      </c>
      <c r="QH21" s="76" t="str">
        <f aca="false">IF($I21&gt;0%,IF(AND(QH$16&gt;=$F21,QH$16&lt;$F21+($G21*$I21)),"➤",""),"")</f>
        <v/>
      </c>
      <c r="QI21" s="76" t="str">
        <f aca="false">IF($I21&gt;0%,IF(AND(QI$16&gt;=$F21,QI$16&lt;$F21+($G21*$I21)),"➤",""),"")</f>
        <v/>
      </c>
      <c r="QJ21" s="76" t="str">
        <f aca="false">IF($I21&gt;0%,IF(AND(QJ$16&gt;=$F21,QJ$16&lt;$F21+($G21*$I21)),"➤",""),"")</f>
        <v/>
      </c>
      <c r="QK21" s="76" t="str">
        <f aca="false">IF($I21&gt;0%,IF(AND(QK$16&gt;=$F21,QK$16&lt;$F21+($G21*$I21)),"➤",""),"")</f>
        <v/>
      </c>
      <c r="QL21" s="76" t="str">
        <f aca="false">IF($I21&gt;0%,IF(AND(QL$16&gt;=$F21,QL$16&lt;$F21+($G21*$I21)),"➤",""),"")</f>
        <v/>
      </c>
      <c r="QM21" s="76" t="str">
        <f aca="false">IF($I21&gt;0%,IF(AND(QM$16&gt;=$F21,QM$16&lt;$F21+($G21*$I21)),"➤",""),"")</f>
        <v/>
      </c>
      <c r="QN21" s="76" t="str">
        <f aca="false">IF($I21&gt;0%,IF(AND(QN$16&gt;=$F21,QN$16&lt;$F21+($G21*$I21)),"➤",""),"")</f>
        <v/>
      </c>
      <c r="QO21" s="76" t="str">
        <f aca="false">IF($I21&gt;0%,IF(AND(QO$16&gt;=$F21,QO$16&lt;$F21+($G21*$I21)),"➤",""),"")</f>
        <v/>
      </c>
      <c r="QP21" s="76" t="str">
        <f aca="false">IF($I21&gt;0%,IF(AND(QP$16&gt;=$F21,QP$16&lt;$F21+($G21*$I21)),"➤",""),"")</f>
        <v/>
      </c>
      <c r="QQ21" s="76" t="str">
        <f aca="false">IF($I21&gt;0%,IF(AND(QQ$16&gt;=$F21,QQ$16&lt;$F21+($G21*$I21)),"➤",""),"")</f>
        <v/>
      </c>
      <c r="QR21" s="76" t="str">
        <f aca="false">IF($I21&gt;0%,IF(AND(QR$16&gt;=$F21,QR$16&lt;$F21+($G21*$I21)),"➤",""),"")</f>
        <v/>
      </c>
      <c r="QS21" s="76" t="str">
        <f aca="false">IF($I21&gt;0%,IF(AND(QS$16&gt;=$F21,QS$16&lt;$F21+($G21*$I21)),"➤",""),"")</f>
        <v/>
      </c>
      <c r="QT21" s="76" t="str">
        <f aca="false">IF($I21&gt;0%,IF(AND(QT$16&gt;=$F21,QT$16&lt;$F21+($G21*$I21)),"➤",""),"")</f>
        <v/>
      </c>
      <c r="QU21" s="76" t="str">
        <f aca="false">IF($I21&gt;0%,IF(AND(QU$16&gt;=$F21,QU$16&lt;$F21+($G21*$I21)),"➤",""),"")</f>
        <v/>
      </c>
      <c r="QV21" s="76" t="str">
        <f aca="false">IF($I21&gt;0%,IF(AND(QV$16&gt;=$F21,QV$16&lt;$F21+($G21*$I21)),"➤",""),"")</f>
        <v/>
      </c>
      <c r="QW21" s="76" t="str">
        <f aca="false">IF($I21&gt;0%,IF(AND(QW$16&gt;=$F21,QW$16&lt;$F21+($G21*$I21)),"➤",""),"")</f>
        <v/>
      </c>
      <c r="QX21" s="76" t="str">
        <f aca="false">IF($I21&gt;0%,IF(AND(QX$16&gt;=$F21,QX$16&lt;$F21+($G21*$I21)),"➤",""),"")</f>
        <v/>
      </c>
      <c r="QY21" s="76" t="str">
        <f aca="false">IF($I21&gt;0%,IF(AND(QY$16&gt;=$F21,QY$16&lt;$F21+($G21*$I21)),"➤",""),"")</f>
        <v/>
      </c>
      <c r="QZ21" s="76" t="str">
        <f aca="false">IF($I21&gt;0%,IF(AND(QZ$16&gt;=$F21,QZ$16&lt;$F21+($G21*$I21)),"➤",""),"")</f>
        <v/>
      </c>
      <c r="RA21" s="76" t="str">
        <f aca="false">IF($I21&gt;0%,IF(AND(RA$16&gt;=$F21,RA$16&lt;$F21+($G21*$I21)),"➤",""),"")</f>
        <v/>
      </c>
      <c r="RB21" s="76" t="str">
        <f aca="false">IF($I21&gt;0%,IF(AND(RB$16&gt;=$F21,RB$16&lt;$F21+($G21*$I21)),"➤",""),"")</f>
        <v/>
      </c>
      <c r="RC21" s="76" t="str">
        <f aca="false">IF($I21&gt;0%,IF(AND(RC$16&gt;=$F21,RC$16&lt;$F21+($G21*$I21)),"➤",""),"")</f>
        <v/>
      </c>
      <c r="RD21" s="76" t="str">
        <f aca="false">IF($I21&gt;0%,IF(AND(RD$16&gt;=$F21,RD$16&lt;$F21+($G21*$I21)),"➤",""),"")</f>
        <v/>
      </c>
      <c r="RE21" s="76" t="str">
        <f aca="false">IF($I21&gt;0%,IF(AND(RE$16&gt;=$F21,RE$16&lt;$F21+($G21*$I21)),"➤",""),"")</f>
        <v/>
      </c>
      <c r="RF21" s="76" t="str">
        <f aca="false">IF($I21&gt;0%,IF(AND(RF$16&gt;=$F21,RF$16&lt;$F21+($G21*$I21)),"➤",""),"")</f>
        <v/>
      </c>
      <c r="RG21" s="76" t="str">
        <f aca="false">IF($I21&gt;0%,IF(AND(RG$16&gt;=$F21,RG$16&lt;$F21+($G21*$I21)),"➤",""),"")</f>
        <v/>
      </c>
      <c r="RH21" s="76" t="str">
        <f aca="false">IF($I21&gt;0%,IF(AND(RH$16&gt;=$F21,RH$16&lt;$F21+($G21*$I21)),"➤",""),"")</f>
        <v/>
      </c>
      <c r="RI21" s="76" t="str">
        <f aca="false">IF($I21&gt;0%,IF(AND(RI$16&gt;=$F21,RI$16&lt;$F21+($G21*$I21)),"➤",""),"")</f>
        <v/>
      </c>
      <c r="RJ21" s="76" t="str">
        <f aca="false">IF($I21&gt;0%,IF(AND(RJ$16&gt;=$F21,RJ$16&lt;$F21+($G21*$I21)),"➤",""),"")</f>
        <v/>
      </c>
      <c r="RK21" s="76" t="str">
        <f aca="false">IF($I21&gt;0%,IF(AND(RK$16&gt;=$F21,RK$16&lt;$F21+($G21*$I21)),"➤",""),"")</f>
        <v/>
      </c>
      <c r="RL21" s="76" t="str">
        <f aca="false">IF($I21&gt;0%,IF(AND(RL$16&gt;=$F21,RL$16&lt;$F21+($G21*$I21)),"➤",""),"")</f>
        <v/>
      </c>
      <c r="RM21" s="76" t="str">
        <f aca="false">IF($I21&gt;0%,IF(AND(RM$16&gt;=$F21,RM$16&lt;$F21+($G21*$I21)),"➤",""),"")</f>
        <v/>
      </c>
      <c r="RN21" s="76" t="str">
        <f aca="false">IF($I21&gt;0%,IF(AND(RN$16&gt;=$F21,RN$16&lt;$F21+($G21*$I21)),"➤",""),"")</f>
        <v/>
      </c>
      <c r="RO21" s="76" t="str">
        <f aca="false">IF($I21&gt;0%,IF(AND(RO$16&gt;=$F21,RO$16&lt;$F21+($G21*$I21)),"➤",""),"")</f>
        <v/>
      </c>
      <c r="RP21" s="76" t="str">
        <f aca="false">IF($I21&gt;0%,IF(AND(RP$16&gt;=$F21,RP$16&lt;$F21+($G21*$I21)),"➤",""),"")</f>
        <v/>
      </c>
      <c r="RQ21" s="76" t="str">
        <f aca="false">IF($I21&gt;0%,IF(AND(RQ$16&gt;=$F21,RQ$16&lt;$F21+($G21*$I21)),"➤",""),"")</f>
        <v/>
      </c>
      <c r="RR21" s="76" t="str">
        <f aca="false">IF($I21&gt;0%,IF(AND(RR$16&gt;=$F21,RR$16&lt;$F21+($G21*$I21)),"➤",""),"")</f>
        <v/>
      </c>
      <c r="RS21" s="76" t="str">
        <f aca="false">IF($I21&gt;0%,IF(AND(RS$16&gt;=$F21,RS$16&lt;$F21+($G21*$I21)),"➤",""),"")</f>
        <v/>
      </c>
      <c r="RT21" s="76" t="str">
        <f aca="false">IF($I21&gt;0%,IF(AND(RT$16&gt;=$F21,RT$16&lt;$F21+($G21*$I21)),"➤",""),"")</f>
        <v/>
      </c>
      <c r="RU21" s="76" t="str">
        <f aca="false">IF($I21&gt;0%,IF(AND(RU$16&gt;=$F21,RU$16&lt;$F21+($G21*$I21)),"➤",""),"")</f>
        <v/>
      </c>
      <c r="RV21" s="76" t="str">
        <f aca="false">IF($I21&gt;0%,IF(AND(RV$16&gt;=$F21,RV$16&lt;$F21+($G21*$I21)),"➤",""),"")</f>
        <v/>
      </c>
      <c r="RW21" s="76" t="str">
        <f aca="false">IF($I21&gt;0%,IF(AND(RW$16&gt;=$F21,RW$16&lt;$F21+($G21*$I21)),"➤",""),"")</f>
        <v/>
      </c>
      <c r="RX21" s="76" t="str">
        <f aca="false">IF($I21&gt;0%,IF(AND(RX$16&gt;=$F21,RX$16&lt;$F21+($G21*$I21)),"➤",""),"")</f>
        <v/>
      </c>
      <c r="RY21" s="76" t="str">
        <f aca="false">IF($I21&gt;0%,IF(AND(RY$16&gt;=$F21,RY$16&lt;$F21+($G21*$I21)),"➤",""),"")</f>
        <v/>
      </c>
      <c r="RZ21" s="76" t="str">
        <f aca="false">IF($I21&gt;0%,IF(AND(RZ$16&gt;=$F21,RZ$16&lt;$F21+($G21*$I21)),"➤",""),"")</f>
        <v/>
      </c>
      <c r="SA21" s="76" t="str">
        <f aca="false">IF($I21&gt;0%,IF(AND(SA$16&gt;=$F21,SA$16&lt;$F21+($G21*$I21)),"➤",""),"")</f>
        <v/>
      </c>
      <c r="SB21" s="76" t="str">
        <f aca="false">IF($I21&gt;0%,IF(AND(SB$16&gt;=$F21,SB$16&lt;$F21+($G21*$I21)),"➤",""),"")</f>
        <v/>
      </c>
      <c r="SC21" s="76" t="str">
        <f aca="false">IF($I21&gt;0%,IF(AND(SC$16&gt;=$F21,SC$16&lt;$F21+($G21*$I21)),"➤",""),"")</f>
        <v/>
      </c>
      <c r="SD21" s="76" t="str">
        <f aca="false">IF($I21&gt;0%,IF(AND(SD$16&gt;=$F21,SD$16&lt;$F21+($G21*$I21)),"➤",""),"")</f>
        <v/>
      </c>
      <c r="SE21" s="76" t="str">
        <f aca="false">IF($I21&gt;0%,IF(AND(SE$16&gt;=$F21,SE$16&lt;$F21+($G21*$I21)),"➤",""),"")</f>
        <v/>
      </c>
      <c r="SF21" s="76" t="str">
        <f aca="false">IF($I21&gt;0%,IF(AND(SF$16&gt;=$F21,SF$16&lt;$F21+($G21*$I21)),"➤",""),"")</f>
        <v/>
      </c>
      <c r="SG21" s="76" t="str">
        <f aca="false">IF($I21&gt;0%,IF(AND(SG$16&gt;=$F21,SG$16&lt;$F21+($G21*$I21)),"➤",""),"")</f>
        <v/>
      </c>
      <c r="SH21" s="76" t="str">
        <f aca="false">IF($I21&gt;0%,IF(AND(SH$16&gt;=$F21,SH$16&lt;$F21+($G21*$I21)),"➤",""),"")</f>
        <v/>
      </c>
      <c r="SI21" s="76" t="str">
        <f aca="false">IF($I21&gt;0%,IF(AND(SI$16&gt;=$F21,SI$16&lt;$F21+($G21*$I21)),"➤",""),"")</f>
        <v/>
      </c>
      <c r="SJ21" s="76" t="str">
        <f aca="false">IF($I21&gt;0%,IF(AND(SJ$16&gt;=$F21,SJ$16&lt;$F21+($G21*$I21)),"➤",""),"")</f>
        <v/>
      </c>
      <c r="SK21" s="76" t="str">
        <f aca="false">IF($I21&gt;0%,IF(AND(SK$16&gt;=$F21,SK$16&lt;$F21+($G21*$I21)),"➤",""),"")</f>
        <v/>
      </c>
      <c r="SL21" s="76" t="str">
        <f aca="false">IF($I21&gt;0%,IF(AND(SL$16&gt;=$F21,SL$16&lt;$F21+($G21*$I21)),"➤",""),"")</f>
        <v/>
      </c>
      <c r="SM21" s="76" t="str">
        <f aca="false">IF($I21&gt;0%,IF(AND(SM$16&gt;=$F21,SM$16&lt;$F21+($G21*$I21)),"➤",""),"")</f>
        <v/>
      </c>
      <c r="SN21" s="76" t="str">
        <f aca="false">IF($I21&gt;0%,IF(AND(SN$16&gt;=$F21,SN$16&lt;$F21+($G21*$I21)),"➤",""),"")</f>
        <v/>
      </c>
      <c r="SO21" s="76" t="str">
        <f aca="false">IF($I21&gt;0%,IF(AND(SO$16&gt;=$F21,SO$16&lt;$F21+($G21*$I21)),"➤",""),"")</f>
        <v/>
      </c>
      <c r="SP21" s="76" t="str">
        <f aca="false">IF($I21&gt;0%,IF(AND(SP$16&gt;=$F21,SP$16&lt;$F21+($G21*$I21)),"➤",""),"")</f>
        <v/>
      </c>
      <c r="SQ21" s="76" t="str">
        <f aca="false">IF($I21&gt;0%,IF(AND(SQ$16&gt;=$F21,SQ$16&lt;$F21+($G21*$I21)),"➤",""),"")</f>
        <v/>
      </c>
      <c r="SR21" s="76" t="str">
        <f aca="false">IF($I21&gt;0%,IF(AND(SR$16&gt;=$F21,SR$16&lt;$F21+($G21*$I21)),"➤",""),"")</f>
        <v/>
      </c>
      <c r="SS21" s="76" t="str">
        <f aca="false">IF($I21&gt;0%,IF(AND(SS$16&gt;=$F21,SS$16&lt;$F21+($G21*$I21)),"➤",""),"")</f>
        <v/>
      </c>
      <c r="ST21" s="76" t="str">
        <f aca="false">IF($I21&gt;0%,IF(AND(ST$16&gt;=$F21,ST$16&lt;$F21+($G21*$I21)),"➤",""),"")</f>
        <v/>
      </c>
      <c r="SU21" s="76" t="str">
        <f aca="false">IF($I21&gt;0%,IF(AND(SU$16&gt;=$F21,SU$16&lt;$F21+($G21*$I21)),"➤",""),"")</f>
        <v/>
      </c>
      <c r="SV21" s="76" t="str">
        <f aca="false">IF($I21&gt;0%,IF(AND(SV$16&gt;=$F21,SV$16&lt;$F21+($G21*$I21)),"➤",""),"")</f>
        <v/>
      </c>
      <c r="SW21" s="77" t="str">
        <f aca="false">IF($I21&gt;0%,IF(AND(SW$16&gt;=$F21,SW$16&lt;$F21+($G21*$I21)),"➤",""),"")</f>
        <v/>
      </c>
    </row>
    <row r="22" customFormat="false" ht="14.25" hidden="false" customHeight="false" outlineLevel="1" collapsed="false">
      <c r="C22" s="10"/>
      <c r="D22" s="78" t="s">
        <v>20</v>
      </c>
      <c r="E22" s="79" t="s">
        <v>21</v>
      </c>
      <c r="F22" s="80" t="n">
        <v>46137</v>
      </c>
      <c r="G22" s="81" t="n">
        <v>2</v>
      </c>
      <c r="H22" s="82" t="n">
        <f aca="false">(F22+G22)-1</f>
        <v>46138</v>
      </c>
      <c r="I22" s="83" t="n">
        <v>1</v>
      </c>
      <c r="J22" s="84" t="s">
        <v>16</v>
      </c>
      <c r="K22" s="85"/>
      <c r="L22" s="75" t="str">
        <f aca="false">IF($I22&gt;0%,IF(AND(L$16&gt;=$F22,L$16&lt;$F22+($G22*$I22)),"➤",""),"")</f>
        <v/>
      </c>
      <c r="M22" s="76" t="str">
        <f aca="false">IF($I22&gt;0%,IF(AND(M$16&gt;=$F22,M$16&lt;$F22+($G22*$I22)),"➤",""),"")</f>
        <v>➤</v>
      </c>
      <c r="N22" s="76" t="str">
        <f aca="false">IF($I22&gt;0%,IF(AND(N$16&gt;=$F22,N$16&lt;$F22+($G22*$I22)),"➤",""),"")</f>
        <v>➤</v>
      </c>
      <c r="O22" s="76" t="str">
        <f aca="false">IF($I22&gt;0%,IF(AND(O$16&gt;=$F22,O$16&lt;$F22+($G22*$I22)),"➤",""),"")</f>
        <v/>
      </c>
      <c r="P22" s="76" t="str">
        <f aca="false">IF($I22&gt;0%,IF(AND(P$16&gt;=$F22,P$16&lt;$F22+($G22*$I22)),"➤",""),"")</f>
        <v/>
      </c>
      <c r="Q22" s="76" t="str">
        <f aca="false">IF($I22&gt;0%,IF(AND(Q$16&gt;=$F22,Q$16&lt;$F22+($G22*$I22)),"➤",""),"")</f>
        <v/>
      </c>
      <c r="R22" s="76" t="str">
        <f aca="false">IF($I22&gt;0%,IF(AND(R$16&gt;=$F22,R$16&lt;$F22+($G22*$I22)),"➤",""),"")</f>
        <v/>
      </c>
      <c r="S22" s="76" t="str">
        <f aca="false">IF($I22&gt;0%,IF(AND(S$16&gt;=$F22,S$16&lt;$F22+($G22*$I22)),"➤",""),"")</f>
        <v/>
      </c>
      <c r="T22" s="76" t="str">
        <f aca="false">IF($I22&gt;0%,IF(AND(T$16&gt;=$F22,T$16&lt;$F22+($G22*$I22)),"➤",""),"")</f>
        <v/>
      </c>
      <c r="U22" s="76" t="str">
        <f aca="false">IF($I22&gt;0%,IF(AND(U$16&gt;=$F22,U$16&lt;$F22+($G22*$I22)),"➤",""),"")</f>
        <v/>
      </c>
      <c r="V22" s="76" t="str">
        <f aca="false">IF($I22&gt;0%,IF(AND(V$16&gt;=$F22,V$16&lt;$F22+($G22*$I22)),"➤",""),"")</f>
        <v/>
      </c>
      <c r="W22" s="76" t="str">
        <f aca="false">IF($I22&gt;0%,IF(AND(W$16&gt;=$F22,W$16&lt;$F22+($G22*$I22)),"➤",""),"")</f>
        <v/>
      </c>
      <c r="X22" s="76" t="str">
        <f aca="false">IF($I22&gt;0%,IF(AND(X$16&gt;=$F22,X$16&lt;$F22+($G22*$I22)),"➤",""),"")</f>
        <v/>
      </c>
      <c r="Y22" s="76" t="str">
        <f aca="false">IF($I22&gt;0%,IF(AND(Y$16&gt;=$F22,Y$16&lt;$F22+($G22*$I22)),"➤",""),"")</f>
        <v/>
      </c>
      <c r="Z22" s="76" t="str">
        <f aca="false">IF($I22&gt;0%,IF(AND(Z$16&gt;=$F22,Z$16&lt;$F22+($G22*$I22)),"➤",""),"")</f>
        <v/>
      </c>
      <c r="AA22" s="76" t="str">
        <f aca="false">IF($I22&gt;0%,IF(AND(AA$16&gt;=$F22,AA$16&lt;$F22+($G22*$I22)),"➤",""),"")</f>
        <v/>
      </c>
      <c r="AB22" s="76" t="str">
        <f aca="false">IF($I22&gt;0%,IF(AND(AB$16&gt;=$F22,AB$16&lt;$F22+($G22*$I22)),"➤",""),"")</f>
        <v/>
      </c>
      <c r="AC22" s="76" t="str">
        <f aca="false">IF($I22&gt;0%,IF(AND(AC$16&gt;=$F22,AC$16&lt;$F22+($G22*$I22)),"➤",""),"")</f>
        <v/>
      </c>
      <c r="AD22" s="76" t="str">
        <f aca="false">IF($I22&gt;0%,IF(AND(AD$16&gt;=$F22,AD$16&lt;$F22+($G22*$I22)),"➤",""),"")</f>
        <v/>
      </c>
      <c r="AE22" s="76" t="str">
        <f aca="false">IF($I22&gt;0%,IF(AND(AE$16&gt;=$F22,AE$16&lt;$F22+($G22*$I22)),"➤",""),"")</f>
        <v/>
      </c>
      <c r="AF22" s="76" t="str">
        <f aca="false">IF($I22&gt;0%,IF(AND(AF$16&gt;=$F22,AF$16&lt;$F22+($G22*$I22)),"➤",""),"")</f>
        <v/>
      </c>
      <c r="AG22" s="76" t="str">
        <f aca="false">IF($I22&gt;0%,IF(AND(AG$16&gt;=$F22,AG$16&lt;$F22+($G22*$I22)),"➤",""),"")</f>
        <v/>
      </c>
      <c r="AH22" s="76" t="str">
        <f aca="false">IF($I22&gt;0%,IF(AND(AH$16&gt;=$F22,AH$16&lt;$F22+($G22*$I22)),"➤",""),"")</f>
        <v/>
      </c>
      <c r="AI22" s="76" t="str">
        <f aca="false">IF($I22&gt;0%,IF(AND(AI$16&gt;=$F22,AI$16&lt;$F22+($G22*$I22)),"➤",""),"")</f>
        <v/>
      </c>
      <c r="AJ22" s="76" t="str">
        <f aca="false">IF($I22&gt;0%,IF(AND(AJ$16&gt;=$F22,AJ$16&lt;$F22+($G22*$I22)),"➤",""),"")</f>
        <v/>
      </c>
      <c r="AK22" s="76" t="str">
        <f aca="false">IF($I22&gt;0%,IF(AND(AK$16&gt;=$F22,AK$16&lt;$F22+($G22*$I22)),"➤",""),"")</f>
        <v/>
      </c>
      <c r="AL22" s="76" t="str">
        <f aca="false">IF($I22&gt;0%,IF(AND(AL$16&gt;=$F22,AL$16&lt;$F22+($G22*$I22)),"➤",""),"")</f>
        <v/>
      </c>
      <c r="AM22" s="76" t="str">
        <f aca="false">IF($I22&gt;0%,IF(AND(AM$16&gt;=$F22,AM$16&lt;$F22+($G22*$I22)),"➤",""),"")</f>
        <v/>
      </c>
      <c r="AN22" s="76" t="str">
        <f aca="false">IF($I22&gt;0%,IF(AND(AN$16&gt;=$F22,AN$16&lt;$F22+($G22*$I22)),"➤",""),"")</f>
        <v/>
      </c>
      <c r="AO22" s="76" t="str">
        <f aca="false">IF($I22&gt;0%,IF(AND(AO$16&gt;=$F22,AO$16&lt;$F22+($G22*$I22)),"➤",""),"")</f>
        <v/>
      </c>
      <c r="AP22" s="76" t="str">
        <f aca="false">IF($I22&gt;0%,IF(AND(AP$16&gt;=$F22,AP$16&lt;$F22+($G22*$I22)),"➤",""),"")</f>
        <v/>
      </c>
      <c r="AQ22" s="76" t="str">
        <f aca="false">IF($I22&gt;0%,IF(AND(AQ$16&gt;=$F22,AQ$16&lt;$F22+($G22*$I22)),"➤",""),"")</f>
        <v/>
      </c>
      <c r="AR22" s="76" t="str">
        <f aca="false">IF($I22&gt;0%,IF(AND(AR$16&gt;=$F22,AR$16&lt;$F22+($G22*$I22)),"➤",""),"")</f>
        <v/>
      </c>
      <c r="AS22" s="76" t="str">
        <f aca="false">IF($I22&gt;0%,IF(AND(AS$16&gt;=$F22,AS$16&lt;$F22+($G22*$I22)),"➤",""),"")</f>
        <v/>
      </c>
      <c r="AT22" s="76" t="str">
        <f aca="false">IF($I22&gt;0%,IF(AND(AT$16&gt;=$F22,AT$16&lt;$F22+($G22*$I22)),"➤",""),"")</f>
        <v/>
      </c>
      <c r="AU22" s="76" t="str">
        <f aca="false">IF($I22&gt;0%,IF(AND(AU$16&gt;=$F22,AU$16&lt;$F22+($G22*$I22)),"➤",""),"")</f>
        <v/>
      </c>
      <c r="AV22" s="76" t="str">
        <f aca="false">IF($I22&gt;0%,IF(AND(AV$16&gt;=$F22,AV$16&lt;$F22+($G22*$I22)),"➤",""),"")</f>
        <v/>
      </c>
      <c r="AW22" s="76" t="str">
        <f aca="false">IF($I22&gt;0%,IF(AND(AW$16&gt;=$F22,AW$16&lt;$F22+($G22*$I22)),"➤",""),"")</f>
        <v/>
      </c>
      <c r="AX22" s="76" t="str">
        <f aca="false">IF($I22&gt;0%,IF(AND(AX$16&gt;=$F22,AX$16&lt;$F22+($G22*$I22)),"➤",""),"")</f>
        <v/>
      </c>
      <c r="AY22" s="76" t="str">
        <f aca="false">IF($I22&gt;0%,IF(AND(AY$16&gt;=$F22,AY$16&lt;$F22+($G22*$I22)),"➤",""),"")</f>
        <v/>
      </c>
      <c r="AZ22" s="76" t="str">
        <f aca="false">IF($I22&gt;0%,IF(AND(AZ$16&gt;=$F22,AZ$16&lt;$F22+($G22*$I22)),"➤",""),"")</f>
        <v/>
      </c>
      <c r="BA22" s="76" t="str">
        <f aca="false">IF($I22&gt;0%,IF(AND(BA$16&gt;=$F22,BA$16&lt;$F22+($G22*$I22)),"➤",""),"")</f>
        <v/>
      </c>
      <c r="BB22" s="76" t="str">
        <f aca="false">IF($I22&gt;0%,IF(AND(BB$16&gt;=$F22,BB$16&lt;$F22+($G22*$I22)),"➤",""),"")</f>
        <v/>
      </c>
      <c r="BC22" s="76" t="str">
        <f aca="false">IF($I22&gt;0%,IF(AND(BC$16&gt;=$F22,BC$16&lt;$F22+($G22*$I22)),"➤",""),"")</f>
        <v/>
      </c>
      <c r="BD22" s="76" t="str">
        <f aca="false">IF($I22&gt;0%,IF(AND(BD$16&gt;=$F22,BD$16&lt;$F22+($G22*$I22)),"➤",""),"")</f>
        <v/>
      </c>
      <c r="BE22" s="76" t="str">
        <f aca="false">IF($I22&gt;0%,IF(AND(BE$16&gt;=$F22,BE$16&lt;$F22+($G22*$I22)),"➤",""),"")</f>
        <v/>
      </c>
      <c r="BF22" s="76" t="str">
        <f aca="false">IF($I22&gt;0%,IF(AND(BF$16&gt;=$F22,BF$16&lt;$F22+($G22*$I22)),"➤",""),"")</f>
        <v/>
      </c>
      <c r="BG22" s="76" t="str">
        <f aca="false">IF($I22&gt;0%,IF(AND(BG$16&gt;=$F22,BG$16&lt;$F22+($G22*$I22)),"➤",""),"")</f>
        <v/>
      </c>
      <c r="BH22" s="76" t="str">
        <f aca="false">IF($I22&gt;0%,IF(AND(BH$16&gt;=$F22,BH$16&lt;$F22+($G22*$I22)),"➤",""),"")</f>
        <v/>
      </c>
      <c r="BI22" s="76" t="str">
        <f aca="false">IF($I22&gt;0%,IF(AND(BI$16&gt;=$F22,BI$16&lt;$F22+($G22*$I22)),"➤",""),"")</f>
        <v/>
      </c>
      <c r="BJ22" s="76" t="str">
        <f aca="false">IF($I22&gt;0%,IF(AND(BJ$16&gt;=$F22,BJ$16&lt;$F22+($G22*$I22)),"➤",""),"")</f>
        <v/>
      </c>
      <c r="BK22" s="76" t="str">
        <f aca="false">IF($I22&gt;0%,IF(AND(BK$16&gt;=$F22,BK$16&lt;$F22+($G22*$I22)),"➤",""),"")</f>
        <v/>
      </c>
      <c r="BL22" s="76" t="str">
        <f aca="false">IF($I22&gt;0%,IF(AND(BL$16&gt;=$F22,BL$16&lt;$F22+($G22*$I22)),"➤",""),"")</f>
        <v/>
      </c>
      <c r="BM22" s="76" t="str">
        <f aca="false">IF($I22&gt;0%,IF(AND(BM$16&gt;=$F22,BM$16&lt;$F22+($G22*$I22)),"➤",""),"")</f>
        <v/>
      </c>
      <c r="BN22" s="76" t="str">
        <f aca="false">IF($I22&gt;0%,IF(AND(BN$16&gt;=$F22,BN$16&lt;$F22+($G22*$I22)),"➤",""),"")</f>
        <v/>
      </c>
      <c r="BO22" s="76" t="str">
        <f aca="false">IF($I22&gt;0%,IF(AND(BO$16&gt;=$F22,BO$16&lt;$F22+($G22*$I22)),"➤",""),"")</f>
        <v/>
      </c>
      <c r="BP22" s="76" t="str">
        <f aca="false">IF($I22&gt;0%,IF(AND(BP$16&gt;=$F22,BP$16&lt;$F22+($G22*$I22)),"➤",""),"")</f>
        <v/>
      </c>
      <c r="BQ22" s="76" t="str">
        <f aca="false">IF($I22&gt;0%,IF(AND(BQ$16&gt;=$F22,BQ$16&lt;$F22+($G22*$I22)),"➤",""),"")</f>
        <v/>
      </c>
      <c r="BR22" s="76" t="str">
        <f aca="false">IF($I22&gt;0%,IF(AND(BR$16&gt;=$F22,BR$16&lt;$F22+($G22*$I22)),"➤",""),"")</f>
        <v/>
      </c>
      <c r="BS22" s="76" t="str">
        <f aca="false">IF($I22&gt;0%,IF(AND(BS$16&gt;=$F22,BS$16&lt;$F22+($G22*$I22)),"➤",""),"")</f>
        <v/>
      </c>
      <c r="BT22" s="76" t="str">
        <f aca="false">IF($I22&gt;0%,IF(AND(BT$16&gt;=$F22,BT$16&lt;$F22+($G22*$I22)),"➤",""),"")</f>
        <v/>
      </c>
      <c r="BU22" s="76" t="str">
        <f aca="false">IF($I22&gt;0%,IF(AND(BU$16&gt;=$F22,BU$16&lt;$F22+($G22*$I22)),"➤",""),"")</f>
        <v/>
      </c>
      <c r="BV22" s="76" t="str">
        <f aca="false">IF($I22&gt;0%,IF(AND(BV$16&gt;=$F22,BV$16&lt;$F22+($G22*$I22)),"➤",""),"")</f>
        <v/>
      </c>
      <c r="BW22" s="76" t="str">
        <f aca="false">IF($I22&gt;0%,IF(AND(BW$16&gt;=$F22,BW$16&lt;$F22+($G22*$I22)),"➤",""),"")</f>
        <v/>
      </c>
      <c r="BX22" s="76" t="str">
        <f aca="false">IF($I22&gt;0%,IF(AND(BX$16&gt;=$F22,BX$16&lt;$F22+($G22*$I22)),"➤",""),"")</f>
        <v/>
      </c>
      <c r="BY22" s="76" t="str">
        <f aca="false">IF($I22&gt;0%,IF(AND(BY$16&gt;=$F22,BY$16&lt;$F22+($G22*$I22)),"➤",""),"")</f>
        <v/>
      </c>
      <c r="BZ22" s="76" t="str">
        <f aca="false">IF($I22&gt;0%,IF(AND(BZ$16&gt;=$F22,BZ$16&lt;$F22+($G22*$I22)),"➤",""),"")</f>
        <v/>
      </c>
      <c r="CA22" s="76" t="str">
        <f aca="false">IF($I22&gt;0%,IF(AND(CA$16&gt;=$F22,CA$16&lt;$F22+($G22*$I22)),"➤",""),"")</f>
        <v/>
      </c>
      <c r="CB22" s="76" t="str">
        <f aca="false">IF($I22&gt;0%,IF(AND(CB$16&gt;=$F22,CB$16&lt;$F22+($G22*$I22)),"➤",""),"")</f>
        <v/>
      </c>
      <c r="CC22" s="76" t="str">
        <f aca="false">IF($I22&gt;0%,IF(AND(CC$16&gt;=$F22,CC$16&lt;$F22+($G22*$I22)),"➤",""),"")</f>
        <v/>
      </c>
      <c r="CD22" s="76" t="str">
        <f aca="false">IF($I22&gt;0%,IF(AND(CD$16&gt;=$F22,CD$16&lt;$F22+($G22*$I22)),"➤",""),"")</f>
        <v/>
      </c>
      <c r="CE22" s="76" t="str">
        <f aca="false">IF($I22&gt;0%,IF(AND(CE$16&gt;=$F22,CE$16&lt;$F22+($G22*$I22)),"➤",""),"")</f>
        <v/>
      </c>
      <c r="CF22" s="76" t="str">
        <f aca="false">IF($I22&gt;0%,IF(AND(CF$16&gt;=$F22,CF$16&lt;$F22+($G22*$I22)),"➤",""),"")</f>
        <v/>
      </c>
      <c r="CG22" s="76" t="str">
        <f aca="false">IF($I22&gt;0%,IF(AND(CG$16&gt;=$F22,CG$16&lt;$F22+($G22*$I22)),"➤",""),"")</f>
        <v/>
      </c>
      <c r="CH22" s="76" t="str">
        <f aca="false">IF($I22&gt;0%,IF(AND(CH$16&gt;=$F22,CH$16&lt;$F22+($G22*$I22)),"➤",""),"")</f>
        <v/>
      </c>
      <c r="CI22" s="76" t="str">
        <f aca="false">IF($I22&gt;0%,IF(AND(CI$16&gt;=$F22,CI$16&lt;$F22+($G22*$I22)),"➤",""),"")</f>
        <v/>
      </c>
      <c r="CJ22" s="76" t="str">
        <f aca="false">IF($I22&gt;0%,IF(AND(CJ$16&gt;=$F22,CJ$16&lt;$F22+($G22*$I22)),"➤",""),"")</f>
        <v/>
      </c>
      <c r="CK22" s="76" t="str">
        <f aca="false">IF($I22&gt;0%,IF(AND(CK$16&gt;=$F22,CK$16&lt;$F22+($G22*$I22)),"➤",""),"")</f>
        <v/>
      </c>
      <c r="CL22" s="76" t="str">
        <f aca="false">IF($I22&gt;0%,IF(AND(CL$16&gt;=$F22,CL$16&lt;$F22+($G22*$I22)),"➤",""),"")</f>
        <v/>
      </c>
      <c r="CM22" s="76" t="str">
        <f aca="false">IF($I22&gt;0%,IF(AND(CM$16&gt;=$F22,CM$16&lt;$F22+($G22*$I22)),"➤",""),"")</f>
        <v/>
      </c>
      <c r="CN22" s="76" t="str">
        <f aca="false">IF($I22&gt;0%,IF(AND(CN$16&gt;=$F22,CN$16&lt;$F22+($G22*$I22)),"➤",""),"")</f>
        <v/>
      </c>
      <c r="CO22" s="76" t="str">
        <f aca="false">IF($I22&gt;0%,IF(AND(CO$16&gt;=$F22,CO$16&lt;$F22+($G22*$I22)),"➤",""),"")</f>
        <v/>
      </c>
      <c r="CP22" s="76" t="str">
        <f aca="false">IF($I22&gt;0%,IF(AND(CP$16&gt;=$F22,CP$16&lt;$F22+($G22*$I22)),"➤",""),"")</f>
        <v/>
      </c>
      <c r="CQ22" s="76" t="str">
        <f aca="false">IF($I22&gt;0%,IF(AND(CQ$16&gt;=$F22,CQ$16&lt;$F22+($G22*$I22)),"➤",""),"")</f>
        <v/>
      </c>
      <c r="CR22" s="76" t="str">
        <f aca="false">IF($I22&gt;0%,IF(AND(CR$16&gt;=$F22,CR$16&lt;$F22+($G22*$I22)),"➤",""),"")</f>
        <v/>
      </c>
      <c r="CS22" s="76" t="str">
        <f aca="false">IF($I22&gt;0%,IF(AND(CS$16&gt;=$F22,CS$16&lt;$F22+($G22*$I22)),"➤",""),"")</f>
        <v/>
      </c>
      <c r="CT22" s="76" t="str">
        <f aca="false">IF($I22&gt;0%,IF(AND(CT$16&gt;=$F22,CT$16&lt;$F22+($G22*$I22)),"➤",""),"")</f>
        <v/>
      </c>
      <c r="CU22" s="76" t="str">
        <f aca="false">IF($I22&gt;0%,IF(AND(CU$16&gt;=$F22,CU$16&lt;$F22+($G22*$I22)),"➤",""),"")</f>
        <v/>
      </c>
      <c r="CV22" s="76" t="str">
        <f aca="false">IF($I22&gt;0%,IF(AND(CV$16&gt;=$F22,CV$16&lt;$F22+($G22*$I22)),"➤",""),"")</f>
        <v/>
      </c>
      <c r="CW22" s="76" t="str">
        <f aca="false">IF($I22&gt;0%,IF(AND(CW$16&gt;=$F22,CW$16&lt;$F22+($G22*$I22)),"➤",""),"")</f>
        <v/>
      </c>
      <c r="CX22" s="76" t="str">
        <f aca="false">IF($I22&gt;0%,IF(AND(CX$16&gt;=$F22,CX$16&lt;$F22+($G22*$I22)),"➤",""),"")</f>
        <v/>
      </c>
      <c r="CY22" s="76" t="str">
        <f aca="false">IF($I22&gt;0%,IF(AND(CY$16&gt;=$F22,CY$16&lt;$F22+($G22*$I22)),"➤",""),"")</f>
        <v/>
      </c>
      <c r="CZ22" s="76" t="str">
        <f aca="false">IF($I22&gt;0%,IF(AND(CZ$16&gt;=$F22,CZ$16&lt;$F22+($G22*$I22)),"➤",""),"")</f>
        <v/>
      </c>
      <c r="DA22" s="76" t="str">
        <f aca="false">IF($I22&gt;0%,IF(AND(DA$16&gt;=$F22,DA$16&lt;$F22+($G22*$I22)),"➤",""),"")</f>
        <v/>
      </c>
      <c r="DB22" s="76" t="str">
        <f aca="false">IF($I22&gt;0%,IF(AND(DB$16&gt;=$F22,DB$16&lt;$F22+($G22*$I22)),"➤",""),"")</f>
        <v/>
      </c>
      <c r="DC22" s="76" t="str">
        <f aca="false">IF($I22&gt;0%,IF(AND(DC$16&gt;=$F22,DC$16&lt;$F22+($G22*$I22)),"➤",""),"")</f>
        <v/>
      </c>
      <c r="DD22" s="76" t="str">
        <f aca="false">IF($I22&gt;0%,IF(AND(DD$16&gt;=$F22,DD$16&lt;$F22+($G22*$I22)),"➤",""),"")</f>
        <v/>
      </c>
      <c r="DE22" s="76" t="str">
        <f aca="false">IF($I22&gt;0%,IF(AND(DE$16&gt;=$F22,DE$16&lt;$F22+($G22*$I22)),"➤",""),"")</f>
        <v/>
      </c>
      <c r="DF22" s="76" t="str">
        <f aca="false">IF($I22&gt;0%,IF(AND(DF$16&gt;=$F22,DF$16&lt;$F22+($G22*$I22)),"➤",""),"")</f>
        <v/>
      </c>
      <c r="DG22" s="76" t="str">
        <f aca="false">IF($I22&gt;0%,IF(AND(DG$16&gt;=$F22,DG$16&lt;$F22+($G22*$I22)),"➤",""),"")</f>
        <v/>
      </c>
      <c r="DH22" s="76" t="str">
        <f aca="false">IF($I22&gt;0%,IF(AND(DH$16&gt;=$F22,DH$16&lt;$F22+($G22*$I22)),"➤",""),"")</f>
        <v/>
      </c>
      <c r="DI22" s="76" t="str">
        <f aca="false">IF($I22&gt;0%,IF(AND(DI$16&gt;=$F22,DI$16&lt;$F22+($G22*$I22)),"➤",""),"")</f>
        <v/>
      </c>
      <c r="DJ22" s="76" t="str">
        <f aca="false">IF($I22&gt;0%,IF(AND(DJ$16&gt;=$F22,DJ$16&lt;$F22+($G22*$I22)),"➤",""),"")</f>
        <v/>
      </c>
      <c r="DK22" s="76" t="str">
        <f aca="false">IF($I22&gt;0%,IF(AND(DK$16&gt;=$F22,DK$16&lt;$F22+($G22*$I22)),"➤",""),"")</f>
        <v/>
      </c>
      <c r="DL22" s="76" t="str">
        <f aca="false">IF($I22&gt;0%,IF(AND(DL$16&gt;=$F22,DL$16&lt;$F22+($G22*$I22)),"➤",""),"")</f>
        <v/>
      </c>
      <c r="DM22" s="76" t="str">
        <f aca="false">IF($I22&gt;0%,IF(AND(DM$16&gt;=$F22,DM$16&lt;$F22+($G22*$I22)),"➤",""),"")</f>
        <v/>
      </c>
      <c r="DN22" s="76" t="str">
        <f aca="false">IF($I22&gt;0%,IF(AND(DN$16&gt;=$F22,DN$16&lt;$F22+($G22*$I22)),"➤",""),"")</f>
        <v/>
      </c>
      <c r="DO22" s="76" t="str">
        <f aca="false">IF($I22&gt;0%,IF(AND(DO$16&gt;=$F22,DO$16&lt;$F22+($G22*$I22)),"➤",""),"")</f>
        <v/>
      </c>
      <c r="DP22" s="76" t="str">
        <f aca="false">IF($I22&gt;0%,IF(AND(DP$16&gt;=$F22,DP$16&lt;$F22+($G22*$I22)),"➤",""),"")</f>
        <v/>
      </c>
      <c r="DQ22" s="76" t="str">
        <f aca="false">IF($I22&gt;0%,IF(AND(DQ$16&gt;=$F22,DQ$16&lt;$F22+($G22*$I22)),"➤",""),"")</f>
        <v/>
      </c>
      <c r="DR22" s="76" t="str">
        <f aca="false">IF($I22&gt;0%,IF(AND(DR$16&gt;=$F22,DR$16&lt;$F22+($G22*$I22)),"➤",""),"")</f>
        <v/>
      </c>
      <c r="DS22" s="76" t="str">
        <f aca="false">IF($I22&gt;0%,IF(AND(DS$16&gt;=$F22,DS$16&lt;$F22+($G22*$I22)),"➤",""),"")</f>
        <v/>
      </c>
      <c r="DT22" s="76" t="str">
        <f aca="false">IF($I22&gt;0%,IF(AND(DT$16&gt;=$F22,DT$16&lt;$F22+($G22*$I22)),"➤",""),"")</f>
        <v/>
      </c>
      <c r="DU22" s="76" t="str">
        <f aca="false">IF($I22&gt;0%,IF(AND(DU$16&gt;=$F22,DU$16&lt;$F22+($G22*$I22)),"➤",""),"")</f>
        <v/>
      </c>
      <c r="DV22" s="76" t="str">
        <f aca="false">IF($I22&gt;0%,IF(AND(DV$16&gt;=$F22,DV$16&lt;$F22+($G22*$I22)),"➤",""),"")</f>
        <v/>
      </c>
      <c r="DW22" s="76" t="str">
        <f aca="false">IF($I22&gt;0%,IF(AND(DW$16&gt;=$F22,DW$16&lt;$F22+($G22*$I22)),"➤",""),"")</f>
        <v/>
      </c>
      <c r="DX22" s="76" t="str">
        <f aca="false">IF($I22&gt;0%,IF(AND(DX$16&gt;=$F22,DX$16&lt;$F22+($G22*$I22)),"➤",""),"")</f>
        <v/>
      </c>
      <c r="DY22" s="76" t="str">
        <f aca="false">IF($I22&gt;0%,IF(AND(DY$16&gt;=$F22,DY$16&lt;$F22+($G22*$I22)),"➤",""),"")</f>
        <v/>
      </c>
      <c r="DZ22" s="76" t="str">
        <f aca="false">IF($I22&gt;0%,IF(AND(DZ$16&gt;=$F22,DZ$16&lt;$F22+($G22*$I22)),"➤",""),"")</f>
        <v/>
      </c>
      <c r="EA22" s="76" t="str">
        <f aca="false">IF($I22&gt;0%,IF(AND(EA$16&gt;=$F22,EA$16&lt;$F22+($G22*$I22)),"➤",""),"")</f>
        <v/>
      </c>
      <c r="EB22" s="76" t="str">
        <f aca="false">IF($I22&gt;0%,IF(AND(EB$16&gt;=$F22,EB$16&lt;$F22+($G22*$I22)),"➤",""),"")</f>
        <v/>
      </c>
      <c r="EC22" s="76" t="str">
        <f aca="false">IF($I22&gt;0%,IF(AND(EC$16&gt;=$F22,EC$16&lt;$F22+($G22*$I22)),"➤",""),"")</f>
        <v/>
      </c>
      <c r="ED22" s="76" t="str">
        <f aca="false">IF($I22&gt;0%,IF(AND(ED$16&gt;=$F22,ED$16&lt;$F22+($G22*$I22)),"➤",""),"")</f>
        <v/>
      </c>
      <c r="EE22" s="76" t="str">
        <f aca="false">IF($I22&gt;0%,IF(AND(EE$16&gt;=$F22,EE$16&lt;$F22+($G22*$I22)),"➤",""),"")</f>
        <v/>
      </c>
      <c r="EF22" s="76" t="str">
        <f aca="false">IF($I22&gt;0%,IF(AND(EF$16&gt;=$F22,EF$16&lt;$F22+($G22*$I22)),"➤",""),"")</f>
        <v/>
      </c>
      <c r="EG22" s="76" t="str">
        <f aca="false">IF($I22&gt;0%,IF(AND(EG$16&gt;=$F22,EG$16&lt;$F22+($G22*$I22)),"➤",""),"")</f>
        <v/>
      </c>
      <c r="EH22" s="76" t="str">
        <f aca="false">IF($I22&gt;0%,IF(AND(EH$16&gt;=$F22,EH$16&lt;$F22+($G22*$I22)),"➤",""),"")</f>
        <v/>
      </c>
      <c r="EI22" s="76" t="str">
        <f aca="false">IF($I22&gt;0%,IF(AND(EI$16&gt;=$F22,EI$16&lt;$F22+($G22*$I22)),"➤",""),"")</f>
        <v/>
      </c>
      <c r="EJ22" s="76" t="str">
        <f aca="false">IF($I22&gt;0%,IF(AND(EJ$16&gt;=$F22,EJ$16&lt;$F22+($G22*$I22)),"➤",""),"")</f>
        <v/>
      </c>
      <c r="EK22" s="76" t="str">
        <f aca="false">IF($I22&gt;0%,IF(AND(EK$16&gt;=$F22,EK$16&lt;$F22+($G22*$I22)),"➤",""),"")</f>
        <v/>
      </c>
      <c r="EL22" s="76" t="str">
        <f aca="false">IF($I22&gt;0%,IF(AND(EL$16&gt;=$F22,EL$16&lt;$F22+($G22*$I22)),"➤",""),"")</f>
        <v/>
      </c>
      <c r="EM22" s="76" t="str">
        <f aca="false">IF($I22&gt;0%,IF(AND(EM$16&gt;=$F22,EM$16&lt;$F22+($G22*$I22)),"➤",""),"")</f>
        <v/>
      </c>
      <c r="EN22" s="76" t="str">
        <f aca="false">IF($I22&gt;0%,IF(AND(EN$16&gt;=$F22,EN$16&lt;$F22+($G22*$I22)),"➤",""),"")</f>
        <v/>
      </c>
      <c r="EO22" s="76" t="str">
        <f aca="false">IF($I22&gt;0%,IF(AND(EO$16&gt;=$F22,EO$16&lt;$F22+($G22*$I22)),"➤",""),"")</f>
        <v/>
      </c>
      <c r="EP22" s="76" t="str">
        <f aca="false">IF($I22&gt;0%,IF(AND(EP$16&gt;=$F22,EP$16&lt;$F22+($G22*$I22)),"➤",""),"")</f>
        <v/>
      </c>
      <c r="EQ22" s="76" t="str">
        <f aca="false">IF($I22&gt;0%,IF(AND(EQ$16&gt;=$F22,EQ$16&lt;$F22+($G22*$I22)),"➤",""),"")</f>
        <v/>
      </c>
      <c r="ER22" s="76" t="str">
        <f aca="false">IF($I22&gt;0%,IF(AND(ER$16&gt;=$F22,ER$16&lt;$F22+($G22*$I22)),"➤",""),"")</f>
        <v/>
      </c>
      <c r="ES22" s="76" t="str">
        <f aca="false">IF($I22&gt;0%,IF(AND(ES$16&gt;=$F22,ES$16&lt;$F22+($G22*$I22)),"➤",""),"")</f>
        <v/>
      </c>
      <c r="ET22" s="76" t="str">
        <f aca="false">IF($I22&gt;0%,IF(AND(ET$16&gt;=$F22,ET$16&lt;$F22+($G22*$I22)),"➤",""),"")</f>
        <v/>
      </c>
      <c r="EU22" s="76" t="str">
        <f aca="false">IF($I22&gt;0%,IF(AND(EU$16&gt;=$F22,EU$16&lt;$F22+($G22*$I22)),"➤",""),"")</f>
        <v/>
      </c>
      <c r="EV22" s="76" t="str">
        <f aca="false">IF($I22&gt;0%,IF(AND(EV$16&gt;=$F22,EV$16&lt;$F22+($G22*$I22)),"➤",""),"")</f>
        <v/>
      </c>
      <c r="EW22" s="76" t="str">
        <f aca="false">IF($I22&gt;0%,IF(AND(EW$16&gt;=$F22,EW$16&lt;$F22+($G22*$I22)),"➤",""),"")</f>
        <v/>
      </c>
      <c r="EX22" s="76" t="str">
        <f aca="false">IF($I22&gt;0%,IF(AND(EX$16&gt;=$F22,EX$16&lt;$F22+($G22*$I22)),"➤",""),"")</f>
        <v/>
      </c>
      <c r="EY22" s="76" t="str">
        <f aca="false">IF($I22&gt;0%,IF(AND(EY$16&gt;=$F22,EY$16&lt;$F22+($G22*$I22)),"➤",""),"")</f>
        <v/>
      </c>
      <c r="EZ22" s="76" t="str">
        <f aca="false">IF($I22&gt;0%,IF(AND(EZ$16&gt;=$F22,EZ$16&lt;$F22+($G22*$I22)),"➤",""),"")</f>
        <v/>
      </c>
      <c r="FA22" s="76" t="str">
        <f aca="false">IF($I22&gt;0%,IF(AND(FA$16&gt;=$F22,FA$16&lt;$F22+($G22*$I22)),"➤",""),"")</f>
        <v/>
      </c>
      <c r="FB22" s="76" t="str">
        <f aca="false">IF($I22&gt;0%,IF(AND(FB$16&gt;=$F22,FB$16&lt;$F22+($G22*$I22)),"➤",""),"")</f>
        <v/>
      </c>
      <c r="FC22" s="76" t="str">
        <f aca="false">IF($I22&gt;0%,IF(AND(FC$16&gt;=$F22,FC$16&lt;$F22+($G22*$I22)),"➤",""),"")</f>
        <v/>
      </c>
      <c r="FD22" s="76" t="str">
        <f aca="false">IF($I22&gt;0%,IF(AND(FD$16&gt;=$F22,FD$16&lt;$F22+($G22*$I22)),"➤",""),"")</f>
        <v/>
      </c>
      <c r="FE22" s="76" t="str">
        <f aca="false">IF($I22&gt;0%,IF(AND(FE$16&gt;=$F22,FE$16&lt;$F22+($G22*$I22)),"➤",""),"")</f>
        <v/>
      </c>
      <c r="FF22" s="76" t="str">
        <f aca="false">IF($I22&gt;0%,IF(AND(FF$16&gt;=$F22,FF$16&lt;$F22+($G22*$I22)),"➤",""),"")</f>
        <v/>
      </c>
      <c r="FG22" s="76" t="str">
        <f aca="false">IF($I22&gt;0%,IF(AND(FG$16&gt;=$F22,FG$16&lt;$F22+($G22*$I22)),"➤",""),"")</f>
        <v/>
      </c>
      <c r="FH22" s="76" t="str">
        <f aca="false">IF($I22&gt;0%,IF(AND(FH$16&gt;=$F22,FH$16&lt;$F22+($G22*$I22)),"➤",""),"")</f>
        <v/>
      </c>
      <c r="FI22" s="76" t="str">
        <f aca="false">IF($I22&gt;0%,IF(AND(FI$16&gt;=$F22,FI$16&lt;$F22+($G22*$I22)),"➤",""),"")</f>
        <v/>
      </c>
      <c r="FJ22" s="76" t="str">
        <f aca="false">IF($I22&gt;0%,IF(AND(FJ$16&gt;=$F22,FJ$16&lt;$F22+($G22*$I22)),"➤",""),"")</f>
        <v/>
      </c>
      <c r="FK22" s="76" t="str">
        <f aca="false">IF($I22&gt;0%,IF(AND(FK$16&gt;=$F22,FK$16&lt;$F22+($G22*$I22)),"➤",""),"")</f>
        <v/>
      </c>
      <c r="FL22" s="76" t="str">
        <f aca="false">IF($I22&gt;0%,IF(AND(FL$16&gt;=$F22,FL$16&lt;$F22+($G22*$I22)),"➤",""),"")</f>
        <v/>
      </c>
      <c r="FM22" s="76" t="str">
        <f aca="false">IF($I22&gt;0%,IF(AND(FM$16&gt;=$F22,FM$16&lt;$F22+($G22*$I22)),"➤",""),"")</f>
        <v/>
      </c>
      <c r="FN22" s="76" t="str">
        <f aca="false">IF($I22&gt;0%,IF(AND(FN$16&gt;=$F22,FN$16&lt;$F22+($G22*$I22)),"➤",""),"")</f>
        <v/>
      </c>
      <c r="FO22" s="76" t="str">
        <f aca="false">IF($I22&gt;0%,IF(AND(FO$16&gt;=$F22,FO$16&lt;$F22+($G22*$I22)),"➤",""),"")</f>
        <v/>
      </c>
      <c r="FP22" s="76" t="str">
        <f aca="false">IF($I22&gt;0%,IF(AND(FP$16&gt;=$F22,FP$16&lt;$F22+($G22*$I22)),"➤",""),"")</f>
        <v/>
      </c>
      <c r="FQ22" s="76" t="str">
        <f aca="false">IF($I22&gt;0%,IF(AND(FQ$16&gt;=$F22,FQ$16&lt;$F22+($G22*$I22)),"➤",""),"")</f>
        <v/>
      </c>
      <c r="FR22" s="76" t="str">
        <f aca="false">IF($I22&gt;0%,IF(AND(FR$16&gt;=$F22,FR$16&lt;$F22+($G22*$I22)),"➤",""),"")</f>
        <v/>
      </c>
      <c r="FS22" s="76" t="str">
        <f aca="false">IF($I22&gt;0%,IF(AND(FS$16&gt;=$F22,FS$16&lt;$F22+($G22*$I22)),"➤",""),"")</f>
        <v/>
      </c>
      <c r="FT22" s="76" t="str">
        <f aca="false">IF($I22&gt;0%,IF(AND(FT$16&gt;=$F22,FT$16&lt;$F22+($G22*$I22)),"➤",""),"")</f>
        <v/>
      </c>
      <c r="FU22" s="76" t="str">
        <f aca="false">IF($I22&gt;0%,IF(AND(FU$16&gt;=$F22,FU$16&lt;$F22+($G22*$I22)),"➤",""),"")</f>
        <v/>
      </c>
      <c r="FV22" s="76" t="str">
        <f aca="false">IF($I22&gt;0%,IF(AND(FV$16&gt;=$F22,FV$16&lt;$F22+($G22*$I22)),"➤",""),"")</f>
        <v/>
      </c>
      <c r="FW22" s="76" t="str">
        <f aca="false">IF($I22&gt;0%,IF(AND(FW$16&gt;=$F22,FW$16&lt;$F22+($G22*$I22)),"➤",""),"")</f>
        <v/>
      </c>
      <c r="FX22" s="76" t="str">
        <f aca="false">IF($I22&gt;0%,IF(AND(FX$16&gt;=$F22,FX$16&lt;$F22+($G22*$I22)),"➤",""),"")</f>
        <v/>
      </c>
      <c r="FY22" s="76" t="str">
        <f aca="false">IF($I22&gt;0%,IF(AND(FY$16&gt;=$F22,FY$16&lt;$F22+($G22*$I22)),"➤",""),"")</f>
        <v/>
      </c>
      <c r="FZ22" s="76" t="str">
        <f aca="false">IF($I22&gt;0%,IF(AND(FZ$16&gt;=$F22,FZ$16&lt;$F22+($G22*$I22)),"➤",""),"")</f>
        <v/>
      </c>
      <c r="GA22" s="76" t="str">
        <f aca="false">IF($I22&gt;0%,IF(AND(GA$16&gt;=$F22,GA$16&lt;$F22+($G22*$I22)),"➤",""),"")</f>
        <v/>
      </c>
      <c r="GB22" s="76" t="str">
        <f aca="false">IF($I22&gt;0%,IF(AND(GB$16&gt;=$F22,GB$16&lt;$F22+($G22*$I22)),"➤",""),"")</f>
        <v/>
      </c>
      <c r="GC22" s="76" t="str">
        <f aca="false">IF($I22&gt;0%,IF(AND(GC$16&gt;=$F22,GC$16&lt;$F22+($G22*$I22)),"➤",""),"")</f>
        <v/>
      </c>
      <c r="GD22" s="76" t="str">
        <f aca="false">IF($I22&gt;0%,IF(AND(GD$16&gt;=$F22,GD$16&lt;$F22+($G22*$I22)),"➤",""),"")</f>
        <v/>
      </c>
      <c r="GE22" s="76" t="str">
        <f aca="false">IF($I22&gt;0%,IF(AND(GE$16&gt;=$F22,GE$16&lt;$F22+($G22*$I22)),"➤",""),"")</f>
        <v/>
      </c>
      <c r="GF22" s="76" t="str">
        <f aca="false">IF($I22&gt;0%,IF(AND(GF$16&gt;=$F22,GF$16&lt;$F22+($G22*$I22)),"➤",""),"")</f>
        <v/>
      </c>
      <c r="GG22" s="76" t="str">
        <f aca="false">IF($I22&gt;0%,IF(AND(GG$16&gt;=$F22,GG$16&lt;$F22+($G22*$I22)),"➤",""),"")</f>
        <v/>
      </c>
      <c r="GH22" s="76" t="str">
        <f aca="false">IF($I22&gt;0%,IF(AND(GH$16&gt;=$F22,GH$16&lt;$F22+($G22*$I22)),"➤",""),"")</f>
        <v/>
      </c>
      <c r="GI22" s="76" t="str">
        <f aca="false">IF($I22&gt;0%,IF(AND(GI$16&gt;=$F22,GI$16&lt;$F22+($G22*$I22)),"➤",""),"")</f>
        <v/>
      </c>
      <c r="GJ22" s="76" t="str">
        <f aca="false">IF($I22&gt;0%,IF(AND(GJ$16&gt;=$F22,GJ$16&lt;$F22+($G22*$I22)),"➤",""),"")</f>
        <v/>
      </c>
      <c r="GK22" s="76" t="str">
        <f aca="false">IF($I22&gt;0%,IF(AND(GK$16&gt;=$F22,GK$16&lt;$F22+($G22*$I22)),"➤",""),"")</f>
        <v/>
      </c>
      <c r="GL22" s="76" t="str">
        <f aca="false">IF($I22&gt;0%,IF(AND(GL$16&gt;=$F22,GL$16&lt;$F22+($G22*$I22)),"➤",""),"")</f>
        <v/>
      </c>
      <c r="GM22" s="76" t="str">
        <f aca="false">IF($I22&gt;0%,IF(AND(GM$16&gt;=$F22,GM$16&lt;$F22+($G22*$I22)),"➤",""),"")</f>
        <v/>
      </c>
      <c r="GN22" s="76" t="str">
        <f aca="false">IF($I22&gt;0%,IF(AND(GN$16&gt;=$F22,GN$16&lt;$F22+($G22*$I22)),"➤",""),"")</f>
        <v/>
      </c>
      <c r="GO22" s="76" t="str">
        <f aca="false">IF($I22&gt;0%,IF(AND(GO$16&gt;=$F22,GO$16&lt;$F22+($G22*$I22)),"➤",""),"")</f>
        <v/>
      </c>
      <c r="GP22" s="76" t="str">
        <f aca="false">IF($I22&gt;0%,IF(AND(GP$16&gt;=$F22,GP$16&lt;$F22+($G22*$I22)),"➤",""),"")</f>
        <v/>
      </c>
      <c r="GQ22" s="76" t="str">
        <f aca="false">IF($I22&gt;0%,IF(AND(GQ$16&gt;=$F22,GQ$16&lt;$F22+($G22*$I22)),"➤",""),"")</f>
        <v/>
      </c>
      <c r="GR22" s="76" t="str">
        <f aca="false">IF($I22&gt;0%,IF(AND(GR$16&gt;=$F22,GR$16&lt;$F22+($G22*$I22)),"➤",""),"")</f>
        <v/>
      </c>
      <c r="GS22" s="76" t="str">
        <f aca="false">IF($I22&gt;0%,IF(AND(GS$16&gt;=$F22,GS$16&lt;$F22+($G22*$I22)),"➤",""),"")</f>
        <v/>
      </c>
      <c r="GT22" s="76" t="str">
        <f aca="false">IF($I22&gt;0%,IF(AND(GT$16&gt;=$F22,GT$16&lt;$F22+($G22*$I22)),"➤",""),"")</f>
        <v/>
      </c>
      <c r="GU22" s="76" t="str">
        <f aca="false">IF($I22&gt;0%,IF(AND(GU$16&gt;=$F22,GU$16&lt;$F22+($G22*$I22)),"➤",""),"")</f>
        <v/>
      </c>
      <c r="GV22" s="76" t="str">
        <f aca="false">IF($I22&gt;0%,IF(AND(GV$16&gt;=$F22,GV$16&lt;$F22+($G22*$I22)),"➤",""),"")</f>
        <v/>
      </c>
      <c r="GW22" s="76" t="str">
        <f aca="false">IF($I22&gt;0%,IF(AND(GW$16&gt;=$F22,GW$16&lt;$F22+($G22*$I22)),"➤",""),"")</f>
        <v/>
      </c>
      <c r="GX22" s="76" t="str">
        <f aca="false">IF($I22&gt;0%,IF(AND(GX$16&gt;=$F22,GX$16&lt;$F22+($G22*$I22)),"➤",""),"")</f>
        <v/>
      </c>
      <c r="GY22" s="76" t="str">
        <f aca="false">IF($I22&gt;0%,IF(AND(GY$16&gt;=$F22,GY$16&lt;$F22+($G22*$I22)),"➤",""),"")</f>
        <v/>
      </c>
      <c r="GZ22" s="76" t="str">
        <f aca="false">IF($I22&gt;0%,IF(AND(GZ$16&gt;=$F22,GZ$16&lt;$F22+($G22*$I22)),"➤",""),"")</f>
        <v/>
      </c>
      <c r="HA22" s="76" t="str">
        <f aca="false">IF($I22&gt;0%,IF(AND(HA$16&gt;=$F22,HA$16&lt;$F22+($G22*$I22)),"➤",""),"")</f>
        <v/>
      </c>
      <c r="HB22" s="76" t="str">
        <f aca="false">IF($I22&gt;0%,IF(AND(HB$16&gt;=$F22,HB$16&lt;$F22+($G22*$I22)),"➤",""),"")</f>
        <v/>
      </c>
      <c r="HC22" s="76" t="str">
        <f aca="false">IF($I22&gt;0%,IF(AND(HC$16&gt;=$F22,HC$16&lt;$F22+($G22*$I22)),"➤",""),"")</f>
        <v/>
      </c>
      <c r="HD22" s="76" t="str">
        <f aca="false">IF($I22&gt;0%,IF(AND(HD$16&gt;=$F22,HD$16&lt;$F22+($G22*$I22)),"➤",""),"")</f>
        <v/>
      </c>
      <c r="HE22" s="76" t="str">
        <f aca="false">IF($I22&gt;0%,IF(AND(HE$16&gt;=$F22,HE$16&lt;$F22+($G22*$I22)),"➤",""),"")</f>
        <v/>
      </c>
      <c r="HF22" s="76" t="str">
        <f aca="false">IF($I22&gt;0%,IF(AND(HF$16&gt;=$F22,HF$16&lt;$F22+($G22*$I22)),"➤",""),"")</f>
        <v/>
      </c>
      <c r="HG22" s="76" t="str">
        <f aca="false">IF($I22&gt;0%,IF(AND(HG$16&gt;=$F22,HG$16&lt;$F22+($G22*$I22)),"➤",""),"")</f>
        <v/>
      </c>
      <c r="HH22" s="76" t="str">
        <f aca="false">IF($I22&gt;0%,IF(AND(HH$16&gt;=$F22,HH$16&lt;$F22+($G22*$I22)),"➤",""),"")</f>
        <v/>
      </c>
      <c r="HI22" s="76" t="str">
        <f aca="false">IF($I22&gt;0%,IF(AND(HI$16&gt;=$F22,HI$16&lt;$F22+($G22*$I22)),"➤",""),"")</f>
        <v/>
      </c>
      <c r="HJ22" s="76" t="str">
        <f aca="false">IF($I22&gt;0%,IF(AND(HJ$16&gt;=$F22,HJ$16&lt;$F22+($G22*$I22)),"➤",""),"")</f>
        <v/>
      </c>
      <c r="HK22" s="76" t="str">
        <f aca="false">IF($I22&gt;0%,IF(AND(HK$16&gt;=$F22,HK$16&lt;$F22+($G22*$I22)),"➤",""),"")</f>
        <v/>
      </c>
      <c r="HL22" s="76" t="str">
        <f aca="false">IF($I22&gt;0%,IF(AND(HL$16&gt;=$F22,HL$16&lt;$F22+($G22*$I22)),"➤",""),"")</f>
        <v/>
      </c>
      <c r="HM22" s="76" t="str">
        <f aca="false">IF($I22&gt;0%,IF(AND(HM$16&gt;=$F22,HM$16&lt;$F22+($G22*$I22)),"➤",""),"")</f>
        <v/>
      </c>
      <c r="HN22" s="76" t="str">
        <f aca="false">IF($I22&gt;0%,IF(AND(HN$16&gt;=$F22,HN$16&lt;$F22+($G22*$I22)),"➤",""),"")</f>
        <v/>
      </c>
      <c r="HO22" s="76" t="str">
        <f aca="false">IF($I22&gt;0%,IF(AND(HO$16&gt;=$F22,HO$16&lt;$F22+($G22*$I22)),"➤",""),"")</f>
        <v/>
      </c>
      <c r="HP22" s="76" t="str">
        <f aca="false">IF($I22&gt;0%,IF(AND(HP$16&gt;=$F22,HP$16&lt;$F22+($G22*$I22)),"➤",""),"")</f>
        <v/>
      </c>
      <c r="HQ22" s="76" t="str">
        <f aca="false">IF($I22&gt;0%,IF(AND(HQ$16&gt;=$F22,HQ$16&lt;$F22+($G22*$I22)),"➤",""),"")</f>
        <v/>
      </c>
      <c r="HR22" s="76" t="str">
        <f aca="false">IF($I22&gt;0%,IF(AND(HR$16&gt;=$F22,HR$16&lt;$F22+($G22*$I22)),"➤",""),"")</f>
        <v/>
      </c>
      <c r="HS22" s="76" t="str">
        <f aca="false">IF($I22&gt;0%,IF(AND(HS$16&gt;=$F22,HS$16&lt;$F22+($G22*$I22)),"➤",""),"")</f>
        <v/>
      </c>
      <c r="HT22" s="76" t="str">
        <f aca="false">IF($I22&gt;0%,IF(AND(HT$16&gt;=$F22,HT$16&lt;$F22+($G22*$I22)),"➤",""),"")</f>
        <v/>
      </c>
      <c r="HU22" s="76" t="str">
        <f aca="false">IF($I22&gt;0%,IF(AND(HU$16&gt;=$F22,HU$16&lt;$F22+($G22*$I22)),"➤",""),"")</f>
        <v/>
      </c>
      <c r="HV22" s="76" t="str">
        <f aca="false">IF($I22&gt;0%,IF(AND(HV$16&gt;=$F22,HV$16&lt;$F22+($G22*$I22)),"➤",""),"")</f>
        <v/>
      </c>
      <c r="HW22" s="76" t="str">
        <f aca="false">IF($I22&gt;0%,IF(AND(HW$16&gt;=$F22,HW$16&lt;$F22+($G22*$I22)),"➤",""),"")</f>
        <v/>
      </c>
      <c r="HX22" s="76" t="str">
        <f aca="false">IF($I22&gt;0%,IF(AND(HX$16&gt;=$F22,HX$16&lt;$F22+($G22*$I22)),"➤",""),"")</f>
        <v/>
      </c>
      <c r="HY22" s="76" t="str">
        <f aca="false">IF($I22&gt;0%,IF(AND(HY$16&gt;=$F22,HY$16&lt;$F22+($G22*$I22)),"➤",""),"")</f>
        <v/>
      </c>
      <c r="HZ22" s="76" t="str">
        <f aca="false">IF($I22&gt;0%,IF(AND(HZ$16&gt;=$F22,HZ$16&lt;$F22+($G22*$I22)),"➤",""),"")</f>
        <v/>
      </c>
      <c r="IA22" s="76" t="str">
        <f aca="false">IF($I22&gt;0%,IF(AND(IA$16&gt;=$F22,IA$16&lt;$F22+($G22*$I22)),"➤",""),"")</f>
        <v/>
      </c>
      <c r="IB22" s="76" t="str">
        <f aca="false">IF($I22&gt;0%,IF(AND(IB$16&gt;=$F22,IB$16&lt;$F22+($G22*$I22)),"➤",""),"")</f>
        <v/>
      </c>
      <c r="IC22" s="76" t="str">
        <f aca="false">IF($I22&gt;0%,IF(AND(IC$16&gt;=$F22,IC$16&lt;$F22+($G22*$I22)),"➤",""),"")</f>
        <v/>
      </c>
      <c r="ID22" s="76" t="str">
        <f aca="false">IF($I22&gt;0%,IF(AND(ID$16&gt;=$F22,ID$16&lt;$F22+($G22*$I22)),"➤",""),"")</f>
        <v/>
      </c>
      <c r="IE22" s="76" t="str">
        <f aca="false">IF($I22&gt;0%,IF(AND(IE$16&gt;=$F22,IE$16&lt;$F22+($G22*$I22)),"➤",""),"")</f>
        <v/>
      </c>
      <c r="IF22" s="76" t="str">
        <f aca="false">IF($I22&gt;0%,IF(AND(IF$16&gt;=$F22,IF$16&lt;$F22+($G22*$I22)),"➤",""),"")</f>
        <v/>
      </c>
      <c r="IG22" s="76" t="str">
        <f aca="false">IF($I22&gt;0%,IF(AND(IG$16&gt;=$F22,IG$16&lt;$F22+($G22*$I22)),"➤",""),"")</f>
        <v/>
      </c>
      <c r="IH22" s="76" t="str">
        <f aca="false">IF($I22&gt;0%,IF(AND(IH$16&gt;=$F22,IH$16&lt;$F22+($G22*$I22)),"➤",""),"")</f>
        <v/>
      </c>
      <c r="II22" s="76" t="str">
        <f aca="false">IF($I22&gt;0%,IF(AND(II$16&gt;=$F22,II$16&lt;$F22+($G22*$I22)),"➤",""),"")</f>
        <v/>
      </c>
      <c r="IJ22" s="76" t="str">
        <f aca="false">IF($I22&gt;0%,IF(AND(IJ$16&gt;=$F22,IJ$16&lt;$F22+($G22*$I22)),"➤",""),"")</f>
        <v/>
      </c>
      <c r="IK22" s="76" t="str">
        <f aca="false">IF($I22&gt;0%,IF(AND(IK$16&gt;=$F22,IK$16&lt;$F22+($G22*$I22)),"➤",""),"")</f>
        <v/>
      </c>
      <c r="IL22" s="76" t="str">
        <f aca="false">IF($I22&gt;0%,IF(AND(IL$16&gt;=$F22,IL$16&lt;$F22+($G22*$I22)),"➤",""),"")</f>
        <v/>
      </c>
      <c r="IM22" s="76" t="str">
        <f aca="false">IF($I22&gt;0%,IF(AND(IM$16&gt;=$F22,IM$16&lt;$F22+($G22*$I22)),"➤",""),"")</f>
        <v/>
      </c>
      <c r="IN22" s="76" t="str">
        <f aca="false">IF($I22&gt;0%,IF(AND(IN$16&gt;=$F22,IN$16&lt;$F22+($G22*$I22)),"➤",""),"")</f>
        <v/>
      </c>
      <c r="IO22" s="76" t="str">
        <f aca="false">IF($I22&gt;0%,IF(AND(IO$16&gt;=$F22,IO$16&lt;$F22+($G22*$I22)),"➤",""),"")</f>
        <v/>
      </c>
      <c r="IP22" s="76" t="str">
        <f aca="false">IF($I22&gt;0%,IF(AND(IP$16&gt;=$F22,IP$16&lt;$F22+($G22*$I22)),"➤",""),"")</f>
        <v/>
      </c>
      <c r="IQ22" s="76" t="str">
        <f aca="false">IF($I22&gt;0%,IF(AND(IQ$16&gt;=$F22,IQ$16&lt;$F22+($G22*$I22)),"➤",""),"")</f>
        <v/>
      </c>
      <c r="IR22" s="76" t="str">
        <f aca="false">IF($I22&gt;0%,IF(AND(IR$16&gt;=$F22,IR$16&lt;$F22+($G22*$I22)),"➤",""),"")</f>
        <v/>
      </c>
      <c r="IS22" s="76" t="str">
        <f aca="false">IF($I22&gt;0%,IF(AND(IS$16&gt;=$F22,IS$16&lt;$F22+($G22*$I22)),"➤",""),"")</f>
        <v/>
      </c>
      <c r="IT22" s="76" t="str">
        <f aca="false">IF($I22&gt;0%,IF(AND(IT$16&gt;=$F22,IT$16&lt;$F22+($G22*$I22)),"➤",""),"")</f>
        <v/>
      </c>
      <c r="IU22" s="76" t="str">
        <f aca="false">IF($I22&gt;0%,IF(AND(IU$16&gt;=$F22,IU$16&lt;$F22+($G22*$I22)),"➤",""),"")</f>
        <v/>
      </c>
      <c r="IV22" s="76" t="str">
        <f aca="false">IF($I22&gt;0%,IF(AND(IV$16&gt;=$F22,IV$16&lt;$F22+($G22*$I22)),"➤",""),"")</f>
        <v/>
      </c>
      <c r="IW22" s="76" t="str">
        <f aca="false">IF($I22&gt;0%,IF(AND(IW$16&gt;=$F22,IW$16&lt;$F22+($G22*$I22)),"➤",""),"")</f>
        <v/>
      </c>
      <c r="IX22" s="76" t="str">
        <f aca="false">IF($I22&gt;0%,IF(AND(IX$16&gt;=$F22,IX$16&lt;$F22+($G22*$I22)),"➤",""),"")</f>
        <v/>
      </c>
      <c r="IY22" s="76" t="str">
        <f aca="false">IF($I22&gt;0%,IF(AND(IY$16&gt;=$F22,IY$16&lt;$F22+($G22*$I22)),"➤",""),"")</f>
        <v/>
      </c>
      <c r="IZ22" s="76" t="str">
        <f aca="false">IF($I22&gt;0%,IF(AND(IZ$16&gt;=$F22,IZ$16&lt;$F22+($G22*$I22)),"➤",""),"")</f>
        <v/>
      </c>
      <c r="JA22" s="76" t="str">
        <f aca="false">IF($I22&gt;0%,IF(AND(JA$16&gt;=$F22,JA$16&lt;$F22+($G22*$I22)),"➤",""),"")</f>
        <v/>
      </c>
      <c r="JB22" s="76" t="str">
        <f aca="false">IF($I22&gt;0%,IF(AND(JB$16&gt;=$F22,JB$16&lt;$F22+($G22*$I22)),"➤",""),"")</f>
        <v/>
      </c>
      <c r="JC22" s="76" t="str">
        <f aca="false">IF($I22&gt;0%,IF(AND(JC$16&gt;=$F22,JC$16&lt;$F22+($G22*$I22)),"➤",""),"")</f>
        <v/>
      </c>
      <c r="JD22" s="76" t="str">
        <f aca="false">IF($I22&gt;0%,IF(AND(JD$16&gt;=$F22,JD$16&lt;$F22+($G22*$I22)),"➤",""),"")</f>
        <v/>
      </c>
      <c r="JE22" s="76" t="str">
        <f aca="false">IF($I22&gt;0%,IF(AND(JE$16&gt;=$F22,JE$16&lt;$F22+($G22*$I22)),"➤",""),"")</f>
        <v/>
      </c>
      <c r="JF22" s="76" t="str">
        <f aca="false">IF($I22&gt;0%,IF(AND(JF$16&gt;=$F22,JF$16&lt;$F22+($G22*$I22)),"➤",""),"")</f>
        <v/>
      </c>
      <c r="JG22" s="76" t="str">
        <f aca="false">IF($I22&gt;0%,IF(AND(JG$16&gt;=$F22,JG$16&lt;$F22+($G22*$I22)),"➤",""),"")</f>
        <v/>
      </c>
      <c r="JH22" s="76" t="str">
        <f aca="false">IF($I22&gt;0%,IF(AND(JH$16&gt;=$F22,JH$16&lt;$F22+($G22*$I22)),"➤",""),"")</f>
        <v/>
      </c>
      <c r="JI22" s="76" t="str">
        <f aca="false">IF($I22&gt;0%,IF(AND(JI$16&gt;=$F22,JI$16&lt;$F22+($G22*$I22)),"➤",""),"")</f>
        <v/>
      </c>
      <c r="JJ22" s="76" t="str">
        <f aca="false">IF($I22&gt;0%,IF(AND(JJ$16&gt;=$F22,JJ$16&lt;$F22+($G22*$I22)),"➤",""),"")</f>
        <v/>
      </c>
      <c r="JK22" s="76" t="str">
        <f aca="false">IF($I22&gt;0%,IF(AND(JK$16&gt;=$F22,JK$16&lt;$F22+($G22*$I22)),"➤",""),"")</f>
        <v/>
      </c>
      <c r="JL22" s="76" t="str">
        <f aca="false">IF($I22&gt;0%,IF(AND(JL$16&gt;=$F22,JL$16&lt;$F22+($G22*$I22)),"➤",""),"")</f>
        <v/>
      </c>
      <c r="JM22" s="76" t="str">
        <f aca="false">IF($I22&gt;0%,IF(AND(JM$16&gt;=$F22,JM$16&lt;$F22+($G22*$I22)),"➤",""),"")</f>
        <v/>
      </c>
      <c r="JN22" s="76" t="str">
        <f aca="false">IF($I22&gt;0%,IF(AND(JN$16&gt;=$F22,JN$16&lt;$F22+($G22*$I22)),"➤",""),"")</f>
        <v/>
      </c>
      <c r="JO22" s="76" t="str">
        <f aca="false">IF($I22&gt;0%,IF(AND(JO$16&gt;=$F22,JO$16&lt;$F22+($G22*$I22)),"➤",""),"")</f>
        <v/>
      </c>
      <c r="JP22" s="76" t="str">
        <f aca="false">IF($I22&gt;0%,IF(AND(JP$16&gt;=$F22,JP$16&lt;$F22+($G22*$I22)),"➤",""),"")</f>
        <v/>
      </c>
      <c r="JQ22" s="76" t="str">
        <f aca="false">IF($I22&gt;0%,IF(AND(JQ$16&gt;=$F22,JQ$16&lt;$F22+($G22*$I22)),"➤",""),"")</f>
        <v/>
      </c>
      <c r="JR22" s="76" t="str">
        <f aca="false">IF($I22&gt;0%,IF(AND(JR$16&gt;=$F22,JR$16&lt;$F22+($G22*$I22)),"➤",""),"")</f>
        <v/>
      </c>
      <c r="JS22" s="76" t="str">
        <f aca="false">IF($I22&gt;0%,IF(AND(JS$16&gt;=$F22,JS$16&lt;$F22+($G22*$I22)),"➤",""),"")</f>
        <v/>
      </c>
      <c r="JT22" s="76" t="str">
        <f aca="false">IF($I22&gt;0%,IF(AND(JT$16&gt;=$F22,JT$16&lt;$F22+($G22*$I22)),"➤",""),"")</f>
        <v/>
      </c>
      <c r="JU22" s="76" t="str">
        <f aca="false">IF($I22&gt;0%,IF(AND(JU$16&gt;=$F22,JU$16&lt;$F22+($G22*$I22)),"➤",""),"")</f>
        <v/>
      </c>
      <c r="JV22" s="76" t="str">
        <f aca="false">IF($I22&gt;0%,IF(AND(JV$16&gt;=$F22,JV$16&lt;$F22+($G22*$I22)),"➤",""),"")</f>
        <v/>
      </c>
      <c r="JW22" s="76" t="str">
        <f aca="false">IF($I22&gt;0%,IF(AND(JW$16&gt;=$F22,JW$16&lt;$F22+($G22*$I22)),"➤",""),"")</f>
        <v/>
      </c>
      <c r="JX22" s="76" t="str">
        <f aca="false">IF($I22&gt;0%,IF(AND(JX$16&gt;=$F22,JX$16&lt;$F22+($G22*$I22)),"➤",""),"")</f>
        <v/>
      </c>
      <c r="JY22" s="76" t="str">
        <f aca="false">IF($I22&gt;0%,IF(AND(JY$16&gt;=$F22,JY$16&lt;$F22+($G22*$I22)),"➤",""),"")</f>
        <v/>
      </c>
      <c r="JZ22" s="76" t="str">
        <f aca="false">IF($I22&gt;0%,IF(AND(JZ$16&gt;=$F22,JZ$16&lt;$F22+($G22*$I22)),"➤",""),"")</f>
        <v/>
      </c>
      <c r="KA22" s="76" t="str">
        <f aca="false">IF($I22&gt;0%,IF(AND(KA$16&gt;=$F22,KA$16&lt;$F22+($G22*$I22)),"➤",""),"")</f>
        <v/>
      </c>
      <c r="KB22" s="76" t="str">
        <f aca="false">IF($I22&gt;0%,IF(AND(KB$16&gt;=$F22,KB$16&lt;$F22+($G22*$I22)),"➤",""),"")</f>
        <v/>
      </c>
      <c r="KC22" s="76" t="str">
        <f aca="false">IF($I22&gt;0%,IF(AND(KC$16&gt;=$F22,KC$16&lt;$F22+($G22*$I22)),"➤",""),"")</f>
        <v/>
      </c>
      <c r="KD22" s="76" t="str">
        <f aca="false">IF($I22&gt;0%,IF(AND(KD$16&gt;=$F22,KD$16&lt;$F22+($G22*$I22)),"➤",""),"")</f>
        <v/>
      </c>
      <c r="KE22" s="76" t="str">
        <f aca="false">IF($I22&gt;0%,IF(AND(KE$16&gt;=$F22,KE$16&lt;$F22+($G22*$I22)),"➤",""),"")</f>
        <v/>
      </c>
      <c r="KF22" s="76" t="str">
        <f aca="false">IF($I22&gt;0%,IF(AND(KF$16&gt;=$F22,KF$16&lt;$F22+($G22*$I22)),"➤",""),"")</f>
        <v/>
      </c>
      <c r="KG22" s="76" t="str">
        <f aca="false">IF($I22&gt;0%,IF(AND(KG$16&gt;=$F22,KG$16&lt;$F22+($G22*$I22)),"➤",""),"")</f>
        <v/>
      </c>
      <c r="KH22" s="76" t="str">
        <f aca="false">IF($I22&gt;0%,IF(AND(KH$16&gt;=$F22,KH$16&lt;$F22+($G22*$I22)),"➤",""),"")</f>
        <v/>
      </c>
      <c r="KI22" s="76" t="str">
        <f aca="false">IF($I22&gt;0%,IF(AND(KI$16&gt;=$F22,KI$16&lt;$F22+($G22*$I22)),"➤",""),"")</f>
        <v/>
      </c>
      <c r="KJ22" s="76" t="str">
        <f aca="false">IF($I22&gt;0%,IF(AND(KJ$16&gt;=$F22,KJ$16&lt;$F22+($G22*$I22)),"➤",""),"")</f>
        <v/>
      </c>
      <c r="KK22" s="76" t="str">
        <f aca="false">IF($I22&gt;0%,IF(AND(KK$16&gt;=$F22,KK$16&lt;$F22+($G22*$I22)),"➤",""),"")</f>
        <v/>
      </c>
      <c r="KL22" s="76" t="str">
        <f aca="false">IF($I22&gt;0%,IF(AND(KL$16&gt;=$F22,KL$16&lt;$F22+($G22*$I22)),"➤",""),"")</f>
        <v/>
      </c>
      <c r="KM22" s="76" t="str">
        <f aca="false">IF($I22&gt;0%,IF(AND(KM$16&gt;=$F22,KM$16&lt;$F22+($G22*$I22)),"➤",""),"")</f>
        <v/>
      </c>
      <c r="KN22" s="76" t="str">
        <f aca="false">IF($I22&gt;0%,IF(AND(KN$16&gt;=$F22,KN$16&lt;$F22+($G22*$I22)),"➤",""),"")</f>
        <v/>
      </c>
      <c r="KO22" s="76" t="str">
        <f aca="false">IF($I22&gt;0%,IF(AND(KO$16&gt;=$F22,KO$16&lt;$F22+($G22*$I22)),"➤",""),"")</f>
        <v/>
      </c>
      <c r="KP22" s="76" t="str">
        <f aca="false">IF($I22&gt;0%,IF(AND(KP$16&gt;=$F22,KP$16&lt;$F22+($G22*$I22)),"➤",""),"")</f>
        <v/>
      </c>
      <c r="KQ22" s="76" t="str">
        <f aca="false">IF($I22&gt;0%,IF(AND(KQ$16&gt;=$F22,KQ$16&lt;$F22+($G22*$I22)),"➤",""),"")</f>
        <v/>
      </c>
      <c r="KR22" s="76" t="str">
        <f aca="false">IF($I22&gt;0%,IF(AND(KR$16&gt;=$F22,KR$16&lt;$F22+($G22*$I22)),"➤",""),"")</f>
        <v/>
      </c>
      <c r="KS22" s="76" t="str">
        <f aca="false">IF($I22&gt;0%,IF(AND(KS$16&gt;=$F22,KS$16&lt;$F22+($G22*$I22)),"➤",""),"")</f>
        <v/>
      </c>
      <c r="KT22" s="76" t="str">
        <f aca="false">IF($I22&gt;0%,IF(AND(KT$16&gt;=$F22,KT$16&lt;$F22+($G22*$I22)),"➤",""),"")</f>
        <v/>
      </c>
      <c r="KU22" s="76" t="str">
        <f aca="false">IF($I22&gt;0%,IF(AND(KU$16&gt;=$F22,KU$16&lt;$F22+($G22*$I22)),"➤",""),"")</f>
        <v/>
      </c>
      <c r="KV22" s="76" t="str">
        <f aca="false">IF($I22&gt;0%,IF(AND(KV$16&gt;=$F22,KV$16&lt;$F22+($G22*$I22)),"➤",""),"")</f>
        <v/>
      </c>
      <c r="KW22" s="76" t="str">
        <f aca="false">IF($I22&gt;0%,IF(AND(KW$16&gt;=$F22,KW$16&lt;$F22+($G22*$I22)),"➤",""),"")</f>
        <v/>
      </c>
      <c r="KX22" s="76" t="str">
        <f aca="false">IF($I22&gt;0%,IF(AND(KX$16&gt;=$F22,KX$16&lt;$F22+($G22*$I22)),"➤",""),"")</f>
        <v/>
      </c>
      <c r="KY22" s="76" t="str">
        <f aca="false">IF($I22&gt;0%,IF(AND(KY$16&gt;=$F22,KY$16&lt;$F22+($G22*$I22)),"➤",""),"")</f>
        <v/>
      </c>
      <c r="KZ22" s="76" t="str">
        <f aca="false">IF($I22&gt;0%,IF(AND(KZ$16&gt;=$F22,KZ$16&lt;$F22+($G22*$I22)),"➤",""),"")</f>
        <v/>
      </c>
      <c r="LA22" s="76" t="str">
        <f aca="false">IF($I22&gt;0%,IF(AND(LA$16&gt;=$F22,LA$16&lt;$F22+($G22*$I22)),"➤",""),"")</f>
        <v/>
      </c>
      <c r="LB22" s="76" t="str">
        <f aca="false">IF($I22&gt;0%,IF(AND(LB$16&gt;=$F22,LB$16&lt;$F22+($G22*$I22)),"➤",""),"")</f>
        <v/>
      </c>
      <c r="LC22" s="76" t="str">
        <f aca="false">IF($I22&gt;0%,IF(AND(LC$16&gt;=$F22,LC$16&lt;$F22+($G22*$I22)),"➤",""),"")</f>
        <v/>
      </c>
      <c r="LD22" s="76" t="str">
        <f aca="false">IF($I22&gt;0%,IF(AND(LD$16&gt;=$F22,LD$16&lt;$F22+($G22*$I22)),"➤",""),"")</f>
        <v/>
      </c>
      <c r="LE22" s="76" t="str">
        <f aca="false">IF($I22&gt;0%,IF(AND(LE$16&gt;=$F22,LE$16&lt;$F22+($G22*$I22)),"➤",""),"")</f>
        <v/>
      </c>
      <c r="LF22" s="76" t="str">
        <f aca="false">IF($I22&gt;0%,IF(AND(LF$16&gt;=$F22,LF$16&lt;$F22+($G22*$I22)),"➤",""),"")</f>
        <v/>
      </c>
      <c r="LG22" s="76" t="str">
        <f aca="false">IF($I22&gt;0%,IF(AND(LG$16&gt;=$F22,LG$16&lt;$F22+($G22*$I22)),"➤",""),"")</f>
        <v/>
      </c>
      <c r="LH22" s="76" t="str">
        <f aca="false">IF($I22&gt;0%,IF(AND(LH$16&gt;=$F22,LH$16&lt;$F22+($G22*$I22)),"➤",""),"")</f>
        <v/>
      </c>
      <c r="LI22" s="76" t="str">
        <f aca="false">IF($I22&gt;0%,IF(AND(LI$16&gt;=$F22,LI$16&lt;$F22+($G22*$I22)),"➤",""),"")</f>
        <v/>
      </c>
      <c r="LJ22" s="76" t="str">
        <f aca="false">IF($I22&gt;0%,IF(AND(LJ$16&gt;=$F22,LJ$16&lt;$F22+($G22*$I22)),"➤",""),"")</f>
        <v/>
      </c>
      <c r="LK22" s="76" t="str">
        <f aca="false">IF($I22&gt;0%,IF(AND(LK$16&gt;=$F22,LK$16&lt;$F22+($G22*$I22)),"➤",""),"")</f>
        <v/>
      </c>
      <c r="LL22" s="76" t="str">
        <f aca="false">IF($I22&gt;0%,IF(AND(LL$16&gt;=$F22,LL$16&lt;$F22+($G22*$I22)),"➤",""),"")</f>
        <v/>
      </c>
      <c r="LM22" s="76" t="str">
        <f aca="false">IF($I22&gt;0%,IF(AND(LM$16&gt;=$F22,LM$16&lt;$F22+($G22*$I22)),"➤",""),"")</f>
        <v/>
      </c>
      <c r="LN22" s="76" t="str">
        <f aca="false">IF($I22&gt;0%,IF(AND(LN$16&gt;=$F22,LN$16&lt;$F22+($G22*$I22)),"➤",""),"")</f>
        <v/>
      </c>
      <c r="LO22" s="76" t="str">
        <f aca="false">IF($I22&gt;0%,IF(AND(LO$16&gt;=$F22,LO$16&lt;$F22+($G22*$I22)),"➤",""),"")</f>
        <v/>
      </c>
      <c r="LP22" s="76" t="str">
        <f aca="false">IF($I22&gt;0%,IF(AND(LP$16&gt;=$F22,LP$16&lt;$F22+($G22*$I22)),"➤",""),"")</f>
        <v/>
      </c>
      <c r="LQ22" s="76" t="str">
        <f aca="false">IF($I22&gt;0%,IF(AND(LQ$16&gt;=$F22,LQ$16&lt;$F22+($G22*$I22)),"➤",""),"")</f>
        <v/>
      </c>
      <c r="LR22" s="76" t="str">
        <f aca="false">IF($I22&gt;0%,IF(AND(LR$16&gt;=$F22,LR$16&lt;$F22+($G22*$I22)),"➤",""),"")</f>
        <v/>
      </c>
      <c r="LS22" s="76" t="str">
        <f aca="false">IF($I22&gt;0%,IF(AND(LS$16&gt;=$F22,LS$16&lt;$F22+($G22*$I22)),"➤",""),"")</f>
        <v/>
      </c>
      <c r="LT22" s="76" t="str">
        <f aca="false">IF($I22&gt;0%,IF(AND(LT$16&gt;=$F22,LT$16&lt;$F22+($G22*$I22)),"➤",""),"")</f>
        <v/>
      </c>
      <c r="LU22" s="76" t="str">
        <f aca="false">IF($I22&gt;0%,IF(AND(LU$16&gt;=$F22,LU$16&lt;$F22+($G22*$I22)),"➤",""),"")</f>
        <v/>
      </c>
      <c r="LV22" s="76" t="str">
        <f aca="false">IF($I22&gt;0%,IF(AND(LV$16&gt;=$F22,LV$16&lt;$F22+($G22*$I22)),"➤",""),"")</f>
        <v/>
      </c>
      <c r="LW22" s="76" t="str">
        <f aca="false">IF($I22&gt;0%,IF(AND(LW$16&gt;=$F22,LW$16&lt;$F22+($G22*$I22)),"➤",""),"")</f>
        <v/>
      </c>
      <c r="LX22" s="76" t="str">
        <f aca="false">IF($I22&gt;0%,IF(AND(LX$16&gt;=$F22,LX$16&lt;$F22+($G22*$I22)),"➤",""),"")</f>
        <v/>
      </c>
      <c r="LY22" s="76" t="str">
        <f aca="false">IF($I22&gt;0%,IF(AND(LY$16&gt;=$F22,LY$16&lt;$F22+($G22*$I22)),"➤",""),"")</f>
        <v/>
      </c>
      <c r="LZ22" s="76" t="str">
        <f aca="false">IF($I22&gt;0%,IF(AND(LZ$16&gt;=$F22,LZ$16&lt;$F22+($G22*$I22)),"➤",""),"")</f>
        <v/>
      </c>
      <c r="MA22" s="76" t="str">
        <f aca="false">IF($I22&gt;0%,IF(AND(MA$16&gt;=$F22,MA$16&lt;$F22+($G22*$I22)),"➤",""),"")</f>
        <v/>
      </c>
      <c r="MB22" s="76" t="str">
        <f aca="false">IF($I22&gt;0%,IF(AND(MB$16&gt;=$F22,MB$16&lt;$F22+($G22*$I22)),"➤",""),"")</f>
        <v/>
      </c>
      <c r="MC22" s="76" t="str">
        <f aca="false">IF($I22&gt;0%,IF(AND(MC$16&gt;=$F22,MC$16&lt;$F22+($G22*$I22)),"➤",""),"")</f>
        <v/>
      </c>
      <c r="MD22" s="76" t="str">
        <f aca="false">IF($I22&gt;0%,IF(AND(MD$16&gt;=$F22,MD$16&lt;$F22+($G22*$I22)),"➤",""),"")</f>
        <v/>
      </c>
      <c r="ME22" s="76" t="str">
        <f aca="false">IF($I22&gt;0%,IF(AND(ME$16&gt;=$F22,ME$16&lt;$F22+($G22*$I22)),"➤",""),"")</f>
        <v/>
      </c>
      <c r="MF22" s="76" t="str">
        <f aca="false">IF($I22&gt;0%,IF(AND(MF$16&gt;=$F22,MF$16&lt;$F22+($G22*$I22)),"➤",""),"")</f>
        <v/>
      </c>
      <c r="MG22" s="76" t="str">
        <f aca="false">IF($I22&gt;0%,IF(AND(MG$16&gt;=$F22,MG$16&lt;$F22+($G22*$I22)),"➤",""),"")</f>
        <v/>
      </c>
      <c r="MH22" s="76" t="str">
        <f aca="false">IF($I22&gt;0%,IF(AND(MH$16&gt;=$F22,MH$16&lt;$F22+($G22*$I22)),"➤",""),"")</f>
        <v/>
      </c>
      <c r="MI22" s="76" t="str">
        <f aca="false">IF($I22&gt;0%,IF(AND(MI$16&gt;=$F22,MI$16&lt;$F22+($G22*$I22)),"➤",""),"")</f>
        <v/>
      </c>
      <c r="MJ22" s="76" t="str">
        <f aca="false">IF($I22&gt;0%,IF(AND(MJ$16&gt;=$F22,MJ$16&lt;$F22+($G22*$I22)),"➤",""),"")</f>
        <v/>
      </c>
      <c r="MK22" s="76" t="str">
        <f aca="false">IF($I22&gt;0%,IF(AND(MK$16&gt;=$F22,MK$16&lt;$F22+($G22*$I22)),"➤",""),"")</f>
        <v/>
      </c>
      <c r="ML22" s="76" t="str">
        <f aca="false">IF($I22&gt;0%,IF(AND(ML$16&gt;=$F22,ML$16&lt;$F22+($G22*$I22)),"➤",""),"")</f>
        <v/>
      </c>
      <c r="MM22" s="76" t="str">
        <f aca="false">IF($I22&gt;0%,IF(AND(MM$16&gt;=$F22,MM$16&lt;$F22+($G22*$I22)),"➤",""),"")</f>
        <v/>
      </c>
      <c r="MN22" s="76" t="str">
        <f aca="false">IF($I22&gt;0%,IF(AND(MN$16&gt;=$F22,MN$16&lt;$F22+($G22*$I22)),"➤",""),"")</f>
        <v/>
      </c>
      <c r="MO22" s="76" t="str">
        <f aca="false">IF($I22&gt;0%,IF(AND(MO$16&gt;=$F22,MO$16&lt;$F22+($G22*$I22)),"➤",""),"")</f>
        <v/>
      </c>
      <c r="MP22" s="76" t="str">
        <f aca="false">IF($I22&gt;0%,IF(AND(MP$16&gt;=$F22,MP$16&lt;$F22+($G22*$I22)),"➤",""),"")</f>
        <v/>
      </c>
      <c r="MQ22" s="76" t="str">
        <f aca="false">IF($I22&gt;0%,IF(AND(MQ$16&gt;=$F22,MQ$16&lt;$F22+($G22*$I22)),"➤",""),"")</f>
        <v/>
      </c>
      <c r="MR22" s="76" t="str">
        <f aca="false">IF($I22&gt;0%,IF(AND(MR$16&gt;=$F22,MR$16&lt;$F22+($G22*$I22)),"➤",""),"")</f>
        <v/>
      </c>
      <c r="MS22" s="76" t="str">
        <f aca="false">IF($I22&gt;0%,IF(AND(MS$16&gt;=$F22,MS$16&lt;$F22+($G22*$I22)),"➤",""),"")</f>
        <v/>
      </c>
      <c r="MT22" s="76" t="str">
        <f aca="false">IF($I22&gt;0%,IF(AND(MT$16&gt;=$F22,MT$16&lt;$F22+($G22*$I22)),"➤",""),"")</f>
        <v/>
      </c>
      <c r="MU22" s="76" t="str">
        <f aca="false">IF($I22&gt;0%,IF(AND(MU$16&gt;=$F22,MU$16&lt;$F22+($G22*$I22)),"➤",""),"")</f>
        <v/>
      </c>
      <c r="MV22" s="76" t="str">
        <f aca="false">IF($I22&gt;0%,IF(AND(MV$16&gt;=$F22,MV$16&lt;$F22+($G22*$I22)),"➤",""),"")</f>
        <v/>
      </c>
      <c r="MW22" s="76" t="str">
        <f aca="false">IF($I22&gt;0%,IF(AND(MW$16&gt;=$F22,MW$16&lt;$F22+($G22*$I22)),"➤",""),"")</f>
        <v/>
      </c>
      <c r="MX22" s="76" t="str">
        <f aca="false">IF($I22&gt;0%,IF(AND(MX$16&gt;=$F22,MX$16&lt;$F22+($G22*$I22)),"➤",""),"")</f>
        <v/>
      </c>
      <c r="MY22" s="76" t="str">
        <f aca="false">IF($I22&gt;0%,IF(AND(MY$16&gt;=$F22,MY$16&lt;$F22+($G22*$I22)),"➤",""),"")</f>
        <v/>
      </c>
      <c r="MZ22" s="76" t="str">
        <f aca="false">IF($I22&gt;0%,IF(AND(MZ$16&gt;=$F22,MZ$16&lt;$F22+($G22*$I22)),"➤",""),"")</f>
        <v/>
      </c>
      <c r="NA22" s="76" t="str">
        <f aca="false">IF($I22&gt;0%,IF(AND(NA$16&gt;=$F22,NA$16&lt;$F22+($G22*$I22)),"➤",""),"")</f>
        <v/>
      </c>
      <c r="NB22" s="76" t="str">
        <f aca="false">IF($I22&gt;0%,IF(AND(NB$16&gt;=$F22,NB$16&lt;$F22+($G22*$I22)),"➤",""),"")</f>
        <v/>
      </c>
      <c r="NC22" s="76" t="str">
        <f aca="false">IF($I22&gt;0%,IF(AND(NC$16&gt;=$F22,NC$16&lt;$F22+($G22*$I22)),"➤",""),"")</f>
        <v/>
      </c>
      <c r="ND22" s="76" t="str">
        <f aca="false">IF($I22&gt;0%,IF(AND(ND$16&gt;=$F22,ND$16&lt;$F22+($G22*$I22)),"➤",""),"")</f>
        <v/>
      </c>
      <c r="NE22" s="76" t="str">
        <f aca="false">IF($I22&gt;0%,IF(AND(NE$16&gt;=$F22,NE$16&lt;$F22+($G22*$I22)),"➤",""),"")</f>
        <v/>
      </c>
      <c r="NF22" s="76" t="str">
        <f aca="false">IF($I22&gt;0%,IF(AND(NF$16&gt;=$F22,NF$16&lt;$F22+($G22*$I22)),"➤",""),"")</f>
        <v/>
      </c>
      <c r="NG22" s="76" t="str">
        <f aca="false">IF($I22&gt;0%,IF(AND(NG$16&gt;=$F22,NG$16&lt;$F22+($G22*$I22)),"➤",""),"")</f>
        <v/>
      </c>
      <c r="NH22" s="76" t="str">
        <f aca="false">IF($I22&gt;0%,IF(AND(NH$16&gt;=$F22,NH$16&lt;$F22+($G22*$I22)),"➤",""),"")</f>
        <v/>
      </c>
      <c r="NI22" s="76" t="str">
        <f aca="false">IF($I22&gt;0%,IF(AND(NI$16&gt;=$F22,NI$16&lt;$F22+($G22*$I22)),"➤",""),"")</f>
        <v/>
      </c>
      <c r="NJ22" s="76" t="str">
        <f aca="false">IF($I22&gt;0%,IF(AND(NJ$16&gt;=$F22,NJ$16&lt;$F22+($G22*$I22)),"➤",""),"")</f>
        <v/>
      </c>
      <c r="NK22" s="76" t="str">
        <f aca="false">IF($I22&gt;0%,IF(AND(NK$16&gt;=$F22,NK$16&lt;$F22+($G22*$I22)),"➤",""),"")</f>
        <v/>
      </c>
      <c r="NL22" s="76" t="str">
        <f aca="false">IF($I22&gt;0%,IF(AND(NL$16&gt;=$F22,NL$16&lt;$F22+($G22*$I22)),"➤",""),"")</f>
        <v/>
      </c>
      <c r="NM22" s="76" t="str">
        <f aca="false">IF($I22&gt;0%,IF(AND(NM$16&gt;=$F22,NM$16&lt;$F22+($G22*$I22)),"➤",""),"")</f>
        <v/>
      </c>
      <c r="NN22" s="76" t="str">
        <f aca="false">IF($I22&gt;0%,IF(AND(NN$16&gt;=$F22,NN$16&lt;$F22+($G22*$I22)),"➤",""),"")</f>
        <v/>
      </c>
      <c r="NO22" s="76" t="str">
        <f aca="false">IF($I22&gt;0%,IF(AND(NO$16&gt;=$F22,NO$16&lt;$F22+($G22*$I22)),"➤",""),"")</f>
        <v/>
      </c>
      <c r="NP22" s="76" t="str">
        <f aca="false">IF($I22&gt;0%,IF(AND(NP$16&gt;=$F22,NP$16&lt;$F22+($G22*$I22)),"➤",""),"")</f>
        <v/>
      </c>
      <c r="NQ22" s="76" t="str">
        <f aca="false">IF($I22&gt;0%,IF(AND(NQ$16&gt;=$F22,NQ$16&lt;$F22+($G22*$I22)),"➤",""),"")</f>
        <v/>
      </c>
      <c r="NR22" s="76" t="str">
        <f aca="false">IF($I22&gt;0%,IF(AND(NR$16&gt;=$F22,NR$16&lt;$F22+($G22*$I22)),"➤",""),"")</f>
        <v/>
      </c>
      <c r="NS22" s="76" t="str">
        <f aca="false">IF($I22&gt;0%,IF(AND(NS$16&gt;=$F22,NS$16&lt;$F22+($G22*$I22)),"➤",""),"")</f>
        <v/>
      </c>
      <c r="NT22" s="76" t="str">
        <f aca="false">IF($I22&gt;0%,IF(AND(NT$16&gt;=$F22,NT$16&lt;$F22+($G22*$I22)),"➤",""),"")</f>
        <v/>
      </c>
      <c r="NU22" s="76" t="str">
        <f aca="false">IF($I22&gt;0%,IF(AND(NU$16&gt;=$F22,NU$16&lt;$F22+($G22*$I22)),"➤",""),"")</f>
        <v/>
      </c>
      <c r="NV22" s="76" t="str">
        <f aca="false">IF($I22&gt;0%,IF(AND(NV$16&gt;=$F22,NV$16&lt;$F22+($G22*$I22)),"➤",""),"")</f>
        <v/>
      </c>
      <c r="NW22" s="76" t="str">
        <f aca="false">IF($I22&gt;0%,IF(AND(NW$16&gt;=$F22,NW$16&lt;$F22+($G22*$I22)),"➤",""),"")</f>
        <v/>
      </c>
      <c r="NX22" s="76" t="str">
        <f aca="false">IF($I22&gt;0%,IF(AND(NX$16&gt;=$F22,NX$16&lt;$F22+($G22*$I22)),"➤",""),"")</f>
        <v/>
      </c>
      <c r="NY22" s="76" t="str">
        <f aca="false">IF($I22&gt;0%,IF(AND(NY$16&gt;=$F22,NY$16&lt;$F22+($G22*$I22)),"➤",""),"")</f>
        <v/>
      </c>
      <c r="NZ22" s="76" t="str">
        <f aca="false">IF($I22&gt;0%,IF(AND(NZ$16&gt;=$F22,NZ$16&lt;$F22+($G22*$I22)),"➤",""),"")</f>
        <v/>
      </c>
      <c r="OA22" s="76" t="str">
        <f aca="false">IF($I22&gt;0%,IF(AND(OA$16&gt;=$F22,OA$16&lt;$F22+($G22*$I22)),"➤",""),"")</f>
        <v/>
      </c>
      <c r="OB22" s="76" t="str">
        <f aca="false">IF($I22&gt;0%,IF(AND(OB$16&gt;=$F22,OB$16&lt;$F22+($G22*$I22)),"➤",""),"")</f>
        <v/>
      </c>
      <c r="OC22" s="76" t="str">
        <f aca="false">IF($I22&gt;0%,IF(AND(OC$16&gt;=$F22,OC$16&lt;$F22+($G22*$I22)),"➤",""),"")</f>
        <v/>
      </c>
      <c r="OD22" s="76" t="str">
        <f aca="false">IF($I22&gt;0%,IF(AND(OD$16&gt;=$F22,OD$16&lt;$F22+($G22*$I22)),"➤",""),"")</f>
        <v/>
      </c>
      <c r="OE22" s="76" t="str">
        <f aca="false">IF($I22&gt;0%,IF(AND(OE$16&gt;=$F22,OE$16&lt;$F22+($G22*$I22)),"➤",""),"")</f>
        <v/>
      </c>
      <c r="OF22" s="76" t="str">
        <f aca="false">IF($I22&gt;0%,IF(AND(OF$16&gt;=$F22,OF$16&lt;$F22+($G22*$I22)),"➤",""),"")</f>
        <v/>
      </c>
      <c r="OG22" s="76" t="str">
        <f aca="false">IF($I22&gt;0%,IF(AND(OG$16&gt;=$F22,OG$16&lt;$F22+($G22*$I22)),"➤",""),"")</f>
        <v/>
      </c>
      <c r="OH22" s="76" t="str">
        <f aca="false">IF($I22&gt;0%,IF(AND(OH$16&gt;=$F22,OH$16&lt;$F22+($G22*$I22)),"➤",""),"")</f>
        <v/>
      </c>
      <c r="OI22" s="76" t="str">
        <f aca="false">IF($I22&gt;0%,IF(AND(OI$16&gt;=$F22,OI$16&lt;$F22+($G22*$I22)),"➤",""),"")</f>
        <v/>
      </c>
      <c r="OJ22" s="76" t="str">
        <f aca="false">IF($I22&gt;0%,IF(AND(OJ$16&gt;=$F22,OJ$16&lt;$F22+($G22*$I22)),"➤",""),"")</f>
        <v/>
      </c>
      <c r="OK22" s="76" t="str">
        <f aca="false">IF($I22&gt;0%,IF(AND(OK$16&gt;=$F22,OK$16&lt;$F22+($G22*$I22)),"➤",""),"")</f>
        <v/>
      </c>
      <c r="OL22" s="76" t="str">
        <f aca="false">IF($I22&gt;0%,IF(AND(OL$16&gt;=$F22,OL$16&lt;$F22+($G22*$I22)),"➤",""),"")</f>
        <v/>
      </c>
      <c r="OM22" s="76" t="str">
        <f aca="false">IF($I22&gt;0%,IF(AND(OM$16&gt;=$F22,OM$16&lt;$F22+($G22*$I22)),"➤",""),"")</f>
        <v/>
      </c>
      <c r="ON22" s="76" t="str">
        <f aca="false">IF($I22&gt;0%,IF(AND(ON$16&gt;=$F22,ON$16&lt;$F22+($G22*$I22)),"➤",""),"")</f>
        <v/>
      </c>
      <c r="OO22" s="76" t="str">
        <f aca="false">IF($I22&gt;0%,IF(AND(OO$16&gt;=$F22,OO$16&lt;$F22+($G22*$I22)),"➤",""),"")</f>
        <v/>
      </c>
      <c r="OP22" s="76" t="str">
        <f aca="false">IF($I22&gt;0%,IF(AND(OP$16&gt;=$F22,OP$16&lt;$F22+($G22*$I22)),"➤",""),"")</f>
        <v/>
      </c>
      <c r="OQ22" s="76" t="str">
        <f aca="false">IF($I22&gt;0%,IF(AND(OQ$16&gt;=$F22,OQ$16&lt;$F22+($G22*$I22)),"➤",""),"")</f>
        <v/>
      </c>
      <c r="OR22" s="76" t="str">
        <f aca="false">IF($I22&gt;0%,IF(AND(OR$16&gt;=$F22,OR$16&lt;$F22+($G22*$I22)),"➤",""),"")</f>
        <v/>
      </c>
      <c r="OS22" s="76" t="str">
        <f aca="false">IF($I22&gt;0%,IF(AND(OS$16&gt;=$F22,OS$16&lt;$F22+($G22*$I22)),"➤",""),"")</f>
        <v/>
      </c>
      <c r="OT22" s="76" t="str">
        <f aca="false">IF($I22&gt;0%,IF(AND(OT$16&gt;=$F22,OT$16&lt;$F22+($G22*$I22)),"➤",""),"")</f>
        <v/>
      </c>
      <c r="OU22" s="76" t="str">
        <f aca="false">IF($I22&gt;0%,IF(AND(OU$16&gt;=$F22,OU$16&lt;$F22+($G22*$I22)),"➤",""),"")</f>
        <v/>
      </c>
      <c r="OV22" s="76" t="str">
        <f aca="false">IF($I22&gt;0%,IF(AND(OV$16&gt;=$F22,OV$16&lt;$F22+($G22*$I22)),"➤",""),"")</f>
        <v/>
      </c>
      <c r="OW22" s="76" t="str">
        <f aca="false">IF($I22&gt;0%,IF(AND(OW$16&gt;=$F22,OW$16&lt;$F22+($G22*$I22)),"➤",""),"")</f>
        <v/>
      </c>
      <c r="OX22" s="76" t="str">
        <f aca="false">IF($I22&gt;0%,IF(AND(OX$16&gt;=$F22,OX$16&lt;$F22+($G22*$I22)),"➤",""),"")</f>
        <v/>
      </c>
      <c r="OY22" s="76" t="str">
        <f aca="false">IF($I22&gt;0%,IF(AND(OY$16&gt;=$F22,OY$16&lt;$F22+($G22*$I22)),"➤",""),"")</f>
        <v/>
      </c>
      <c r="OZ22" s="76" t="str">
        <f aca="false">IF($I22&gt;0%,IF(AND(OZ$16&gt;=$F22,OZ$16&lt;$F22+($G22*$I22)),"➤",""),"")</f>
        <v/>
      </c>
      <c r="PA22" s="76" t="str">
        <f aca="false">IF($I22&gt;0%,IF(AND(PA$16&gt;=$F22,PA$16&lt;$F22+($G22*$I22)),"➤",""),"")</f>
        <v/>
      </c>
      <c r="PB22" s="76" t="str">
        <f aca="false">IF($I22&gt;0%,IF(AND(PB$16&gt;=$F22,PB$16&lt;$F22+($G22*$I22)),"➤",""),"")</f>
        <v/>
      </c>
      <c r="PC22" s="76" t="str">
        <f aca="false">IF($I22&gt;0%,IF(AND(PC$16&gt;=$F22,PC$16&lt;$F22+($G22*$I22)),"➤",""),"")</f>
        <v/>
      </c>
      <c r="PD22" s="76" t="str">
        <f aca="false">IF($I22&gt;0%,IF(AND(PD$16&gt;=$F22,PD$16&lt;$F22+($G22*$I22)),"➤",""),"")</f>
        <v/>
      </c>
      <c r="PE22" s="76" t="str">
        <f aca="false">IF($I22&gt;0%,IF(AND(PE$16&gt;=$F22,PE$16&lt;$F22+($G22*$I22)),"➤",""),"")</f>
        <v/>
      </c>
      <c r="PF22" s="76" t="str">
        <f aca="false">IF($I22&gt;0%,IF(AND(PF$16&gt;=$F22,PF$16&lt;$F22+($G22*$I22)),"➤",""),"")</f>
        <v/>
      </c>
      <c r="PG22" s="76" t="str">
        <f aca="false">IF($I22&gt;0%,IF(AND(PG$16&gt;=$F22,PG$16&lt;$F22+($G22*$I22)),"➤",""),"")</f>
        <v/>
      </c>
      <c r="PH22" s="76" t="str">
        <f aca="false">IF($I22&gt;0%,IF(AND(PH$16&gt;=$F22,PH$16&lt;$F22+($G22*$I22)),"➤",""),"")</f>
        <v/>
      </c>
      <c r="PI22" s="76" t="str">
        <f aca="false">IF($I22&gt;0%,IF(AND(PI$16&gt;=$F22,PI$16&lt;$F22+($G22*$I22)),"➤",""),"")</f>
        <v/>
      </c>
      <c r="PJ22" s="76" t="str">
        <f aca="false">IF($I22&gt;0%,IF(AND(PJ$16&gt;=$F22,PJ$16&lt;$F22+($G22*$I22)),"➤",""),"")</f>
        <v/>
      </c>
      <c r="PK22" s="76" t="str">
        <f aca="false">IF($I22&gt;0%,IF(AND(PK$16&gt;=$F22,PK$16&lt;$F22+($G22*$I22)),"➤",""),"")</f>
        <v/>
      </c>
      <c r="PL22" s="76" t="str">
        <f aca="false">IF($I22&gt;0%,IF(AND(PL$16&gt;=$F22,PL$16&lt;$F22+($G22*$I22)),"➤",""),"")</f>
        <v/>
      </c>
      <c r="PM22" s="76" t="str">
        <f aca="false">IF($I22&gt;0%,IF(AND(PM$16&gt;=$F22,PM$16&lt;$F22+($G22*$I22)),"➤",""),"")</f>
        <v/>
      </c>
      <c r="PN22" s="76" t="str">
        <f aca="false">IF($I22&gt;0%,IF(AND(PN$16&gt;=$F22,PN$16&lt;$F22+($G22*$I22)),"➤",""),"")</f>
        <v/>
      </c>
      <c r="PO22" s="76" t="str">
        <f aca="false">IF($I22&gt;0%,IF(AND(PO$16&gt;=$F22,PO$16&lt;$F22+($G22*$I22)),"➤",""),"")</f>
        <v/>
      </c>
      <c r="PP22" s="76" t="str">
        <f aca="false">IF($I22&gt;0%,IF(AND(PP$16&gt;=$F22,PP$16&lt;$F22+($G22*$I22)),"➤",""),"")</f>
        <v/>
      </c>
      <c r="PQ22" s="76" t="str">
        <f aca="false">IF($I22&gt;0%,IF(AND(PQ$16&gt;=$F22,PQ$16&lt;$F22+($G22*$I22)),"➤",""),"")</f>
        <v/>
      </c>
      <c r="PR22" s="76" t="str">
        <f aca="false">IF($I22&gt;0%,IF(AND(PR$16&gt;=$F22,PR$16&lt;$F22+($G22*$I22)),"➤",""),"")</f>
        <v/>
      </c>
      <c r="PS22" s="76" t="str">
        <f aca="false">IF($I22&gt;0%,IF(AND(PS$16&gt;=$F22,PS$16&lt;$F22+($G22*$I22)),"➤",""),"")</f>
        <v/>
      </c>
      <c r="PT22" s="76" t="str">
        <f aca="false">IF($I22&gt;0%,IF(AND(PT$16&gt;=$F22,PT$16&lt;$F22+($G22*$I22)),"➤",""),"")</f>
        <v/>
      </c>
      <c r="PU22" s="76" t="str">
        <f aca="false">IF($I22&gt;0%,IF(AND(PU$16&gt;=$F22,PU$16&lt;$F22+($G22*$I22)),"➤",""),"")</f>
        <v/>
      </c>
      <c r="PV22" s="76" t="str">
        <f aca="false">IF($I22&gt;0%,IF(AND(PV$16&gt;=$F22,PV$16&lt;$F22+($G22*$I22)),"➤",""),"")</f>
        <v/>
      </c>
      <c r="PW22" s="76" t="str">
        <f aca="false">IF($I22&gt;0%,IF(AND(PW$16&gt;=$F22,PW$16&lt;$F22+($G22*$I22)),"➤",""),"")</f>
        <v/>
      </c>
      <c r="PX22" s="76" t="str">
        <f aca="false">IF($I22&gt;0%,IF(AND(PX$16&gt;=$F22,PX$16&lt;$F22+($G22*$I22)),"➤",""),"")</f>
        <v/>
      </c>
      <c r="PY22" s="76" t="str">
        <f aca="false">IF($I22&gt;0%,IF(AND(PY$16&gt;=$F22,PY$16&lt;$F22+($G22*$I22)),"➤",""),"")</f>
        <v/>
      </c>
      <c r="PZ22" s="76" t="str">
        <f aca="false">IF($I22&gt;0%,IF(AND(PZ$16&gt;=$F22,PZ$16&lt;$F22+($G22*$I22)),"➤",""),"")</f>
        <v/>
      </c>
      <c r="QA22" s="76" t="str">
        <f aca="false">IF($I22&gt;0%,IF(AND(QA$16&gt;=$F22,QA$16&lt;$F22+($G22*$I22)),"➤",""),"")</f>
        <v/>
      </c>
      <c r="QB22" s="76" t="str">
        <f aca="false">IF($I22&gt;0%,IF(AND(QB$16&gt;=$F22,QB$16&lt;$F22+($G22*$I22)),"➤",""),"")</f>
        <v/>
      </c>
      <c r="QC22" s="76" t="str">
        <f aca="false">IF($I22&gt;0%,IF(AND(QC$16&gt;=$F22,QC$16&lt;$F22+($G22*$I22)),"➤",""),"")</f>
        <v/>
      </c>
      <c r="QD22" s="76" t="str">
        <f aca="false">IF($I22&gt;0%,IF(AND(QD$16&gt;=$F22,QD$16&lt;$F22+($G22*$I22)),"➤",""),"")</f>
        <v/>
      </c>
      <c r="QE22" s="76" t="str">
        <f aca="false">IF($I22&gt;0%,IF(AND(QE$16&gt;=$F22,QE$16&lt;$F22+($G22*$I22)),"➤",""),"")</f>
        <v/>
      </c>
      <c r="QF22" s="76" t="str">
        <f aca="false">IF($I22&gt;0%,IF(AND(QF$16&gt;=$F22,QF$16&lt;$F22+($G22*$I22)),"➤",""),"")</f>
        <v/>
      </c>
      <c r="QG22" s="76" t="str">
        <f aca="false">IF($I22&gt;0%,IF(AND(QG$16&gt;=$F22,QG$16&lt;$F22+($G22*$I22)),"➤",""),"")</f>
        <v/>
      </c>
      <c r="QH22" s="76" t="str">
        <f aca="false">IF($I22&gt;0%,IF(AND(QH$16&gt;=$F22,QH$16&lt;$F22+($G22*$I22)),"➤",""),"")</f>
        <v/>
      </c>
      <c r="QI22" s="76" t="str">
        <f aca="false">IF($I22&gt;0%,IF(AND(QI$16&gt;=$F22,QI$16&lt;$F22+($G22*$I22)),"➤",""),"")</f>
        <v/>
      </c>
      <c r="QJ22" s="76" t="str">
        <f aca="false">IF($I22&gt;0%,IF(AND(QJ$16&gt;=$F22,QJ$16&lt;$F22+($G22*$I22)),"➤",""),"")</f>
        <v/>
      </c>
      <c r="QK22" s="76" t="str">
        <f aca="false">IF($I22&gt;0%,IF(AND(QK$16&gt;=$F22,QK$16&lt;$F22+($G22*$I22)),"➤",""),"")</f>
        <v/>
      </c>
      <c r="QL22" s="76" t="str">
        <f aca="false">IF($I22&gt;0%,IF(AND(QL$16&gt;=$F22,QL$16&lt;$F22+($G22*$I22)),"➤",""),"")</f>
        <v/>
      </c>
      <c r="QM22" s="76" t="str">
        <f aca="false">IF($I22&gt;0%,IF(AND(QM$16&gt;=$F22,QM$16&lt;$F22+($G22*$I22)),"➤",""),"")</f>
        <v/>
      </c>
      <c r="QN22" s="76" t="str">
        <f aca="false">IF($I22&gt;0%,IF(AND(QN$16&gt;=$F22,QN$16&lt;$F22+($G22*$I22)),"➤",""),"")</f>
        <v/>
      </c>
      <c r="QO22" s="76" t="str">
        <f aca="false">IF($I22&gt;0%,IF(AND(QO$16&gt;=$F22,QO$16&lt;$F22+($G22*$I22)),"➤",""),"")</f>
        <v/>
      </c>
      <c r="QP22" s="76" t="str">
        <f aca="false">IF($I22&gt;0%,IF(AND(QP$16&gt;=$F22,QP$16&lt;$F22+($G22*$I22)),"➤",""),"")</f>
        <v/>
      </c>
      <c r="QQ22" s="76" t="str">
        <f aca="false">IF($I22&gt;0%,IF(AND(QQ$16&gt;=$F22,QQ$16&lt;$F22+($G22*$I22)),"➤",""),"")</f>
        <v/>
      </c>
      <c r="QR22" s="76" t="str">
        <f aca="false">IF($I22&gt;0%,IF(AND(QR$16&gt;=$F22,QR$16&lt;$F22+($G22*$I22)),"➤",""),"")</f>
        <v/>
      </c>
      <c r="QS22" s="76" t="str">
        <f aca="false">IF($I22&gt;0%,IF(AND(QS$16&gt;=$F22,QS$16&lt;$F22+($G22*$I22)),"➤",""),"")</f>
        <v/>
      </c>
      <c r="QT22" s="76" t="str">
        <f aca="false">IF($I22&gt;0%,IF(AND(QT$16&gt;=$F22,QT$16&lt;$F22+($G22*$I22)),"➤",""),"")</f>
        <v/>
      </c>
      <c r="QU22" s="76" t="str">
        <f aca="false">IF($I22&gt;0%,IF(AND(QU$16&gt;=$F22,QU$16&lt;$F22+($G22*$I22)),"➤",""),"")</f>
        <v/>
      </c>
      <c r="QV22" s="76" t="str">
        <f aca="false">IF($I22&gt;0%,IF(AND(QV$16&gt;=$F22,QV$16&lt;$F22+($G22*$I22)),"➤",""),"")</f>
        <v/>
      </c>
      <c r="QW22" s="76" t="str">
        <f aca="false">IF($I22&gt;0%,IF(AND(QW$16&gt;=$F22,QW$16&lt;$F22+($G22*$I22)),"➤",""),"")</f>
        <v/>
      </c>
      <c r="QX22" s="76" t="str">
        <f aca="false">IF($I22&gt;0%,IF(AND(QX$16&gt;=$F22,QX$16&lt;$F22+($G22*$I22)),"➤",""),"")</f>
        <v/>
      </c>
      <c r="QY22" s="76" t="str">
        <f aca="false">IF($I22&gt;0%,IF(AND(QY$16&gt;=$F22,QY$16&lt;$F22+($G22*$I22)),"➤",""),"")</f>
        <v/>
      </c>
      <c r="QZ22" s="76" t="str">
        <f aca="false">IF($I22&gt;0%,IF(AND(QZ$16&gt;=$F22,QZ$16&lt;$F22+($G22*$I22)),"➤",""),"")</f>
        <v/>
      </c>
      <c r="RA22" s="76" t="str">
        <f aca="false">IF($I22&gt;0%,IF(AND(RA$16&gt;=$F22,RA$16&lt;$F22+($G22*$I22)),"➤",""),"")</f>
        <v/>
      </c>
      <c r="RB22" s="76" t="str">
        <f aca="false">IF($I22&gt;0%,IF(AND(RB$16&gt;=$F22,RB$16&lt;$F22+($G22*$I22)),"➤",""),"")</f>
        <v/>
      </c>
      <c r="RC22" s="76" t="str">
        <f aca="false">IF($I22&gt;0%,IF(AND(RC$16&gt;=$F22,RC$16&lt;$F22+($G22*$I22)),"➤",""),"")</f>
        <v/>
      </c>
      <c r="RD22" s="76" t="str">
        <f aca="false">IF($I22&gt;0%,IF(AND(RD$16&gt;=$F22,RD$16&lt;$F22+($G22*$I22)),"➤",""),"")</f>
        <v/>
      </c>
      <c r="RE22" s="76" t="str">
        <f aca="false">IF($I22&gt;0%,IF(AND(RE$16&gt;=$F22,RE$16&lt;$F22+($G22*$I22)),"➤",""),"")</f>
        <v/>
      </c>
      <c r="RF22" s="76" t="str">
        <f aca="false">IF($I22&gt;0%,IF(AND(RF$16&gt;=$F22,RF$16&lt;$F22+($G22*$I22)),"➤",""),"")</f>
        <v/>
      </c>
      <c r="RG22" s="76" t="str">
        <f aca="false">IF($I22&gt;0%,IF(AND(RG$16&gt;=$F22,RG$16&lt;$F22+($G22*$I22)),"➤",""),"")</f>
        <v/>
      </c>
      <c r="RH22" s="76" t="str">
        <f aca="false">IF($I22&gt;0%,IF(AND(RH$16&gt;=$F22,RH$16&lt;$F22+($G22*$I22)),"➤",""),"")</f>
        <v/>
      </c>
      <c r="RI22" s="76" t="str">
        <f aca="false">IF($I22&gt;0%,IF(AND(RI$16&gt;=$F22,RI$16&lt;$F22+($G22*$I22)),"➤",""),"")</f>
        <v/>
      </c>
      <c r="RJ22" s="76" t="str">
        <f aca="false">IF($I22&gt;0%,IF(AND(RJ$16&gt;=$F22,RJ$16&lt;$F22+($G22*$I22)),"➤",""),"")</f>
        <v/>
      </c>
      <c r="RK22" s="76" t="str">
        <f aca="false">IF($I22&gt;0%,IF(AND(RK$16&gt;=$F22,RK$16&lt;$F22+($G22*$I22)),"➤",""),"")</f>
        <v/>
      </c>
      <c r="RL22" s="76" t="str">
        <f aca="false">IF($I22&gt;0%,IF(AND(RL$16&gt;=$F22,RL$16&lt;$F22+($G22*$I22)),"➤",""),"")</f>
        <v/>
      </c>
      <c r="RM22" s="76" t="str">
        <f aca="false">IF($I22&gt;0%,IF(AND(RM$16&gt;=$F22,RM$16&lt;$F22+($G22*$I22)),"➤",""),"")</f>
        <v/>
      </c>
      <c r="RN22" s="76" t="str">
        <f aca="false">IF($I22&gt;0%,IF(AND(RN$16&gt;=$F22,RN$16&lt;$F22+($G22*$I22)),"➤",""),"")</f>
        <v/>
      </c>
      <c r="RO22" s="76" t="str">
        <f aca="false">IF($I22&gt;0%,IF(AND(RO$16&gt;=$F22,RO$16&lt;$F22+($G22*$I22)),"➤",""),"")</f>
        <v/>
      </c>
      <c r="RP22" s="76" t="str">
        <f aca="false">IF($I22&gt;0%,IF(AND(RP$16&gt;=$F22,RP$16&lt;$F22+($G22*$I22)),"➤",""),"")</f>
        <v/>
      </c>
      <c r="RQ22" s="76" t="str">
        <f aca="false">IF($I22&gt;0%,IF(AND(RQ$16&gt;=$F22,RQ$16&lt;$F22+($G22*$I22)),"➤",""),"")</f>
        <v/>
      </c>
      <c r="RR22" s="76" t="str">
        <f aca="false">IF($I22&gt;0%,IF(AND(RR$16&gt;=$F22,RR$16&lt;$F22+($G22*$I22)),"➤",""),"")</f>
        <v/>
      </c>
      <c r="RS22" s="76" t="str">
        <f aca="false">IF($I22&gt;0%,IF(AND(RS$16&gt;=$F22,RS$16&lt;$F22+($G22*$I22)),"➤",""),"")</f>
        <v/>
      </c>
      <c r="RT22" s="76" t="str">
        <f aca="false">IF($I22&gt;0%,IF(AND(RT$16&gt;=$F22,RT$16&lt;$F22+($G22*$I22)),"➤",""),"")</f>
        <v/>
      </c>
      <c r="RU22" s="76" t="str">
        <f aca="false">IF($I22&gt;0%,IF(AND(RU$16&gt;=$F22,RU$16&lt;$F22+($G22*$I22)),"➤",""),"")</f>
        <v/>
      </c>
      <c r="RV22" s="76" t="str">
        <f aca="false">IF($I22&gt;0%,IF(AND(RV$16&gt;=$F22,RV$16&lt;$F22+($G22*$I22)),"➤",""),"")</f>
        <v/>
      </c>
      <c r="RW22" s="76" t="str">
        <f aca="false">IF($I22&gt;0%,IF(AND(RW$16&gt;=$F22,RW$16&lt;$F22+($G22*$I22)),"➤",""),"")</f>
        <v/>
      </c>
      <c r="RX22" s="76" t="str">
        <f aca="false">IF($I22&gt;0%,IF(AND(RX$16&gt;=$F22,RX$16&lt;$F22+($G22*$I22)),"➤",""),"")</f>
        <v/>
      </c>
      <c r="RY22" s="76" t="str">
        <f aca="false">IF($I22&gt;0%,IF(AND(RY$16&gt;=$F22,RY$16&lt;$F22+($G22*$I22)),"➤",""),"")</f>
        <v/>
      </c>
      <c r="RZ22" s="76" t="str">
        <f aca="false">IF($I22&gt;0%,IF(AND(RZ$16&gt;=$F22,RZ$16&lt;$F22+($G22*$I22)),"➤",""),"")</f>
        <v/>
      </c>
      <c r="SA22" s="76" t="str">
        <f aca="false">IF($I22&gt;0%,IF(AND(SA$16&gt;=$F22,SA$16&lt;$F22+($G22*$I22)),"➤",""),"")</f>
        <v/>
      </c>
      <c r="SB22" s="76" t="str">
        <f aca="false">IF($I22&gt;0%,IF(AND(SB$16&gt;=$F22,SB$16&lt;$F22+($G22*$I22)),"➤",""),"")</f>
        <v/>
      </c>
      <c r="SC22" s="76" t="str">
        <f aca="false">IF($I22&gt;0%,IF(AND(SC$16&gt;=$F22,SC$16&lt;$F22+($G22*$I22)),"➤",""),"")</f>
        <v/>
      </c>
      <c r="SD22" s="76" t="str">
        <f aca="false">IF($I22&gt;0%,IF(AND(SD$16&gt;=$F22,SD$16&lt;$F22+($G22*$I22)),"➤",""),"")</f>
        <v/>
      </c>
      <c r="SE22" s="76" t="str">
        <f aca="false">IF($I22&gt;0%,IF(AND(SE$16&gt;=$F22,SE$16&lt;$F22+($G22*$I22)),"➤",""),"")</f>
        <v/>
      </c>
      <c r="SF22" s="76" t="str">
        <f aca="false">IF($I22&gt;0%,IF(AND(SF$16&gt;=$F22,SF$16&lt;$F22+($G22*$I22)),"➤",""),"")</f>
        <v/>
      </c>
      <c r="SG22" s="76" t="str">
        <f aca="false">IF($I22&gt;0%,IF(AND(SG$16&gt;=$F22,SG$16&lt;$F22+($G22*$I22)),"➤",""),"")</f>
        <v/>
      </c>
      <c r="SH22" s="76" t="str">
        <f aca="false">IF($I22&gt;0%,IF(AND(SH$16&gt;=$F22,SH$16&lt;$F22+($G22*$I22)),"➤",""),"")</f>
        <v/>
      </c>
      <c r="SI22" s="76" t="str">
        <f aca="false">IF($I22&gt;0%,IF(AND(SI$16&gt;=$F22,SI$16&lt;$F22+($G22*$I22)),"➤",""),"")</f>
        <v/>
      </c>
      <c r="SJ22" s="76" t="str">
        <f aca="false">IF($I22&gt;0%,IF(AND(SJ$16&gt;=$F22,SJ$16&lt;$F22+($G22*$I22)),"➤",""),"")</f>
        <v/>
      </c>
      <c r="SK22" s="76" t="str">
        <f aca="false">IF($I22&gt;0%,IF(AND(SK$16&gt;=$F22,SK$16&lt;$F22+($G22*$I22)),"➤",""),"")</f>
        <v/>
      </c>
      <c r="SL22" s="76" t="str">
        <f aca="false">IF($I22&gt;0%,IF(AND(SL$16&gt;=$F22,SL$16&lt;$F22+($G22*$I22)),"➤",""),"")</f>
        <v/>
      </c>
      <c r="SM22" s="76" t="str">
        <f aca="false">IF($I22&gt;0%,IF(AND(SM$16&gt;=$F22,SM$16&lt;$F22+($G22*$I22)),"➤",""),"")</f>
        <v/>
      </c>
      <c r="SN22" s="76" t="str">
        <f aca="false">IF($I22&gt;0%,IF(AND(SN$16&gt;=$F22,SN$16&lt;$F22+($G22*$I22)),"➤",""),"")</f>
        <v/>
      </c>
      <c r="SO22" s="76" t="str">
        <f aca="false">IF($I22&gt;0%,IF(AND(SO$16&gt;=$F22,SO$16&lt;$F22+($G22*$I22)),"➤",""),"")</f>
        <v/>
      </c>
      <c r="SP22" s="76" t="str">
        <f aca="false">IF($I22&gt;0%,IF(AND(SP$16&gt;=$F22,SP$16&lt;$F22+($G22*$I22)),"➤",""),"")</f>
        <v/>
      </c>
      <c r="SQ22" s="76" t="str">
        <f aca="false">IF($I22&gt;0%,IF(AND(SQ$16&gt;=$F22,SQ$16&lt;$F22+($G22*$I22)),"➤",""),"")</f>
        <v/>
      </c>
      <c r="SR22" s="76" t="str">
        <f aca="false">IF($I22&gt;0%,IF(AND(SR$16&gt;=$F22,SR$16&lt;$F22+($G22*$I22)),"➤",""),"")</f>
        <v/>
      </c>
      <c r="SS22" s="76" t="str">
        <f aca="false">IF($I22&gt;0%,IF(AND(SS$16&gt;=$F22,SS$16&lt;$F22+($G22*$I22)),"➤",""),"")</f>
        <v/>
      </c>
      <c r="ST22" s="76" t="str">
        <f aca="false">IF($I22&gt;0%,IF(AND(ST$16&gt;=$F22,ST$16&lt;$F22+($G22*$I22)),"➤",""),"")</f>
        <v/>
      </c>
      <c r="SU22" s="76" t="str">
        <f aca="false">IF($I22&gt;0%,IF(AND(SU$16&gt;=$F22,SU$16&lt;$F22+($G22*$I22)),"➤",""),"")</f>
        <v/>
      </c>
      <c r="SV22" s="76" t="str">
        <f aca="false">IF($I22&gt;0%,IF(AND(SV$16&gt;=$F22,SV$16&lt;$F22+($G22*$I22)),"➤",""),"")</f>
        <v/>
      </c>
      <c r="SW22" s="77" t="str">
        <f aca="false">IF($I22&gt;0%,IF(AND(SW$16&gt;=$F22,SW$16&lt;$F22+($G22*$I22)),"➤",""),"")</f>
        <v/>
      </c>
    </row>
    <row r="23" customFormat="false" ht="14.25" hidden="false" customHeight="false" outlineLevel="1" collapsed="false">
      <c r="C23" s="10"/>
      <c r="D23" s="78" t="s">
        <v>22</v>
      </c>
      <c r="E23" s="79" t="s">
        <v>23</v>
      </c>
      <c r="F23" s="80" t="n">
        <v>46137</v>
      </c>
      <c r="G23" s="81" t="n">
        <v>2</v>
      </c>
      <c r="H23" s="82" t="n">
        <f aca="false">(F23+G23)-1</f>
        <v>46138</v>
      </c>
      <c r="I23" s="83" t="n">
        <v>1</v>
      </c>
      <c r="J23" s="84" t="s">
        <v>16</v>
      </c>
      <c r="K23" s="85"/>
      <c r="L23" s="75" t="str">
        <f aca="false">IF($I23&gt;0%,IF(AND(L$16&gt;=$F23,L$16&lt;$F23+($G23*$I23)),"➤",""),"")</f>
        <v/>
      </c>
      <c r="M23" s="76" t="str">
        <f aca="false">IF($I23&gt;0%,IF(AND(M$16&gt;=$F23,M$16&lt;$F23+($G23*$I23)),"➤",""),"")</f>
        <v>➤</v>
      </c>
      <c r="N23" s="76" t="str">
        <f aca="false">IF($I23&gt;0%,IF(AND(N$16&gt;=$F23,N$16&lt;$F23+($G23*$I23)),"➤",""),"")</f>
        <v>➤</v>
      </c>
      <c r="O23" s="76" t="str">
        <f aca="false">IF($I23&gt;0%,IF(AND(O$16&gt;=$F23,O$16&lt;$F23+($G23*$I23)),"➤",""),"")</f>
        <v/>
      </c>
      <c r="P23" s="76" t="str">
        <f aca="false">IF($I23&gt;0%,IF(AND(P$16&gt;=$F23,P$16&lt;$F23+($G23*$I23)),"➤",""),"")</f>
        <v/>
      </c>
      <c r="Q23" s="76" t="str">
        <f aca="false">IF($I23&gt;0%,IF(AND(Q$16&gt;=$F23,Q$16&lt;$F23+($G23*$I23)),"➤",""),"")</f>
        <v/>
      </c>
      <c r="R23" s="76" t="str">
        <f aca="false">IF($I23&gt;0%,IF(AND(R$16&gt;=$F23,R$16&lt;$F23+($G23*$I23)),"➤",""),"")</f>
        <v/>
      </c>
      <c r="S23" s="76" t="str">
        <f aca="false">IF($I23&gt;0%,IF(AND(S$16&gt;=$F23,S$16&lt;$F23+($G23*$I23)),"➤",""),"")</f>
        <v/>
      </c>
      <c r="T23" s="76" t="str">
        <f aca="false">IF($I23&gt;0%,IF(AND(T$16&gt;=$F23,T$16&lt;$F23+($G23*$I23)),"➤",""),"")</f>
        <v/>
      </c>
      <c r="U23" s="76" t="str">
        <f aca="false">IF($I23&gt;0%,IF(AND(U$16&gt;=$F23,U$16&lt;$F23+($G23*$I23)),"➤",""),"")</f>
        <v/>
      </c>
      <c r="V23" s="76" t="str">
        <f aca="false">IF($I23&gt;0%,IF(AND(V$16&gt;=$F23,V$16&lt;$F23+($G23*$I23)),"➤",""),"")</f>
        <v/>
      </c>
      <c r="W23" s="76" t="str">
        <f aca="false">IF($I23&gt;0%,IF(AND(W$16&gt;=$F23,W$16&lt;$F23+($G23*$I23)),"➤",""),"")</f>
        <v/>
      </c>
      <c r="X23" s="76" t="str">
        <f aca="false">IF($I23&gt;0%,IF(AND(X$16&gt;=$F23,X$16&lt;$F23+($G23*$I23)),"➤",""),"")</f>
        <v/>
      </c>
      <c r="Y23" s="76" t="str">
        <f aca="false">IF($I23&gt;0%,IF(AND(Y$16&gt;=$F23,Y$16&lt;$F23+($G23*$I23)),"➤",""),"")</f>
        <v/>
      </c>
      <c r="Z23" s="76" t="str">
        <f aca="false">IF($I23&gt;0%,IF(AND(Z$16&gt;=$F23,Z$16&lt;$F23+($G23*$I23)),"➤",""),"")</f>
        <v/>
      </c>
      <c r="AA23" s="76" t="str">
        <f aca="false">IF($I23&gt;0%,IF(AND(AA$16&gt;=$F23,AA$16&lt;$F23+($G23*$I23)),"➤",""),"")</f>
        <v/>
      </c>
      <c r="AB23" s="76" t="str">
        <f aca="false">IF($I23&gt;0%,IF(AND(AB$16&gt;=$F23,AB$16&lt;$F23+($G23*$I23)),"➤",""),"")</f>
        <v/>
      </c>
      <c r="AC23" s="76" t="str">
        <f aca="false">IF($I23&gt;0%,IF(AND(AC$16&gt;=$F23,AC$16&lt;$F23+($G23*$I23)),"➤",""),"")</f>
        <v/>
      </c>
      <c r="AD23" s="76" t="str">
        <f aca="false">IF($I23&gt;0%,IF(AND(AD$16&gt;=$F23,AD$16&lt;$F23+($G23*$I23)),"➤",""),"")</f>
        <v/>
      </c>
      <c r="AE23" s="76" t="str">
        <f aca="false">IF($I23&gt;0%,IF(AND(AE$16&gt;=$F23,AE$16&lt;$F23+($G23*$I23)),"➤",""),"")</f>
        <v/>
      </c>
      <c r="AF23" s="76" t="str">
        <f aca="false">IF($I23&gt;0%,IF(AND(AF$16&gt;=$F23,AF$16&lt;$F23+($G23*$I23)),"➤",""),"")</f>
        <v/>
      </c>
      <c r="AG23" s="76" t="str">
        <f aca="false">IF($I23&gt;0%,IF(AND(AG$16&gt;=$F23,AG$16&lt;$F23+($G23*$I23)),"➤",""),"")</f>
        <v/>
      </c>
      <c r="AH23" s="76" t="str">
        <f aca="false">IF($I23&gt;0%,IF(AND(AH$16&gt;=$F23,AH$16&lt;$F23+($G23*$I23)),"➤",""),"")</f>
        <v/>
      </c>
      <c r="AI23" s="76" t="str">
        <f aca="false">IF($I23&gt;0%,IF(AND(AI$16&gt;=$F23,AI$16&lt;$F23+($G23*$I23)),"➤",""),"")</f>
        <v/>
      </c>
      <c r="AJ23" s="76" t="str">
        <f aca="false">IF($I23&gt;0%,IF(AND(AJ$16&gt;=$F23,AJ$16&lt;$F23+($G23*$I23)),"➤",""),"")</f>
        <v/>
      </c>
      <c r="AK23" s="76" t="str">
        <f aca="false">IF($I23&gt;0%,IF(AND(AK$16&gt;=$F23,AK$16&lt;$F23+($G23*$I23)),"➤",""),"")</f>
        <v/>
      </c>
      <c r="AL23" s="76" t="str">
        <f aca="false">IF($I23&gt;0%,IF(AND(AL$16&gt;=$F23,AL$16&lt;$F23+($G23*$I23)),"➤",""),"")</f>
        <v/>
      </c>
      <c r="AM23" s="76" t="str">
        <f aca="false">IF($I23&gt;0%,IF(AND(AM$16&gt;=$F23,AM$16&lt;$F23+($G23*$I23)),"➤",""),"")</f>
        <v/>
      </c>
      <c r="AN23" s="76" t="str">
        <f aca="false">IF($I23&gt;0%,IF(AND(AN$16&gt;=$F23,AN$16&lt;$F23+($G23*$I23)),"➤",""),"")</f>
        <v/>
      </c>
      <c r="AO23" s="76" t="str">
        <f aca="false">IF($I23&gt;0%,IF(AND(AO$16&gt;=$F23,AO$16&lt;$F23+($G23*$I23)),"➤",""),"")</f>
        <v/>
      </c>
      <c r="AP23" s="76" t="str">
        <f aca="false">IF($I23&gt;0%,IF(AND(AP$16&gt;=$F23,AP$16&lt;$F23+($G23*$I23)),"➤",""),"")</f>
        <v/>
      </c>
      <c r="AQ23" s="76" t="str">
        <f aca="false">IF($I23&gt;0%,IF(AND(AQ$16&gt;=$F23,AQ$16&lt;$F23+($G23*$I23)),"➤",""),"")</f>
        <v/>
      </c>
      <c r="AR23" s="76" t="str">
        <f aca="false">IF($I23&gt;0%,IF(AND(AR$16&gt;=$F23,AR$16&lt;$F23+($G23*$I23)),"➤",""),"")</f>
        <v/>
      </c>
      <c r="AS23" s="76" t="str">
        <f aca="false">IF($I23&gt;0%,IF(AND(AS$16&gt;=$F23,AS$16&lt;$F23+($G23*$I23)),"➤",""),"")</f>
        <v/>
      </c>
      <c r="AT23" s="76" t="str">
        <f aca="false">IF($I23&gt;0%,IF(AND(AT$16&gt;=$F23,AT$16&lt;$F23+($G23*$I23)),"➤",""),"")</f>
        <v/>
      </c>
      <c r="AU23" s="76" t="str">
        <f aca="false">IF($I23&gt;0%,IF(AND(AU$16&gt;=$F23,AU$16&lt;$F23+($G23*$I23)),"➤",""),"")</f>
        <v/>
      </c>
      <c r="AV23" s="76" t="str">
        <f aca="false">IF($I23&gt;0%,IF(AND(AV$16&gt;=$F23,AV$16&lt;$F23+($G23*$I23)),"➤",""),"")</f>
        <v/>
      </c>
      <c r="AW23" s="76" t="str">
        <f aca="false">IF($I23&gt;0%,IF(AND(AW$16&gt;=$F23,AW$16&lt;$F23+($G23*$I23)),"➤",""),"")</f>
        <v/>
      </c>
      <c r="AX23" s="76" t="str">
        <f aca="false">IF($I23&gt;0%,IF(AND(AX$16&gt;=$F23,AX$16&lt;$F23+($G23*$I23)),"➤",""),"")</f>
        <v/>
      </c>
      <c r="AY23" s="76" t="str">
        <f aca="false">IF($I23&gt;0%,IF(AND(AY$16&gt;=$F23,AY$16&lt;$F23+($G23*$I23)),"➤",""),"")</f>
        <v/>
      </c>
      <c r="AZ23" s="76" t="str">
        <f aca="false">IF($I23&gt;0%,IF(AND(AZ$16&gt;=$F23,AZ$16&lt;$F23+($G23*$I23)),"➤",""),"")</f>
        <v/>
      </c>
      <c r="BA23" s="76" t="str">
        <f aca="false">IF($I23&gt;0%,IF(AND(BA$16&gt;=$F23,BA$16&lt;$F23+($G23*$I23)),"➤",""),"")</f>
        <v/>
      </c>
      <c r="BB23" s="76" t="str">
        <f aca="false">IF($I23&gt;0%,IF(AND(BB$16&gt;=$F23,BB$16&lt;$F23+($G23*$I23)),"➤",""),"")</f>
        <v/>
      </c>
      <c r="BC23" s="76" t="str">
        <f aca="false">IF($I23&gt;0%,IF(AND(BC$16&gt;=$F23,BC$16&lt;$F23+($G23*$I23)),"➤",""),"")</f>
        <v/>
      </c>
      <c r="BD23" s="76" t="str">
        <f aca="false">IF($I23&gt;0%,IF(AND(BD$16&gt;=$F23,BD$16&lt;$F23+($G23*$I23)),"➤",""),"")</f>
        <v/>
      </c>
      <c r="BE23" s="76" t="str">
        <f aca="false">IF($I23&gt;0%,IF(AND(BE$16&gt;=$F23,BE$16&lt;$F23+($G23*$I23)),"➤",""),"")</f>
        <v/>
      </c>
      <c r="BF23" s="76" t="str">
        <f aca="false">IF($I23&gt;0%,IF(AND(BF$16&gt;=$F23,BF$16&lt;$F23+($G23*$I23)),"➤",""),"")</f>
        <v/>
      </c>
      <c r="BG23" s="76" t="str">
        <f aca="false">IF($I23&gt;0%,IF(AND(BG$16&gt;=$F23,BG$16&lt;$F23+($G23*$I23)),"➤",""),"")</f>
        <v/>
      </c>
      <c r="BH23" s="76" t="str">
        <f aca="false">IF($I23&gt;0%,IF(AND(BH$16&gt;=$F23,BH$16&lt;$F23+($G23*$I23)),"➤",""),"")</f>
        <v/>
      </c>
      <c r="BI23" s="76" t="str">
        <f aca="false">IF($I23&gt;0%,IF(AND(BI$16&gt;=$F23,BI$16&lt;$F23+($G23*$I23)),"➤",""),"")</f>
        <v/>
      </c>
      <c r="BJ23" s="76" t="str">
        <f aca="false">IF($I23&gt;0%,IF(AND(BJ$16&gt;=$F23,BJ$16&lt;$F23+($G23*$I23)),"➤",""),"")</f>
        <v/>
      </c>
      <c r="BK23" s="76" t="str">
        <f aca="false">IF($I23&gt;0%,IF(AND(BK$16&gt;=$F23,BK$16&lt;$F23+($G23*$I23)),"➤",""),"")</f>
        <v/>
      </c>
      <c r="BL23" s="76" t="str">
        <f aca="false">IF($I23&gt;0%,IF(AND(BL$16&gt;=$F23,BL$16&lt;$F23+($G23*$I23)),"➤",""),"")</f>
        <v/>
      </c>
      <c r="BM23" s="76" t="str">
        <f aca="false">IF($I23&gt;0%,IF(AND(BM$16&gt;=$F23,BM$16&lt;$F23+($G23*$I23)),"➤",""),"")</f>
        <v/>
      </c>
      <c r="BN23" s="76" t="str">
        <f aca="false">IF($I23&gt;0%,IF(AND(BN$16&gt;=$F23,BN$16&lt;$F23+($G23*$I23)),"➤",""),"")</f>
        <v/>
      </c>
      <c r="BO23" s="76" t="str">
        <f aca="false">IF($I23&gt;0%,IF(AND(BO$16&gt;=$F23,BO$16&lt;$F23+($G23*$I23)),"➤",""),"")</f>
        <v/>
      </c>
      <c r="BP23" s="76" t="str">
        <f aca="false">IF($I23&gt;0%,IF(AND(BP$16&gt;=$F23,BP$16&lt;$F23+($G23*$I23)),"➤",""),"")</f>
        <v/>
      </c>
      <c r="BQ23" s="76" t="str">
        <f aca="false">IF($I23&gt;0%,IF(AND(BQ$16&gt;=$F23,BQ$16&lt;$F23+($G23*$I23)),"➤",""),"")</f>
        <v/>
      </c>
      <c r="BR23" s="76" t="str">
        <f aca="false">IF($I23&gt;0%,IF(AND(BR$16&gt;=$F23,BR$16&lt;$F23+($G23*$I23)),"➤",""),"")</f>
        <v/>
      </c>
      <c r="BS23" s="76" t="str">
        <f aca="false">IF($I23&gt;0%,IF(AND(BS$16&gt;=$F23,BS$16&lt;$F23+($G23*$I23)),"➤",""),"")</f>
        <v/>
      </c>
      <c r="BT23" s="76" t="str">
        <f aca="false">IF($I23&gt;0%,IF(AND(BT$16&gt;=$F23,BT$16&lt;$F23+($G23*$I23)),"➤",""),"")</f>
        <v/>
      </c>
      <c r="BU23" s="76" t="str">
        <f aca="false">IF($I23&gt;0%,IF(AND(BU$16&gt;=$F23,BU$16&lt;$F23+($G23*$I23)),"➤",""),"")</f>
        <v/>
      </c>
      <c r="BV23" s="76" t="str">
        <f aca="false">IF($I23&gt;0%,IF(AND(BV$16&gt;=$F23,BV$16&lt;$F23+($G23*$I23)),"➤",""),"")</f>
        <v/>
      </c>
      <c r="BW23" s="76" t="str">
        <f aca="false">IF($I23&gt;0%,IF(AND(BW$16&gt;=$F23,BW$16&lt;$F23+($G23*$I23)),"➤",""),"")</f>
        <v/>
      </c>
      <c r="BX23" s="76" t="str">
        <f aca="false">IF($I23&gt;0%,IF(AND(BX$16&gt;=$F23,BX$16&lt;$F23+($G23*$I23)),"➤",""),"")</f>
        <v/>
      </c>
      <c r="BY23" s="76" t="str">
        <f aca="false">IF($I23&gt;0%,IF(AND(BY$16&gt;=$F23,BY$16&lt;$F23+($G23*$I23)),"➤",""),"")</f>
        <v/>
      </c>
      <c r="BZ23" s="76" t="str">
        <f aca="false">IF($I23&gt;0%,IF(AND(BZ$16&gt;=$F23,BZ$16&lt;$F23+($G23*$I23)),"➤",""),"")</f>
        <v/>
      </c>
      <c r="CA23" s="76" t="str">
        <f aca="false">IF($I23&gt;0%,IF(AND(CA$16&gt;=$F23,CA$16&lt;$F23+($G23*$I23)),"➤",""),"")</f>
        <v/>
      </c>
      <c r="CB23" s="76" t="str">
        <f aca="false">IF($I23&gt;0%,IF(AND(CB$16&gt;=$F23,CB$16&lt;$F23+($G23*$I23)),"➤",""),"")</f>
        <v/>
      </c>
      <c r="CC23" s="76" t="str">
        <f aca="false">IF($I23&gt;0%,IF(AND(CC$16&gt;=$F23,CC$16&lt;$F23+($G23*$I23)),"➤",""),"")</f>
        <v/>
      </c>
      <c r="CD23" s="76" t="str">
        <f aca="false">IF($I23&gt;0%,IF(AND(CD$16&gt;=$F23,CD$16&lt;$F23+($G23*$I23)),"➤",""),"")</f>
        <v/>
      </c>
      <c r="CE23" s="76" t="str">
        <f aca="false">IF($I23&gt;0%,IF(AND(CE$16&gt;=$F23,CE$16&lt;$F23+($G23*$I23)),"➤",""),"")</f>
        <v/>
      </c>
      <c r="CF23" s="76" t="str">
        <f aca="false">IF($I23&gt;0%,IF(AND(CF$16&gt;=$F23,CF$16&lt;$F23+($G23*$I23)),"➤",""),"")</f>
        <v/>
      </c>
      <c r="CG23" s="76" t="str">
        <f aca="false">IF($I23&gt;0%,IF(AND(CG$16&gt;=$F23,CG$16&lt;$F23+($G23*$I23)),"➤",""),"")</f>
        <v/>
      </c>
      <c r="CH23" s="76" t="str">
        <f aca="false">IF($I23&gt;0%,IF(AND(CH$16&gt;=$F23,CH$16&lt;$F23+($G23*$I23)),"➤",""),"")</f>
        <v/>
      </c>
      <c r="CI23" s="76" t="str">
        <f aca="false">IF($I23&gt;0%,IF(AND(CI$16&gt;=$F23,CI$16&lt;$F23+($G23*$I23)),"➤",""),"")</f>
        <v/>
      </c>
      <c r="CJ23" s="76" t="str">
        <f aca="false">IF($I23&gt;0%,IF(AND(CJ$16&gt;=$F23,CJ$16&lt;$F23+($G23*$I23)),"➤",""),"")</f>
        <v/>
      </c>
      <c r="CK23" s="76" t="str">
        <f aca="false">IF($I23&gt;0%,IF(AND(CK$16&gt;=$F23,CK$16&lt;$F23+($G23*$I23)),"➤",""),"")</f>
        <v/>
      </c>
      <c r="CL23" s="76" t="str">
        <f aca="false">IF($I23&gt;0%,IF(AND(CL$16&gt;=$F23,CL$16&lt;$F23+($G23*$I23)),"➤",""),"")</f>
        <v/>
      </c>
      <c r="CM23" s="76" t="str">
        <f aca="false">IF($I23&gt;0%,IF(AND(CM$16&gt;=$F23,CM$16&lt;$F23+($G23*$I23)),"➤",""),"")</f>
        <v/>
      </c>
      <c r="CN23" s="76" t="str">
        <f aca="false">IF($I23&gt;0%,IF(AND(CN$16&gt;=$F23,CN$16&lt;$F23+($G23*$I23)),"➤",""),"")</f>
        <v/>
      </c>
      <c r="CO23" s="76" t="str">
        <f aca="false">IF($I23&gt;0%,IF(AND(CO$16&gt;=$F23,CO$16&lt;$F23+($G23*$I23)),"➤",""),"")</f>
        <v/>
      </c>
      <c r="CP23" s="76" t="str">
        <f aca="false">IF($I23&gt;0%,IF(AND(CP$16&gt;=$F23,CP$16&lt;$F23+($G23*$I23)),"➤",""),"")</f>
        <v/>
      </c>
      <c r="CQ23" s="76" t="str">
        <f aca="false">IF($I23&gt;0%,IF(AND(CQ$16&gt;=$F23,CQ$16&lt;$F23+($G23*$I23)),"➤",""),"")</f>
        <v/>
      </c>
      <c r="CR23" s="76" t="str">
        <f aca="false">IF($I23&gt;0%,IF(AND(CR$16&gt;=$F23,CR$16&lt;$F23+($G23*$I23)),"➤",""),"")</f>
        <v/>
      </c>
      <c r="CS23" s="76" t="str">
        <f aca="false">IF($I23&gt;0%,IF(AND(CS$16&gt;=$F23,CS$16&lt;$F23+($G23*$I23)),"➤",""),"")</f>
        <v/>
      </c>
      <c r="CT23" s="76" t="str">
        <f aca="false">IF($I23&gt;0%,IF(AND(CT$16&gt;=$F23,CT$16&lt;$F23+($G23*$I23)),"➤",""),"")</f>
        <v/>
      </c>
      <c r="CU23" s="76" t="str">
        <f aca="false">IF($I23&gt;0%,IF(AND(CU$16&gt;=$F23,CU$16&lt;$F23+($G23*$I23)),"➤",""),"")</f>
        <v/>
      </c>
      <c r="CV23" s="76" t="str">
        <f aca="false">IF($I23&gt;0%,IF(AND(CV$16&gt;=$F23,CV$16&lt;$F23+($G23*$I23)),"➤",""),"")</f>
        <v/>
      </c>
      <c r="CW23" s="76" t="str">
        <f aca="false">IF($I23&gt;0%,IF(AND(CW$16&gt;=$F23,CW$16&lt;$F23+($G23*$I23)),"➤",""),"")</f>
        <v/>
      </c>
      <c r="CX23" s="76" t="str">
        <f aca="false">IF($I23&gt;0%,IF(AND(CX$16&gt;=$F23,CX$16&lt;$F23+($G23*$I23)),"➤",""),"")</f>
        <v/>
      </c>
      <c r="CY23" s="76" t="str">
        <f aca="false">IF($I23&gt;0%,IF(AND(CY$16&gt;=$F23,CY$16&lt;$F23+($G23*$I23)),"➤",""),"")</f>
        <v/>
      </c>
      <c r="CZ23" s="76" t="str">
        <f aca="false">IF($I23&gt;0%,IF(AND(CZ$16&gt;=$F23,CZ$16&lt;$F23+($G23*$I23)),"➤",""),"")</f>
        <v/>
      </c>
      <c r="DA23" s="76" t="str">
        <f aca="false">IF($I23&gt;0%,IF(AND(DA$16&gt;=$F23,DA$16&lt;$F23+($G23*$I23)),"➤",""),"")</f>
        <v/>
      </c>
      <c r="DB23" s="76" t="str">
        <f aca="false">IF($I23&gt;0%,IF(AND(DB$16&gt;=$F23,DB$16&lt;$F23+($G23*$I23)),"➤",""),"")</f>
        <v/>
      </c>
      <c r="DC23" s="76" t="str">
        <f aca="false">IF($I23&gt;0%,IF(AND(DC$16&gt;=$F23,DC$16&lt;$F23+($G23*$I23)),"➤",""),"")</f>
        <v/>
      </c>
      <c r="DD23" s="76" t="str">
        <f aca="false">IF($I23&gt;0%,IF(AND(DD$16&gt;=$F23,DD$16&lt;$F23+($G23*$I23)),"➤",""),"")</f>
        <v/>
      </c>
      <c r="DE23" s="76" t="str">
        <f aca="false">IF($I23&gt;0%,IF(AND(DE$16&gt;=$F23,DE$16&lt;$F23+($G23*$I23)),"➤",""),"")</f>
        <v/>
      </c>
      <c r="DF23" s="76" t="str">
        <f aca="false">IF($I23&gt;0%,IF(AND(DF$16&gt;=$F23,DF$16&lt;$F23+($G23*$I23)),"➤",""),"")</f>
        <v/>
      </c>
      <c r="DG23" s="76" t="str">
        <f aca="false">IF($I23&gt;0%,IF(AND(DG$16&gt;=$F23,DG$16&lt;$F23+($G23*$I23)),"➤",""),"")</f>
        <v/>
      </c>
      <c r="DH23" s="76" t="str">
        <f aca="false">IF($I23&gt;0%,IF(AND(DH$16&gt;=$F23,DH$16&lt;$F23+($G23*$I23)),"➤",""),"")</f>
        <v/>
      </c>
      <c r="DI23" s="76" t="str">
        <f aca="false">IF($I23&gt;0%,IF(AND(DI$16&gt;=$F23,DI$16&lt;$F23+($G23*$I23)),"➤",""),"")</f>
        <v/>
      </c>
      <c r="DJ23" s="76" t="str">
        <f aca="false">IF($I23&gt;0%,IF(AND(DJ$16&gt;=$F23,DJ$16&lt;$F23+($G23*$I23)),"➤",""),"")</f>
        <v/>
      </c>
      <c r="DK23" s="76" t="str">
        <f aca="false">IF($I23&gt;0%,IF(AND(DK$16&gt;=$F23,DK$16&lt;$F23+($G23*$I23)),"➤",""),"")</f>
        <v/>
      </c>
      <c r="DL23" s="76" t="str">
        <f aca="false">IF($I23&gt;0%,IF(AND(DL$16&gt;=$F23,DL$16&lt;$F23+($G23*$I23)),"➤",""),"")</f>
        <v/>
      </c>
      <c r="DM23" s="76" t="str">
        <f aca="false">IF($I23&gt;0%,IF(AND(DM$16&gt;=$F23,DM$16&lt;$F23+($G23*$I23)),"➤",""),"")</f>
        <v/>
      </c>
      <c r="DN23" s="76" t="str">
        <f aca="false">IF($I23&gt;0%,IF(AND(DN$16&gt;=$F23,DN$16&lt;$F23+($G23*$I23)),"➤",""),"")</f>
        <v/>
      </c>
      <c r="DO23" s="76" t="str">
        <f aca="false">IF($I23&gt;0%,IF(AND(DO$16&gt;=$F23,DO$16&lt;$F23+($G23*$I23)),"➤",""),"")</f>
        <v/>
      </c>
      <c r="DP23" s="76" t="str">
        <f aca="false">IF($I23&gt;0%,IF(AND(DP$16&gt;=$F23,DP$16&lt;$F23+($G23*$I23)),"➤",""),"")</f>
        <v/>
      </c>
      <c r="DQ23" s="76" t="str">
        <f aca="false">IF($I23&gt;0%,IF(AND(DQ$16&gt;=$F23,DQ$16&lt;$F23+($G23*$I23)),"➤",""),"")</f>
        <v/>
      </c>
      <c r="DR23" s="76" t="str">
        <f aca="false">IF($I23&gt;0%,IF(AND(DR$16&gt;=$F23,DR$16&lt;$F23+($G23*$I23)),"➤",""),"")</f>
        <v/>
      </c>
      <c r="DS23" s="76" t="str">
        <f aca="false">IF($I23&gt;0%,IF(AND(DS$16&gt;=$F23,DS$16&lt;$F23+($G23*$I23)),"➤",""),"")</f>
        <v/>
      </c>
      <c r="DT23" s="76" t="str">
        <f aca="false">IF($I23&gt;0%,IF(AND(DT$16&gt;=$F23,DT$16&lt;$F23+($G23*$I23)),"➤",""),"")</f>
        <v/>
      </c>
      <c r="DU23" s="76" t="str">
        <f aca="false">IF($I23&gt;0%,IF(AND(DU$16&gt;=$F23,DU$16&lt;$F23+($G23*$I23)),"➤",""),"")</f>
        <v/>
      </c>
      <c r="DV23" s="76" t="str">
        <f aca="false">IF($I23&gt;0%,IF(AND(DV$16&gt;=$F23,DV$16&lt;$F23+($G23*$I23)),"➤",""),"")</f>
        <v/>
      </c>
      <c r="DW23" s="76" t="str">
        <f aca="false">IF($I23&gt;0%,IF(AND(DW$16&gt;=$F23,DW$16&lt;$F23+($G23*$I23)),"➤",""),"")</f>
        <v/>
      </c>
      <c r="DX23" s="76" t="str">
        <f aca="false">IF($I23&gt;0%,IF(AND(DX$16&gt;=$F23,DX$16&lt;$F23+($G23*$I23)),"➤",""),"")</f>
        <v/>
      </c>
      <c r="DY23" s="76" t="str">
        <f aca="false">IF($I23&gt;0%,IF(AND(DY$16&gt;=$F23,DY$16&lt;$F23+($G23*$I23)),"➤",""),"")</f>
        <v/>
      </c>
      <c r="DZ23" s="76" t="str">
        <f aca="false">IF($I23&gt;0%,IF(AND(DZ$16&gt;=$F23,DZ$16&lt;$F23+($G23*$I23)),"➤",""),"")</f>
        <v/>
      </c>
      <c r="EA23" s="76" t="str">
        <f aca="false">IF($I23&gt;0%,IF(AND(EA$16&gt;=$F23,EA$16&lt;$F23+($G23*$I23)),"➤",""),"")</f>
        <v/>
      </c>
      <c r="EB23" s="76" t="str">
        <f aca="false">IF($I23&gt;0%,IF(AND(EB$16&gt;=$F23,EB$16&lt;$F23+($G23*$I23)),"➤",""),"")</f>
        <v/>
      </c>
      <c r="EC23" s="76" t="str">
        <f aca="false">IF($I23&gt;0%,IF(AND(EC$16&gt;=$F23,EC$16&lt;$F23+($G23*$I23)),"➤",""),"")</f>
        <v/>
      </c>
      <c r="ED23" s="76" t="str">
        <f aca="false">IF($I23&gt;0%,IF(AND(ED$16&gt;=$F23,ED$16&lt;$F23+($G23*$I23)),"➤",""),"")</f>
        <v/>
      </c>
      <c r="EE23" s="76" t="str">
        <f aca="false">IF($I23&gt;0%,IF(AND(EE$16&gt;=$F23,EE$16&lt;$F23+($G23*$I23)),"➤",""),"")</f>
        <v/>
      </c>
      <c r="EF23" s="76" t="str">
        <f aca="false">IF($I23&gt;0%,IF(AND(EF$16&gt;=$F23,EF$16&lt;$F23+($G23*$I23)),"➤",""),"")</f>
        <v/>
      </c>
      <c r="EG23" s="76" t="str">
        <f aca="false">IF($I23&gt;0%,IF(AND(EG$16&gt;=$F23,EG$16&lt;$F23+($G23*$I23)),"➤",""),"")</f>
        <v/>
      </c>
      <c r="EH23" s="76" t="str">
        <f aca="false">IF($I23&gt;0%,IF(AND(EH$16&gt;=$F23,EH$16&lt;$F23+($G23*$I23)),"➤",""),"")</f>
        <v/>
      </c>
      <c r="EI23" s="76" t="str">
        <f aca="false">IF($I23&gt;0%,IF(AND(EI$16&gt;=$F23,EI$16&lt;$F23+($G23*$I23)),"➤",""),"")</f>
        <v/>
      </c>
      <c r="EJ23" s="76" t="str">
        <f aca="false">IF($I23&gt;0%,IF(AND(EJ$16&gt;=$F23,EJ$16&lt;$F23+($G23*$I23)),"➤",""),"")</f>
        <v/>
      </c>
      <c r="EK23" s="76" t="str">
        <f aca="false">IF($I23&gt;0%,IF(AND(EK$16&gt;=$F23,EK$16&lt;$F23+($G23*$I23)),"➤",""),"")</f>
        <v/>
      </c>
      <c r="EL23" s="76" t="str">
        <f aca="false">IF($I23&gt;0%,IF(AND(EL$16&gt;=$F23,EL$16&lt;$F23+($G23*$I23)),"➤",""),"")</f>
        <v/>
      </c>
      <c r="EM23" s="76" t="str">
        <f aca="false">IF($I23&gt;0%,IF(AND(EM$16&gt;=$F23,EM$16&lt;$F23+($G23*$I23)),"➤",""),"")</f>
        <v/>
      </c>
      <c r="EN23" s="76" t="str">
        <f aca="false">IF($I23&gt;0%,IF(AND(EN$16&gt;=$F23,EN$16&lt;$F23+($G23*$I23)),"➤",""),"")</f>
        <v/>
      </c>
      <c r="EO23" s="76" t="str">
        <f aca="false">IF($I23&gt;0%,IF(AND(EO$16&gt;=$F23,EO$16&lt;$F23+($G23*$I23)),"➤",""),"")</f>
        <v/>
      </c>
      <c r="EP23" s="76" t="str">
        <f aca="false">IF($I23&gt;0%,IF(AND(EP$16&gt;=$F23,EP$16&lt;$F23+($G23*$I23)),"➤",""),"")</f>
        <v/>
      </c>
      <c r="EQ23" s="76" t="str">
        <f aca="false">IF($I23&gt;0%,IF(AND(EQ$16&gt;=$F23,EQ$16&lt;$F23+($G23*$I23)),"➤",""),"")</f>
        <v/>
      </c>
      <c r="ER23" s="76" t="str">
        <f aca="false">IF($I23&gt;0%,IF(AND(ER$16&gt;=$F23,ER$16&lt;$F23+($G23*$I23)),"➤",""),"")</f>
        <v/>
      </c>
      <c r="ES23" s="76" t="str">
        <f aca="false">IF($I23&gt;0%,IF(AND(ES$16&gt;=$F23,ES$16&lt;$F23+($G23*$I23)),"➤",""),"")</f>
        <v/>
      </c>
      <c r="ET23" s="76" t="str">
        <f aca="false">IF($I23&gt;0%,IF(AND(ET$16&gt;=$F23,ET$16&lt;$F23+($G23*$I23)),"➤",""),"")</f>
        <v/>
      </c>
      <c r="EU23" s="76" t="str">
        <f aca="false">IF($I23&gt;0%,IF(AND(EU$16&gt;=$F23,EU$16&lt;$F23+($G23*$I23)),"➤",""),"")</f>
        <v/>
      </c>
      <c r="EV23" s="76" t="str">
        <f aca="false">IF($I23&gt;0%,IF(AND(EV$16&gt;=$F23,EV$16&lt;$F23+($G23*$I23)),"➤",""),"")</f>
        <v/>
      </c>
      <c r="EW23" s="76" t="str">
        <f aca="false">IF($I23&gt;0%,IF(AND(EW$16&gt;=$F23,EW$16&lt;$F23+($G23*$I23)),"➤",""),"")</f>
        <v/>
      </c>
      <c r="EX23" s="76" t="str">
        <f aca="false">IF($I23&gt;0%,IF(AND(EX$16&gt;=$F23,EX$16&lt;$F23+($G23*$I23)),"➤",""),"")</f>
        <v/>
      </c>
      <c r="EY23" s="76" t="str">
        <f aca="false">IF($I23&gt;0%,IF(AND(EY$16&gt;=$F23,EY$16&lt;$F23+($G23*$I23)),"➤",""),"")</f>
        <v/>
      </c>
      <c r="EZ23" s="76" t="str">
        <f aca="false">IF($I23&gt;0%,IF(AND(EZ$16&gt;=$F23,EZ$16&lt;$F23+($G23*$I23)),"➤",""),"")</f>
        <v/>
      </c>
      <c r="FA23" s="76" t="str">
        <f aca="false">IF($I23&gt;0%,IF(AND(FA$16&gt;=$F23,FA$16&lt;$F23+($G23*$I23)),"➤",""),"")</f>
        <v/>
      </c>
      <c r="FB23" s="76" t="str">
        <f aca="false">IF($I23&gt;0%,IF(AND(FB$16&gt;=$F23,FB$16&lt;$F23+($G23*$I23)),"➤",""),"")</f>
        <v/>
      </c>
      <c r="FC23" s="76" t="str">
        <f aca="false">IF($I23&gt;0%,IF(AND(FC$16&gt;=$F23,FC$16&lt;$F23+($G23*$I23)),"➤",""),"")</f>
        <v/>
      </c>
      <c r="FD23" s="76" t="str">
        <f aca="false">IF($I23&gt;0%,IF(AND(FD$16&gt;=$F23,FD$16&lt;$F23+($G23*$I23)),"➤",""),"")</f>
        <v/>
      </c>
      <c r="FE23" s="76" t="str">
        <f aca="false">IF($I23&gt;0%,IF(AND(FE$16&gt;=$F23,FE$16&lt;$F23+($G23*$I23)),"➤",""),"")</f>
        <v/>
      </c>
      <c r="FF23" s="76" t="str">
        <f aca="false">IF($I23&gt;0%,IF(AND(FF$16&gt;=$F23,FF$16&lt;$F23+($G23*$I23)),"➤",""),"")</f>
        <v/>
      </c>
      <c r="FG23" s="76" t="str">
        <f aca="false">IF($I23&gt;0%,IF(AND(FG$16&gt;=$F23,FG$16&lt;$F23+($G23*$I23)),"➤",""),"")</f>
        <v/>
      </c>
      <c r="FH23" s="76" t="str">
        <f aca="false">IF($I23&gt;0%,IF(AND(FH$16&gt;=$F23,FH$16&lt;$F23+($G23*$I23)),"➤",""),"")</f>
        <v/>
      </c>
      <c r="FI23" s="76" t="str">
        <f aca="false">IF($I23&gt;0%,IF(AND(FI$16&gt;=$F23,FI$16&lt;$F23+($G23*$I23)),"➤",""),"")</f>
        <v/>
      </c>
      <c r="FJ23" s="76" t="str">
        <f aca="false">IF($I23&gt;0%,IF(AND(FJ$16&gt;=$F23,FJ$16&lt;$F23+($G23*$I23)),"➤",""),"")</f>
        <v/>
      </c>
      <c r="FK23" s="76" t="str">
        <f aca="false">IF($I23&gt;0%,IF(AND(FK$16&gt;=$F23,FK$16&lt;$F23+($G23*$I23)),"➤",""),"")</f>
        <v/>
      </c>
      <c r="FL23" s="76" t="str">
        <f aca="false">IF($I23&gt;0%,IF(AND(FL$16&gt;=$F23,FL$16&lt;$F23+($G23*$I23)),"➤",""),"")</f>
        <v/>
      </c>
      <c r="FM23" s="76" t="str">
        <f aca="false">IF($I23&gt;0%,IF(AND(FM$16&gt;=$F23,FM$16&lt;$F23+($G23*$I23)),"➤",""),"")</f>
        <v/>
      </c>
      <c r="FN23" s="76" t="str">
        <f aca="false">IF($I23&gt;0%,IF(AND(FN$16&gt;=$F23,FN$16&lt;$F23+($G23*$I23)),"➤",""),"")</f>
        <v/>
      </c>
      <c r="FO23" s="76" t="str">
        <f aca="false">IF($I23&gt;0%,IF(AND(FO$16&gt;=$F23,FO$16&lt;$F23+($G23*$I23)),"➤",""),"")</f>
        <v/>
      </c>
      <c r="FP23" s="76" t="str">
        <f aca="false">IF($I23&gt;0%,IF(AND(FP$16&gt;=$F23,FP$16&lt;$F23+($G23*$I23)),"➤",""),"")</f>
        <v/>
      </c>
      <c r="FQ23" s="76" t="str">
        <f aca="false">IF($I23&gt;0%,IF(AND(FQ$16&gt;=$F23,FQ$16&lt;$F23+($G23*$I23)),"➤",""),"")</f>
        <v/>
      </c>
      <c r="FR23" s="76" t="str">
        <f aca="false">IF($I23&gt;0%,IF(AND(FR$16&gt;=$F23,FR$16&lt;$F23+($G23*$I23)),"➤",""),"")</f>
        <v/>
      </c>
      <c r="FS23" s="76" t="str">
        <f aca="false">IF($I23&gt;0%,IF(AND(FS$16&gt;=$F23,FS$16&lt;$F23+($G23*$I23)),"➤",""),"")</f>
        <v/>
      </c>
      <c r="FT23" s="76" t="str">
        <f aca="false">IF($I23&gt;0%,IF(AND(FT$16&gt;=$F23,FT$16&lt;$F23+($G23*$I23)),"➤",""),"")</f>
        <v/>
      </c>
      <c r="FU23" s="76" t="str">
        <f aca="false">IF($I23&gt;0%,IF(AND(FU$16&gt;=$F23,FU$16&lt;$F23+($G23*$I23)),"➤",""),"")</f>
        <v/>
      </c>
      <c r="FV23" s="76" t="str">
        <f aca="false">IF($I23&gt;0%,IF(AND(FV$16&gt;=$F23,FV$16&lt;$F23+($G23*$I23)),"➤",""),"")</f>
        <v/>
      </c>
      <c r="FW23" s="76" t="str">
        <f aca="false">IF($I23&gt;0%,IF(AND(FW$16&gt;=$F23,FW$16&lt;$F23+($G23*$I23)),"➤",""),"")</f>
        <v/>
      </c>
      <c r="FX23" s="76" t="str">
        <f aca="false">IF($I23&gt;0%,IF(AND(FX$16&gt;=$F23,FX$16&lt;$F23+($G23*$I23)),"➤",""),"")</f>
        <v/>
      </c>
      <c r="FY23" s="76" t="str">
        <f aca="false">IF($I23&gt;0%,IF(AND(FY$16&gt;=$F23,FY$16&lt;$F23+($G23*$I23)),"➤",""),"")</f>
        <v/>
      </c>
      <c r="FZ23" s="76" t="str">
        <f aca="false">IF($I23&gt;0%,IF(AND(FZ$16&gt;=$F23,FZ$16&lt;$F23+($G23*$I23)),"➤",""),"")</f>
        <v/>
      </c>
      <c r="GA23" s="76" t="str">
        <f aca="false">IF($I23&gt;0%,IF(AND(GA$16&gt;=$F23,GA$16&lt;$F23+($G23*$I23)),"➤",""),"")</f>
        <v/>
      </c>
      <c r="GB23" s="76" t="str">
        <f aca="false">IF($I23&gt;0%,IF(AND(GB$16&gt;=$F23,GB$16&lt;$F23+($G23*$I23)),"➤",""),"")</f>
        <v/>
      </c>
      <c r="GC23" s="76" t="str">
        <f aca="false">IF($I23&gt;0%,IF(AND(GC$16&gt;=$F23,GC$16&lt;$F23+($G23*$I23)),"➤",""),"")</f>
        <v/>
      </c>
      <c r="GD23" s="76" t="str">
        <f aca="false">IF($I23&gt;0%,IF(AND(GD$16&gt;=$F23,GD$16&lt;$F23+($G23*$I23)),"➤",""),"")</f>
        <v/>
      </c>
      <c r="GE23" s="76" t="str">
        <f aca="false">IF($I23&gt;0%,IF(AND(GE$16&gt;=$F23,GE$16&lt;$F23+($G23*$I23)),"➤",""),"")</f>
        <v/>
      </c>
      <c r="GF23" s="76" t="str">
        <f aca="false">IF($I23&gt;0%,IF(AND(GF$16&gt;=$F23,GF$16&lt;$F23+($G23*$I23)),"➤",""),"")</f>
        <v/>
      </c>
      <c r="GG23" s="76" t="str">
        <f aca="false">IF($I23&gt;0%,IF(AND(GG$16&gt;=$F23,GG$16&lt;$F23+($G23*$I23)),"➤",""),"")</f>
        <v/>
      </c>
      <c r="GH23" s="76" t="str">
        <f aca="false">IF($I23&gt;0%,IF(AND(GH$16&gt;=$F23,GH$16&lt;$F23+($G23*$I23)),"➤",""),"")</f>
        <v/>
      </c>
      <c r="GI23" s="76" t="str">
        <f aca="false">IF($I23&gt;0%,IF(AND(GI$16&gt;=$F23,GI$16&lt;$F23+($G23*$I23)),"➤",""),"")</f>
        <v/>
      </c>
      <c r="GJ23" s="76" t="str">
        <f aca="false">IF($I23&gt;0%,IF(AND(GJ$16&gt;=$F23,GJ$16&lt;$F23+($G23*$I23)),"➤",""),"")</f>
        <v/>
      </c>
      <c r="GK23" s="76" t="str">
        <f aca="false">IF($I23&gt;0%,IF(AND(GK$16&gt;=$F23,GK$16&lt;$F23+($G23*$I23)),"➤",""),"")</f>
        <v/>
      </c>
      <c r="GL23" s="76" t="str">
        <f aca="false">IF($I23&gt;0%,IF(AND(GL$16&gt;=$F23,GL$16&lt;$F23+($G23*$I23)),"➤",""),"")</f>
        <v/>
      </c>
      <c r="GM23" s="76" t="str">
        <f aca="false">IF($I23&gt;0%,IF(AND(GM$16&gt;=$F23,GM$16&lt;$F23+($G23*$I23)),"➤",""),"")</f>
        <v/>
      </c>
      <c r="GN23" s="76" t="str">
        <f aca="false">IF($I23&gt;0%,IF(AND(GN$16&gt;=$F23,GN$16&lt;$F23+($G23*$I23)),"➤",""),"")</f>
        <v/>
      </c>
      <c r="GO23" s="76" t="str">
        <f aca="false">IF($I23&gt;0%,IF(AND(GO$16&gt;=$F23,GO$16&lt;$F23+($G23*$I23)),"➤",""),"")</f>
        <v/>
      </c>
      <c r="GP23" s="76" t="str">
        <f aca="false">IF($I23&gt;0%,IF(AND(GP$16&gt;=$F23,GP$16&lt;$F23+($G23*$I23)),"➤",""),"")</f>
        <v/>
      </c>
      <c r="GQ23" s="76" t="str">
        <f aca="false">IF($I23&gt;0%,IF(AND(GQ$16&gt;=$F23,GQ$16&lt;$F23+($G23*$I23)),"➤",""),"")</f>
        <v/>
      </c>
      <c r="GR23" s="76" t="str">
        <f aca="false">IF($I23&gt;0%,IF(AND(GR$16&gt;=$F23,GR$16&lt;$F23+($G23*$I23)),"➤",""),"")</f>
        <v/>
      </c>
      <c r="GS23" s="76" t="str">
        <f aca="false">IF($I23&gt;0%,IF(AND(GS$16&gt;=$F23,GS$16&lt;$F23+($G23*$I23)),"➤",""),"")</f>
        <v/>
      </c>
      <c r="GT23" s="76" t="str">
        <f aca="false">IF($I23&gt;0%,IF(AND(GT$16&gt;=$F23,GT$16&lt;$F23+($G23*$I23)),"➤",""),"")</f>
        <v/>
      </c>
      <c r="GU23" s="76" t="str">
        <f aca="false">IF($I23&gt;0%,IF(AND(GU$16&gt;=$F23,GU$16&lt;$F23+($G23*$I23)),"➤",""),"")</f>
        <v/>
      </c>
      <c r="GV23" s="76" t="str">
        <f aca="false">IF($I23&gt;0%,IF(AND(GV$16&gt;=$F23,GV$16&lt;$F23+($G23*$I23)),"➤",""),"")</f>
        <v/>
      </c>
      <c r="GW23" s="76" t="str">
        <f aca="false">IF($I23&gt;0%,IF(AND(GW$16&gt;=$F23,GW$16&lt;$F23+($G23*$I23)),"➤",""),"")</f>
        <v/>
      </c>
      <c r="GX23" s="76" t="str">
        <f aca="false">IF($I23&gt;0%,IF(AND(GX$16&gt;=$F23,GX$16&lt;$F23+($G23*$I23)),"➤",""),"")</f>
        <v/>
      </c>
      <c r="GY23" s="76" t="str">
        <f aca="false">IF($I23&gt;0%,IF(AND(GY$16&gt;=$F23,GY$16&lt;$F23+($G23*$I23)),"➤",""),"")</f>
        <v/>
      </c>
      <c r="GZ23" s="76" t="str">
        <f aca="false">IF($I23&gt;0%,IF(AND(GZ$16&gt;=$F23,GZ$16&lt;$F23+($G23*$I23)),"➤",""),"")</f>
        <v/>
      </c>
      <c r="HA23" s="76" t="str">
        <f aca="false">IF($I23&gt;0%,IF(AND(HA$16&gt;=$F23,HA$16&lt;$F23+($G23*$I23)),"➤",""),"")</f>
        <v/>
      </c>
      <c r="HB23" s="76" t="str">
        <f aca="false">IF($I23&gt;0%,IF(AND(HB$16&gt;=$F23,HB$16&lt;$F23+($G23*$I23)),"➤",""),"")</f>
        <v/>
      </c>
      <c r="HC23" s="76" t="str">
        <f aca="false">IF($I23&gt;0%,IF(AND(HC$16&gt;=$F23,HC$16&lt;$F23+($G23*$I23)),"➤",""),"")</f>
        <v/>
      </c>
      <c r="HD23" s="76" t="str">
        <f aca="false">IF($I23&gt;0%,IF(AND(HD$16&gt;=$F23,HD$16&lt;$F23+($G23*$I23)),"➤",""),"")</f>
        <v/>
      </c>
      <c r="HE23" s="76" t="str">
        <f aca="false">IF($I23&gt;0%,IF(AND(HE$16&gt;=$F23,HE$16&lt;$F23+($G23*$I23)),"➤",""),"")</f>
        <v/>
      </c>
      <c r="HF23" s="76" t="str">
        <f aca="false">IF($I23&gt;0%,IF(AND(HF$16&gt;=$F23,HF$16&lt;$F23+($G23*$I23)),"➤",""),"")</f>
        <v/>
      </c>
      <c r="HG23" s="76" t="str">
        <f aca="false">IF($I23&gt;0%,IF(AND(HG$16&gt;=$F23,HG$16&lt;$F23+($G23*$I23)),"➤",""),"")</f>
        <v/>
      </c>
      <c r="HH23" s="76" t="str">
        <f aca="false">IF($I23&gt;0%,IF(AND(HH$16&gt;=$F23,HH$16&lt;$F23+($G23*$I23)),"➤",""),"")</f>
        <v/>
      </c>
      <c r="HI23" s="76" t="str">
        <f aca="false">IF($I23&gt;0%,IF(AND(HI$16&gt;=$F23,HI$16&lt;$F23+($G23*$I23)),"➤",""),"")</f>
        <v/>
      </c>
      <c r="HJ23" s="76" t="str">
        <f aca="false">IF($I23&gt;0%,IF(AND(HJ$16&gt;=$F23,HJ$16&lt;$F23+($G23*$I23)),"➤",""),"")</f>
        <v/>
      </c>
      <c r="HK23" s="76" t="str">
        <f aca="false">IF($I23&gt;0%,IF(AND(HK$16&gt;=$F23,HK$16&lt;$F23+($G23*$I23)),"➤",""),"")</f>
        <v/>
      </c>
      <c r="HL23" s="76" t="str">
        <f aca="false">IF($I23&gt;0%,IF(AND(HL$16&gt;=$F23,HL$16&lt;$F23+($G23*$I23)),"➤",""),"")</f>
        <v/>
      </c>
      <c r="HM23" s="76" t="str">
        <f aca="false">IF($I23&gt;0%,IF(AND(HM$16&gt;=$F23,HM$16&lt;$F23+($G23*$I23)),"➤",""),"")</f>
        <v/>
      </c>
      <c r="HN23" s="76" t="str">
        <f aca="false">IF($I23&gt;0%,IF(AND(HN$16&gt;=$F23,HN$16&lt;$F23+($G23*$I23)),"➤",""),"")</f>
        <v/>
      </c>
      <c r="HO23" s="76" t="str">
        <f aca="false">IF($I23&gt;0%,IF(AND(HO$16&gt;=$F23,HO$16&lt;$F23+($G23*$I23)),"➤",""),"")</f>
        <v/>
      </c>
      <c r="HP23" s="76" t="str">
        <f aca="false">IF($I23&gt;0%,IF(AND(HP$16&gt;=$F23,HP$16&lt;$F23+($G23*$I23)),"➤",""),"")</f>
        <v/>
      </c>
      <c r="HQ23" s="76" t="str">
        <f aca="false">IF($I23&gt;0%,IF(AND(HQ$16&gt;=$F23,HQ$16&lt;$F23+($G23*$I23)),"➤",""),"")</f>
        <v/>
      </c>
      <c r="HR23" s="76" t="str">
        <f aca="false">IF($I23&gt;0%,IF(AND(HR$16&gt;=$F23,HR$16&lt;$F23+($G23*$I23)),"➤",""),"")</f>
        <v/>
      </c>
      <c r="HS23" s="76" t="str">
        <f aca="false">IF($I23&gt;0%,IF(AND(HS$16&gt;=$F23,HS$16&lt;$F23+($G23*$I23)),"➤",""),"")</f>
        <v/>
      </c>
      <c r="HT23" s="76" t="str">
        <f aca="false">IF($I23&gt;0%,IF(AND(HT$16&gt;=$F23,HT$16&lt;$F23+($G23*$I23)),"➤",""),"")</f>
        <v/>
      </c>
      <c r="HU23" s="76" t="str">
        <f aca="false">IF($I23&gt;0%,IF(AND(HU$16&gt;=$F23,HU$16&lt;$F23+($G23*$I23)),"➤",""),"")</f>
        <v/>
      </c>
      <c r="HV23" s="76" t="str">
        <f aca="false">IF($I23&gt;0%,IF(AND(HV$16&gt;=$F23,HV$16&lt;$F23+($G23*$I23)),"➤",""),"")</f>
        <v/>
      </c>
      <c r="HW23" s="76" t="str">
        <f aca="false">IF($I23&gt;0%,IF(AND(HW$16&gt;=$F23,HW$16&lt;$F23+($G23*$I23)),"➤",""),"")</f>
        <v/>
      </c>
      <c r="HX23" s="76" t="str">
        <f aca="false">IF($I23&gt;0%,IF(AND(HX$16&gt;=$F23,HX$16&lt;$F23+($G23*$I23)),"➤",""),"")</f>
        <v/>
      </c>
      <c r="HY23" s="76" t="str">
        <f aca="false">IF($I23&gt;0%,IF(AND(HY$16&gt;=$F23,HY$16&lt;$F23+($G23*$I23)),"➤",""),"")</f>
        <v/>
      </c>
      <c r="HZ23" s="76" t="str">
        <f aca="false">IF($I23&gt;0%,IF(AND(HZ$16&gt;=$F23,HZ$16&lt;$F23+($G23*$I23)),"➤",""),"")</f>
        <v/>
      </c>
      <c r="IA23" s="76" t="str">
        <f aca="false">IF($I23&gt;0%,IF(AND(IA$16&gt;=$F23,IA$16&lt;$F23+($G23*$I23)),"➤",""),"")</f>
        <v/>
      </c>
      <c r="IB23" s="76" t="str">
        <f aca="false">IF($I23&gt;0%,IF(AND(IB$16&gt;=$F23,IB$16&lt;$F23+($G23*$I23)),"➤",""),"")</f>
        <v/>
      </c>
      <c r="IC23" s="76" t="str">
        <f aca="false">IF($I23&gt;0%,IF(AND(IC$16&gt;=$F23,IC$16&lt;$F23+($G23*$I23)),"➤",""),"")</f>
        <v/>
      </c>
      <c r="ID23" s="76" t="str">
        <f aca="false">IF($I23&gt;0%,IF(AND(ID$16&gt;=$F23,ID$16&lt;$F23+($G23*$I23)),"➤",""),"")</f>
        <v/>
      </c>
      <c r="IE23" s="76" t="str">
        <f aca="false">IF($I23&gt;0%,IF(AND(IE$16&gt;=$F23,IE$16&lt;$F23+($G23*$I23)),"➤",""),"")</f>
        <v/>
      </c>
      <c r="IF23" s="76" t="str">
        <f aca="false">IF($I23&gt;0%,IF(AND(IF$16&gt;=$F23,IF$16&lt;$F23+($G23*$I23)),"➤",""),"")</f>
        <v/>
      </c>
      <c r="IG23" s="76" t="str">
        <f aca="false">IF($I23&gt;0%,IF(AND(IG$16&gt;=$F23,IG$16&lt;$F23+($G23*$I23)),"➤",""),"")</f>
        <v/>
      </c>
      <c r="IH23" s="76" t="str">
        <f aca="false">IF($I23&gt;0%,IF(AND(IH$16&gt;=$F23,IH$16&lt;$F23+($G23*$I23)),"➤",""),"")</f>
        <v/>
      </c>
      <c r="II23" s="76" t="str">
        <f aca="false">IF($I23&gt;0%,IF(AND(II$16&gt;=$F23,II$16&lt;$F23+($G23*$I23)),"➤",""),"")</f>
        <v/>
      </c>
      <c r="IJ23" s="76" t="str">
        <f aca="false">IF($I23&gt;0%,IF(AND(IJ$16&gt;=$F23,IJ$16&lt;$F23+($G23*$I23)),"➤",""),"")</f>
        <v/>
      </c>
      <c r="IK23" s="76" t="str">
        <f aca="false">IF($I23&gt;0%,IF(AND(IK$16&gt;=$F23,IK$16&lt;$F23+($G23*$I23)),"➤",""),"")</f>
        <v/>
      </c>
      <c r="IL23" s="76" t="str">
        <f aca="false">IF($I23&gt;0%,IF(AND(IL$16&gt;=$F23,IL$16&lt;$F23+($G23*$I23)),"➤",""),"")</f>
        <v/>
      </c>
      <c r="IM23" s="76" t="str">
        <f aca="false">IF($I23&gt;0%,IF(AND(IM$16&gt;=$F23,IM$16&lt;$F23+($G23*$I23)),"➤",""),"")</f>
        <v/>
      </c>
      <c r="IN23" s="76" t="str">
        <f aca="false">IF($I23&gt;0%,IF(AND(IN$16&gt;=$F23,IN$16&lt;$F23+($G23*$I23)),"➤",""),"")</f>
        <v/>
      </c>
      <c r="IO23" s="76" t="str">
        <f aca="false">IF($I23&gt;0%,IF(AND(IO$16&gt;=$F23,IO$16&lt;$F23+($G23*$I23)),"➤",""),"")</f>
        <v/>
      </c>
      <c r="IP23" s="76" t="str">
        <f aca="false">IF($I23&gt;0%,IF(AND(IP$16&gt;=$F23,IP$16&lt;$F23+($G23*$I23)),"➤",""),"")</f>
        <v/>
      </c>
      <c r="IQ23" s="76" t="str">
        <f aca="false">IF($I23&gt;0%,IF(AND(IQ$16&gt;=$F23,IQ$16&lt;$F23+($G23*$I23)),"➤",""),"")</f>
        <v/>
      </c>
      <c r="IR23" s="76" t="str">
        <f aca="false">IF($I23&gt;0%,IF(AND(IR$16&gt;=$F23,IR$16&lt;$F23+($G23*$I23)),"➤",""),"")</f>
        <v/>
      </c>
      <c r="IS23" s="76" t="str">
        <f aca="false">IF($I23&gt;0%,IF(AND(IS$16&gt;=$F23,IS$16&lt;$F23+($G23*$I23)),"➤",""),"")</f>
        <v/>
      </c>
      <c r="IT23" s="76" t="str">
        <f aca="false">IF($I23&gt;0%,IF(AND(IT$16&gt;=$F23,IT$16&lt;$F23+($G23*$I23)),"➤",""),"")</f>
        <v/>
      </c>
      <c r="IU23" s="76" t="str">
        <f aca="false">IF($I23&gt;0%,IF(AND(IU$16&gt;=$F23,IU$16&lt;$F23+($G23*$I23)),"➤",""),"")</f>
        <v/>
      </c>
      <c r="IV23" s="76" t="str">
        <f aca="false">IF($I23&gt;0%,IF(AND(IV$16&gt;=$F23,IV$16&lt;$F23+($G23*$I23)),"➤",""),"")</f>
        <v/>
      </c>
      <c r="IW23" s="76" t="str">
        <f aca="false">IF($I23&gt;0%,IF(AND(IW$16&gt;=$F23,IW$16&lt;$F23+($G23*$I23)),"➤",""),"")</f>
        <v/>
      </c>
      <c r="IX23" s="76" t="str">
        <f aca="false">IF($I23&gt;0%,IF(AND(IX$16&gt;=$F23,IX$16&lt;$F23+($G23*$I23)),"➤",""),"")</f>
        <v/>
      </c>
      <c r="IY23" s="76" t="str">
        <f aca="false">IF($I23&gt;0%,IF(AND(IY$16&gt;=$F23,IY$16&lt;$F23+($G23*$I23)),"➤",""),"")</f>
        <v/>
      </c>
      <c r="IZ23" s="76" t="str">
        <f aca="false">IF($I23&gt;0%,IF(AND(IZ$16&gt;=$F23,IZ$16&lt;$F23+($G23*$I23)),"➤",""),"")</f>
        <v/>
      </c>
      <c r="JA23" s="76" t="str">
        <f aca="false">IF($I23&gt;0%,IF(AND(JA$16&gt;=$F23,JA$16&lt;$F23+($G23*$I23)),"➤",""),"")</f>
        <v/>
      </c>
      <c r="JB23" s="76" t="str">
        <f aca="false">IF($I23&gt;0%,IF(AND(JB$16&gt;=$F23,JB$16&lt;$F23+($G23*$I23)),"➤",""),"")</f>
        <v/>
      </c>
      <c r="JC23" s="76" t="str">
        <f aca="false">IF($I23&gt;0%,IF(AND(JC$16&gt;=$F23,JC$16&lt;$F23+($G23*$I23)),"➤",""),"")</f>
        <v/>
      </c>
      <c r="JD23" s="76" t="str">
        <f aca="false">IF($I23&gt;0%,IF(AND(JD$16&gt;=$F23,JD$16&lt;$F23+($G23*$I23)),"➤",""),"")</f>
        <v/>
      </c>
      <c r="JE23" s="76" t="str">
        <f aca="false">IF($I23&gt;0%,IF(AND(JE$16&gt;=$F23,JE$16&lt;$F23+($G23*$I23)),"➤",""),"")</f>
        <v/>
      </c>
      <c r="JF23" s="76" t="str">
        <f aca="false">IF($I23&gt;0%,IF(AND(JF$16&gt;=$F23,JF$16&lt;$F23+($G23*$I23)),"➤",""),"")</f>
        <v/>
      </c>
      <c r="JG23" s="76" t="str">
        <f aca="false">IF($I23&gt;0%,IF(AND(JG$16&gt;=$F23,JG$16&lt;$F23+($G23*$I23)),"➤",""),"")</f>
        <v/>
      </c>
      <c r="JH23" s="76" t="str">
        <f aca="false">IF($I23&gt;0%,IF(AND(JH$16&gt;=$F23,JH$16&lt;$F23+($G23*$I23)),"➤",""),"")</f>
        <v/>
      </c>
      <c r="JI23" s="76" t="str">
        <f aca="false">IF($I23&gt;0%,IF(AND(JI$16&gt;=$F23,JI$16&lt;$F23+($G23*$I23)),"➤",""),"")</f>
        <v/>
      </c>
      <c r="JJ23" s="76" t="str">
        <f aca="false">IF($I23&gt;0%,IF(AND(JJ$16&gt;=$F23,JJ$16&lt;$F23+($G23*$I23)),"➤",""),"")</f>
        <v/>
      </c>
      <c r="JK23" s="76" t="str">
        <f aca="false">IF($I23&gt;0%,IF(AND(JK$16&gt;=$F23,JK$16&lt;$F23+($G23*$I23)),"➤",""),"")</f>
        <v/>
      </c>
      <c r="JL23" s="76" t="str">
        <f aca="false">IF($I23&gt;0%,IF(AND(JL$16&gt;=$F23,JL$16&lt;$F23+($G23*$I23)),"➤",""),"")</f>
        <v/>
      </c>
      <c r="JM23" s="76" t="str">
        <f aca="false">IF($I23&gt;0%,IF(AND(JM$16&gt;=$F23,JM$16&lt;$F23+($G23*$I23)),"➤",""),"")</f>
        <v/>
      </c>
      <c r="JN23" s="76" t="str">
        <f aca="false">IF($I23&gt;0%,IF(AND(JN$16&gt;=$F23,JN$16&lt;$F23+($G23*$I23)),"➤",""),"")</f>
        <v/>
      </c>
      <c r="JO23" s="76" t="str">
        <f aca="false">IF($I23&gt;0%,IF(AND(JO$16&gt;=$F23,JO$16&lt;$F23+($G23*$I23)),"➤",""),"")</f>
        <v/>
      </c>
      <c r="JP23" s="76" t="str">
        <f aca="false">IF($I23&gt;0%,IF(AND(JP$16&gt;=$F23,JP$16&lt;$F23+($G23*$I23)),"➤",""),"")</f>
        <v/>
      </c>
      <c r="JQ23" s="76" t="str">
        <f aca="false">IF($I23&gt;0%,IF(AND(JQ$16&gt;=$F23,JQ$16&lt;$F23+($G23*$I23)),"➤",""),"")</f>
        <v/>
      </c>
      <c r="JR23" s="76" t="str">
        <f aca="false">IF($I23&gt;0%,IF(AND(JR$16&gt;=$F23,JR$16&lt;$F23+($G23*$I23)),"➤",""),"")</f>
        <v/>
      </c>
      <c r="JS23" s="76" t="str">
        <f aca="false">IF($I23&gt;0%,IF(AND(JS$16&gt;=$F23,JS$16&lt;$F23+($G23*$I23)),"➤",""),"")</f>
        <v/>
      </c>
      <c r="JT23" s="76" t="str">
        <f aca="false">IF($I23&gt;0%,IF(AND(JT$16&gt;=$F23,JT$16&lt;$F23+($G23*$I23)),"➤",""),"")</f>
        <v/>
      </c>
      <c r="JU23" s="76" t="str">
        <f aca="false">IF($I23&gt;0%,IF(AND(JU$16&gt;=$F23,JU$16&lt;$F23+($G23*$I23)),"➤",""),"")</f>
        <v/>
      </c>
      <c r="JV23" s="76" t="str">
        <f aca="false">IF($I23&gt;0%,IF(AND(JV$16&gt;=$F23,JV$16&lt;$F23+($G23*$I23)),"➤",""),"")</f>
        <v/>
      </c>
      <c r="JW23" s="76" t="str">
        <f aca="false">IF($I23&gt;0%,IF(AND(JW$16&gt;=$F23,JW$16&lt;$F23+($G23*$I23)),"➤",""),"")</f>
        <v/>
      </c>
      <c r="JX23" s="76" t="str">
        <f aca="false">IF($I23&gt;0%,IF(AND(JX$16&gt;=$F23,JX$16&lt;$F23+($G23*$I23)),"➤",""),"")</f>
        <v/>
      </c>
      <c r="JY23" s="76" t="str">
        <f aca="false">IF($I23&gt;0%,IF(AND(JY$16&gt;=$F23,JY$16&lt;$F23+($G23*$I23)),"➤",""),"")</f>
        <v/>
      </c>
      <c r="JZ23" s="76" t="str">
        <f aca="false">IF($I23&gt;0%,IF(AND(JZ$16&gt;=$F23,JZ$16&lt;$F23+($G23*$I23)),"➤",""),"")</f>
        <v/>
      </c>
      <c r="KA23" s="76" t="str">
        <f aca="false">IF($I23&gt;0%,IF(AND(KA$16&gt;=$F23,KA$16&lt;$F23+($G23*$I23)),"➤",""),"")</f>
        <v/>
      </c>
      <c r="KB23" s="76" t="str">
        <f aca="false">IF($I23&gt;0%,IF(AND(KB$16&gt;=$F23,KB$16&lt;$F23+($G23*$I23)),"➤",""),"")</f>
        <v/>
      </c>
      <c r="KC23" s="76" t="str">
        <f aca="false">IF($I23&gt;0%,IF(AND(KC$16&gt;=$F23,KC$16&lt;$F23+($G23*$I23)),"➤",""),"")</f>
        <v/>
      </c>
      <c r="KD23" s="76" t="str">
        <f aca="false">IF($I23&gt;0%,IF(AND(KD$16&gt;=$F23,KD$16&lt;$F23+($G23*$I23)),"➤",""),"")</f>
        <v/>
      </c>
      <c r="KE23" s="76" t="str">
        <f aca="false">IF($I23&gt;0%,IF(AND(KE$16&gt;=$F23,KE$16&lt;$F23+($G23*$I23)),"➤",""),"")</f>
        <v/>
      </c>
      <c r="KF23" s="76" t="str">
        <f aca="false">IF($I23&gt;0%,IF(AND(KF$16&gt;=$F23,KF$16&lt;$F23+($G23*$I23)),"➤",""),"")</f>
        <v/>
      </c>
      <c r="KG23" s="76" t="str">
        <f aca="false">IF($I23&gt;0%,IF(AND(KG$16&gt;=$F23,KG$16&lt;$F23+($G23*$I23)),"➤",""),"")</f>
        <v/>
      </c>
      <c r="KH23" s="76" t="str">
        <f aca="false">IF($I23&gt;0%,IF(AND(KH$16&gt;=$F23,KH$16&lt;$F23+($G23*$I23)),"➤",""),"")</f>
        <v/>
      </c>
      <c r="KI23" s="76" t="str">
        <f aca="false">IF($I23&gt;0%,IF(AND(KI$16&gt;=$F23,KI$16&lt;$F23+($G23*$I23)),"➤",""),"")</f>
        <v/>
      </c>
      <c r="KJ23" s="76" t="str">
        <f aca="false">IF($I23&gt;0%,IF(AND(KJ$16&gt;=$F23,KJ$16&lt;$F23+($G23*$I23)),"➤",""),"")</f>
        <v/>
      </c>
      <c r="KK23" s="76" t="str">
        <f aca="false">IF($I23&gt;0%,IF(AND(KK$16&gt;=$F23,KK$16&lt;$F23+($G23*$I23)),"➤",""),"")</f>
        <v/>
      </c>
      <c r="KL23" s="76" t="str">
        <f aca="false">IF($I23&gt;0%,IF(AND(KL$16&gt;=$F23,KL$16&lt;$F23+($G23*$I23)),"➤",""),"")</f>
        <v/>
      </c>
      <c r="KM23" s="76" t="str">
        <f aca="false">IF($I23&gt;0%,IF(AND(KM$16&gt;=$F23,KM$16&lt;$F23+($G23*$I23)),"➤",""),"")</f>
        <v/>
      </c>
      <c r="KN23" s="76" t="str">
        <f aca="false">IF($I23&gt;0%,IF(AND(KN$16&gt;=$F23,KN$16&lt;$F23+($G23*$I23)),"➤",""),"")</f>
        <v/>
      </c>
      <c r="KO23" s="76" t="str">
        <f aca="false">IF($I23&gt;0%,IF(AND(KO$16&gt;=$F23,KO$16&lt;$F23+($G23*$I23)),"➤",""),"")</f>
        <v/>
      </c>
      <c r="KP23" s="76" t="str">
        <f aca="false">IF($I23&gt;0%,IF(AND(KP$16&gt;=$F23,KP$16&lt;$F23+($G23*$I23)),"➤",""),"")</f>
        <v/>
      </c>
      <c r="KQ23" s="76" t="str">
        <f aca="false">IF($I23&gt;0%,IF(AND(KQ$16&gt;=$F23,KQ$16&lt;$F23+($G23*$I23)),"➤",""),"")</f>
        <v/>
      </c>
      <c r="KR23" s="76" t="str">
        <f aca="false">IF($I23&gt;0%,IF(AND(KR$16&gt;=$F23,KR$16&lt;$F23+($G23*$I23)),"➤",""),"")</f>
        <v/>
      </c>
      <c r="KS23" s="76" t="str">
        <f aca="false">IF($I23&gt;0%,IF(AND(KS$16&gt;=$F23,KS$16&lt;$F23+($G23*$I23)),"➤",""),"")</f>
        <v/>
      </c>
      <c r="KT23" s="76" t="str">
        <f aca="false">IF($I23&gt;0%,IF(AND(KT$16&gt;=$F23,KT$16&lt;$F23+($G23*$I23)),"➤",""),"")</f>
        <v/>
      </c>
      <c r="KU23" s="76" t="str">
        <f aca="false">IF($I23&gt;0%,IF(AND(KU$16&gt;=$F23,KU$16&lt;$F23+($G23*$I23)),"➤",""),"")</f>
        <v/>
      </c>
      <c r="KV23" s="76" t="str">
        <f aca="false">IF($I23&gt;0%,IF(AND(KV$16&gt;=$F23,KV$16&lt;$F23+($G23*$I23)),"➤",""),"")</f>
        <v/>
      </c>
      <c r="KW23" s="76" t="str">
        <f aca="false">IF($I23&gt;0%,IF(AND(KW$16&gt;=$F23,KW$16&lt;$F23+($G23*$I23)),"➤",""),"")</f>
        <v/>
      </c>
      <c r="KX23" s="76" t="str">
        <f aca="false">IF($I23&gt;0%,IF(AND(KX$16&gt;=$F23,KX$16&lt;$F23+($G23*$I23)),"➤",""),"")</f>
        <v/>
      </c>
      <c r="KY23" s="76" t="str">
        <f aca="false">IF($I23&gt;0%,IF(AND(KY$16&gt;=$F23,KY$16&lt;$F23+($G23*$I23)),"➤",""),"")</f>
        <v/>
      </c>
      <c r="KZ23" s="76" t="str">
        <f aca="false">IF($I23&gt;0%,IF(AND(KZ$16&gt;=$F23,KZ$16&lt;$F23+($G23*$I23)),"➤",""),"")</f>
        <v/>
      </c>
      <c r="LA23" s="76" t="str">
        <f aca="false">IF($I23&gt;0%,IF(AND(LA$16&gt;=$F23,LA$16&lt;$F23+($G23*$I23)),"➤",""),"")</f>
        <v/>
      </c>
      <c r="LB23" s="76" t="str">
        <f aca="false">IF($I23&gt;0%,IF(AND(LB$16&gt;=$F23,LB$16&lt;$F23+($G23*$I23)),"➤",""),"")</f>
        <v/>
      </c>
      <c r="LC23" s="76" t="str">
        <f aca="false">IF($I23&gt;0%,IF(AND(LC$16&gt;=$F23,LC$16&lt;$F23+($G23*$I23)),"➤",""),"")</f>
        <v/>
      </c>
      <c r="LD23" s="76" t="str">
        <f aca="false">IF($I23&gt;0%,IF(AND(LD$16&gt;=$F23,LD$16&lt;$F23+($G23*$I23)),"➤",""),"")</f>
        <v/>
      </c>
      <c r="LE23" s="76" t="str">
        <f aca="false">IF($I23&gt;0%,IF(AND(LE$16&gt;=$F23,LE$16&lt;$F23+($G23*$I23)),"➤",""),"")</f>
        <v/>
      </c>
      <c r="LF23" s="76" t="str">
        <f aca="false">IF($I23&gt;0%,IF(AND(LF$16&gt;=$F23,LF$16&lt;$F23+($G23*$I23)),"➤",""),"")</f>
        <v/>
      </c>
      <c r="LG23" s="76" t="str">
        <f aca="false">IF($I23&gt;0%,IF(AND(LG$16&gt;=$F23,LG$16&lt;$F23+($G23*$I23)),"➤",""),"")</f>
        <v/>
      </c>
      <c r="LH23" s="76" t="str">
        <f aca="false">IF($I23&gt;0%,IF(AND(LH$16&gt;=$F23,LH$16&lt;$F23+($G23*$I23)),"➤",""),"")</f>
        <v/>
      </c>
      <c r="LI23" s="76" t="str">
        <f aca="false">IF($I23&gt;0%,IF(AND(LI$16&gt;=$F23,LI$16&lt;$F23+($G23*$I23)),"➤",""),"")</f>
        <v/>
      </c>
      <c r="LJ23" s="76" t="str">
        <f aca="false">IF($I23&gt;0%,IF(AND(LJ$16&gt;=$F23,LJ$16&lt;$F23+($G23*$I23)),"➤",""),"")</f>
        <v/>
      </c>
      <c r="LK23" s="76" t="str">
        <f aca="false">IF($I23&gt;0%,IF(AND(LK$16&gt;=$F23,LK$16&lt;$F23+($G23*$I23)),"➤",""),"")</f>
        <v/>
      </c>
      <c r="LL23" s="76" t="str">
        <f aca="false">IF($I23&gt;0%,IF(AND(LL$16&gt;=$F23,LL$16&lt;$F23+($G23*$I23)),"➤",""),"")</f>
        <v/>
      </c>
      <c r="LM23" s="76" t="str">
        <f aca="false">IF($I23&gt;0%,IF(AND(LM$16&gt;=$F23,LM$16&lt;$F23+($G23*$I23)),"➤",""),"")</f>
        <v/>
      </c>
      <c r="LN23" s="76" t="str">
        <f aca="false">IF($I23&gt;0%,IF(AND(LN$16&gt;=$F23,LN$16&lt;$F23+($G23*$I23)),"➤",""),"")</f>
        <v/>
      </c>
      <c r="LO23" s="76" t="str">
        <f aca="false">IF($I23&gt;0%,IF(AND(LO$16&gt;=$F23,LO$16&lt;$F23+($G23*$I23)),"➤",""),"")</f>
        <v/>
      </c>
      <c r="LP23" s="76" t="str">
        <f aca="false">IF($I23&gt;0%,IF(AND(LP$16&gt;=$F23,LP$16&lt;$F23+($G23*$I23)),"➤",""),"")</f>
        <v/>
      </c>
      <c r="LQ23" s="76" t="str">
        <f aca="false">IF($I23&gt;0%,IF(AND(LQ$16&gt;=$F23,LQ$16&lt;$F23+($G23*$I23)),"➤",""),"")</f>
        <v/>
      </c>
      <c r="LR23" s="76" t="str">
        <f aca="false">IF($I23&gt;0%,IF(AND(LR$16&gt;=$F23,LR$16&lt;$F23+($G23*$I23)),"➤",""),"")</f>
        <v/>
      </c>
      <c r="LS23" s="76" t="str">
        <f aca="false">IF($I23&gt;0%,IF(AND(LS$16&gt;=$F23,LS$16&lt;$F23+($G23*$I23)),"➤",""),"")</f>
        <v/>
      </c>
      <c r="LT23" s="76" t="str">
        <f aca="false">IF($I23&gt;0%,IF(AND(LT$16&gt;=$F23,LT$16&lt;$F23+($G23*$I23)),"➤",""),"")</f>
        <v/>
      </c>
      <c r="LU23" s="76" t="str">
        <f aca="false">IF($I23&gt;0%,IF(AND(LU$16&gt;=$F23,LU$16&lt;$F23+($G23*$I23)),"➤",""),"")</f>
        <v/>
      </c>
      <c r="LV23" s="76" t="str">
        <f aca="false">IF($I23&gt;0%,IF(AND(LV$16&gt;=$F23,LV$16&lt;$F23+($G23*$I23)),"➤",""),"")</f>
        <v/>
      </c>
      <c r="LW23" s="76" t="str">
        <f aca="false">IF($I23&gt;0%,IF(AND(LW$16&gt;=$F23,LW$16&lt;$F23+($G23*$I23)),"➤",""),"")</f>
        <v/>
      </c>
      <c r="LX23" s="76" t="str">
        <f aca="false">IF($I23&gt;0%,IF(AND(LX$16&gt;=$F23,LX$16&lt;$F23+($G23*$I23)),"➤",""),"")</f>
        <v/>
      </c>
      <c r="LY23" s="76" t="str">
        <f aca="false">IF($I23&gt;0%,IF(AND(LY$16&gt;=$F23,LY$16&lt;$F23+($G23*$I23)),"➤",""),"")</f>
        <v/>
      </c>
      <c r="LZ23" s="76" t="str">
        <f aca="false">IF($I23&gt;0%,IF(AND(LZ$16&gt;=$F23,LZ$16&lt;$F23+($G23*$I23)),"➤",""),"")</f>
        <v/>
      </c>
      <c r="MA23" s="76" t="str">
        <f aca="false">IF($I23&gt;0%,IF(AND(MA$16&gt;=$F23,MA$16&lt;$F23+($G23*$I23)),"➤",""),"")</f>
        <v/>
      </c>
      <c r="MB23" s="76" t="str">
        <f aca="false">IF($I23&gt;0%,IF(AND(MB$16&gt;=$F23,MB$16&lt;$F23+($G23*$I23)),"➤",""),"")</f>
        <v/>
      </c>
      <c r="MC23" s="76" t="str">
        <f aca="false">IF($I23&gt;0%,IF(AND(MC$16&gt;=$F23,MC$16&lt;$F23+($G23*$I23)),"➤",""),"")</f>
        <v/>
      </c>
      <c r="MD23" s="76" t="str">
        <f aca="false">IF($I23&gt;0%,IF(AND(MD$16&gt;=$F23,MD$16&lt;$F23+($G23*$I23)),"➤",""),"")</f>
        <v/>
      </c>
      <c r="ME23" s="76" t="str">
        <f aca="false">IF($I23&gt;0%,IF(AND(ME$16&gt;=$F23,ME$16&lt;$F23+($G23*$I23)),"➤",""),"")</f>
        <v/>
      </c>
      <c r="MF23" s="76" t="str">
        <f aca="false">IF($I23&gt;0%,IF(AND(MF$16&gt;=$F23,MF$16&lt;$F23+($G23*$I23)),"➤",""),"")</f>
        <v/>
      </c>
      <c r="MG23" s="76" t="str">
        <f aca="false">IF($I23&gt;0%,IF(AND(MG$16&gt;=$F23,MG$16&lt;$F23+($G23*$I23)),"➤",""),"")</f>
        <v/>
      </c>
      <c r="MH23" s="76" t="str">
        <f aca="false">IF($I23&gt;0%,IF(AND(MH$16&gt;=$F23,MH$16&lt;$F23+($G23*$I23)),"➤",""),"")</f>
        <v/>
      </c>
      <c r="MI23" s="76" t="str">
        <f aca="false">IF($I23&gt;0%,IF(AND(MI$16&gt;=$F23,MI$16&lt;$F23+($G23*$I23)),"➤",""),"")</f>
        <v/>
      </c>
      <c r="MJ23" s="76" t="str">
        <f aca="false">IF($I23&gt;0%,IF(AND(MJ$16&gt;=$F23,MJ$16&lt;$F23+($G23*$I23)),"➤",""),"")</f>
        <v/>
      </c>
      <c r="MK23" s="76" t="str">
        <f aca="false">IF($I23&gt;0%,IF(AND(MK$16&gt;=$F23,MK$16&lt;$F23+($G23*$I23)),"➤",""),"")</f>
        <v/>
      </c>
      <c r="ML23" s="76" t="str">
        <f aca="false">IF($I23&gt;0%,IF(AND(ML$16&gt;=$F23,ML$16&lt;$F23+($G23*$I23)),"➤",""),"")</f>
        <v/>
      </c>
      <c r="MM23" s="76" t="str">
        <f aca="false">IF($I23&gt;0%,IF(AND(MM$16&gt;=$F23,MM$16&lt;$F23+($G23*$I23)),"➤",""),"")</f>
        <v/>
      </c>
      <c r="MN23" s="76" t="str">
        <f aca="false">IF($I23&gt;0%,IF(AND(MN$16&gt;=$F23,MN$16&lt;$F23+($G23*$I23)),"➤",""),"")</f>
        <v/>
      </c>
      <c r="MO23" s="76" t="str">
        <f aca="false">IF($I23&gt;0%,IF(AND(MO$16&gt;=$F23,MO$16&lt;$F23+($G23*$I23)),"➤",""),"")</f>
        <v/>
      </c>
      <c r="MP23" s="76" t="str">
        <f aca="false">IF($I23&gt;0%,IF(AND(MP$16&gt;=$F23,MP$16&lt;$F23+($G23*$I23)),"➤",""),"")</f>
        <v/>
      </c>
      <c r="MQ23" s="76" t="str">
        <f aca="false">IF($I23&gt;0%,IF(AND(MQ$16&gt;=$F23,MQ$16&lt;$F23+($G23*$I23)),"➤",""),"")</f>
        <v/>
      </c>
      <c r="MR23" s="76" t="str">
        <f aca="false">IF($I23&gt;0%,IF(AND(MR$16&gt;=$F23,MR$16&lt;$F23+($G23*$I23)),"➤",""),"")</f>
        <v/>
      </c>
      <c r="MS23" s="76" t="str">
        <f aca="false">IF($I23&gt;0%,IF(AND(MS$16&gt;=$F23,MS$16&lt;$F23+($G23*$I23)),"➤",""),"")</f>
        <v/>
      </c>
      <c r="MT23" s="76" t="str">
        <f aca="false">IF($I23&gt;0%,IF(AND(MT$16&gt;=$F23,MT$16&lt;$F23+($G23*$I23)),"➤",""),"")</f>
        <v/>
      </c>
      <c r="MU23" s="76" t="str">
        <f aca="false">IF($I23&gt;0%,IF(AND(MU$16&gt;=$F23,MU$16&lt;$F23+($G23*$I23)),"➤",""),"")</f>
        <v/>
      </c>
      <c r="MV23" s="76" t="str">
        <f aca="false">IF($I23&gt;0%,IF(AND(MV$16&gt;=$F23,MV$16&lt;$F23+($G23*$I23)),"➤",""),"")</f>
        <v/>
      </c>
      <c r="MW23" s="76" t="str">
        <f aca="false">IF($I23&gt;0%,IF(AND(MW$16&gt;=$F23,MW$16&lt;$F23+($G23*$I23)),"➤",""),"")</f>
        <v/>
      </c>
      <c r="MX23" s="76" t="str">
        <f aca="false">IF($I23&gt;0%,IF(AND(MX$16&gt;=$F23,MX$16&lt;$F23+($G23*$I23)),"➤",""),"")</f>
        <v/>
      </c>
      <c r="MY23" s="76" t="str">
        <f aca="false">IF($I23&gt;0%,IF(AND(MY$16&gt;=$F23,MY$16&lt;$F23+($G23*$I23)),"➤",""),"")</f>
        <v/>
      </c>
      <c r="MZ23" s="76" t="str">
        <f aca="false">IF($I23&gt;0%,IF(AND(MZ$16&gt;=$F23,MZ$16&lt;$F23+($G23*$I23)),"➤",""),"")</f>
        <v/>
      </c>
      <c r="NA23" s="76" t="str">
        <f aca="false">IF($I23&gt;0%,IF(AND(NA$16&gt;=$F23,NA$16&lt;$F23+($G23*$I23)),"➤",""),"")</f>
        <v/>
      </c>
      <c r="NB23" s="76" t="str">
        <f aca="false">IF($I23&gt;0%,IF(AND(NB$16&gt;=$F23,NB$16&lt;$F23+($G23*$I23)),"➤",""),"")</f>
        <v/>
      </c>
      <c r="NC23" s="76" t="str">
        <f aca="false">IF($I23&gt;0%,IF(AND(NC$16&gt;=$F23,NC$16&lt;$F23+($G23*$I23)),"➤",""),"")</f>
        <v/>
      </c>
      <c r="ND23" s="76" t="str">
        <f aca="false">IF($I23&gt;0%,IF(AND(ND$16&gt;=$F23,ND$16&lt;$F23+($G23*$I23)),"➤",""),"")</f>
        <v/>
      </c>
      <c r="NE23" s="76" t="str">
        <f aca="false">IF($I23&gt;0%,IF(AND(NE$16&gt;=$F23,NE$16&lt;$F23+($G23*$I23)),"➤",""),"")</f>
        <v/>
      </c>
      <c r="NF23" s="76" t="str">
        <f aca="false">IF($I23&gt;0%,IF(AND(NF$16&gt;=$F23,NF$16&lt;$F23+($G23*$I23)),"➤",""),"")</f>
        <v/>
      </c>
      <c r="NG23" s="76" t="str">
        <f aca="false">IF($I23&gt;0%,IF(AND(NG$16&gt;=$F23,NG$16&lt;$F23+($G23*$I23)),"➤",""),"")</f>
        <v/>
      </c>
      <c r="NH23" s="76" t="str">
        <f aca="false">IF($I23&gt;0%,IF(AND(NH$16&gt;=$F23,NH$16&lt;$F23+($G23*$I23)),"➤",""),"")</f>
        <v/>
      </c>
      <c r="NI23" s="76" t="str">
        <f aca="false">IF($I23&gt;0%,IF(AND(NI$16&gt;=$F23,NI$16&lt;$F23+($G23*$I23)),"➤",""),"")</f>
        <v/>
      </c>
      <c r="NJ23" s="76" t="str">
        <f aca="false">IF($I23&gt;0%,IF(AND(NJ$16&gt;=$F23,NJ$16&lt;$F23+($G23*$I23)),"➤",""),"")</f>
        <v/>
      </c>
      <c r="NK23" s="76" t="str">
        <f aca="false">IF($I23&gt;0%,IF(AND(NK$16&gt;=$F23,NK$16&lt;$F23+($G23*$I23)),"➤",""),"")</f>
        <v/>
      </c>
      <c r="NL23" s="76" t="str">
        <f aca="false">IF($I23&gt;0%,IF(AND(NL$16&gt;=$F23,NL$16&lt;$F23+($G23*$I23)),"➤",""),"")</f>
        <v/>
      </c>
      <c r="NM23" s="76" t="str">
        <f aca="false">IF($I23&gt;0%,IF(AND(NM$16&gt;=$F23,NM$16&lt;$F23+($G23*$I23)),"➤",""),"")</f>
        <v/>
      </c>
      <c r="NN23" s="76" t="str">
        <f aca="false">IF($I23&gt;0%,IF(AND(NN$16&gt;=$F23,NN$16&lt;$F23+($G23*$I23)),"➤",""),"")</f>
        <v/>
      </c>
      <c r="NO23" s="76" t="str">
        <f aca="false">IF($I23&gt;0%,IF(AND(NO$16&gt;=$F23,NO$16&lt;$F23+($G23*$I23)),"➤",""),"")</f>
        <v/>
      </c>
      <c r="NP23" s="76" t="str">
        <f aca="false">IF($I23&gt;0%,IF(AND(NP$16&gt;=$F23,NP$16&lt;$F23+($G23*$I23)),"➤",""),"")</f>
        <v/>
      </c>
      <c r="NQ23" s="76" t="str">
        <f aca="false">IF($I23&gt;0%,IF(AND(NQ$16&gt;=$F23,NQ$16&lt;$F23+($G23*$I23)),"➤",""),"")</f>
        <v/>
      </c>
      <c r="NR23" s="76" t="str">
        <f aca="false">IF($I23&gt;0%,IF(AND(NR$16&gt;=$F23,NR$16&lt;$F23+($G23*$I23)),"➤",""),"")</f>
        <v/>
      </c>
      <c r="NS23" s="76" t="str">
        <f aca="false">IF($I23&gt;0%,IF(AND(NS$16&gt;=$F23,NS$16&lt;$F23+($G23*$I23)),"➤",""),"")</f>
        <v/>
      </c>
      <c r="NT23" s="76" t="str">
        <f aca="false">IF($I23&gt;0%,IF(AND(NT$16&gt;=$F23,NT$16&lt;$F23+($G23*$I23)),"➤",""),"")</f>
        <v/>
      </c>
      <c r="NU23" s="76" t="str">
        <f aca="false">IF($I23&gt;0%,IF(AND(NU$16&gt;=$F23,NU$16&lt;$F23+($G23*$I23)),"➤",""),"")</f>
        <v/>
      </c>
      <c r="NV23" s="76" t="str">
        <f aca="false">IF($I23&gt;0%,IF(AND(NV$16&gt;=$F23,NV$16&lt;$F23+($G23*$I23)),"➤",""),"")</f>
        <v/>
      </c>
      <c r="NW23" s="76" t="str">
        <f aca="false">IF($I23&gt;0%,IF(AND(NW$16&gt;=$F23,NW$16&lt;$F23+($G23*$I23)),"➤",""),"")</f>
        <v/>
      </c>
      <c r="NX23" s="76" t="str">
        <f aca="false">IF($I23&gt;0%,IF(AND(NX$16&gt;=$F23,NX$16&lt;$F23+($G23*$I23)),"➤",""),"")</f>
        <v/>
      </c>
      <c r="NY23" s="76" t="str">
        <f aca="false">IF($I23&gt;0%,IF(AND(NY$16&gt;=$F23,NY$16&lt;$F23+($G23*$I23)),"➤",""),"")</f>
        <v/>
      </c>
      <c r="NZ23" s="76" t="str">
        <f aca="false">IF($I23&gt;0%,IF(AND(NZ$16&gt;=$F23,NZ$16&lt;$F23+($G23*$I23)),"➤",""),"")</f>
        <v/>
      </c>
      <c r="OA23" s="76" t="str">
        <f aca="false">IF($I23&gt;0%,IF(AND(OA$16&gt;=$F23,OA$16&lt;$F23+($G23*$I23)),"➤",""),"")</f>
        <v/>
      </c>
      <c r="OB23" s="76" t="str">
        <f aca="false">IF($I23&gt;0%,IF(AND(OB$16&gt;=$F23,OB$16&lt;$F23+($G23*$I23)),"➤",""),"")</f>
        <v/>
      </c>
      <c r="OC23" s="76" t="str">
        <f aca="false">IF($I23&gt;0%,IF(AND(OC$16&gt;=$F23,OC$16&lt;$F23+($G23*$I23)),"➤",""),"")</f>
        <v/>
      </c>
      <c r="OD23" s="76" t="str">
        <f aca="false">IF($I23&gt;0%,IF(AND(OD$16&gt;=$F23,OD$16&lt;$F23+($G23*$I23)),"➤",""),"")</f>
        <v/>
      </c>
      <c r="OE23" s="76" t="str">
        <f aca="false">IF($I23&gt;0%,IF(AND(OE$16&gt;=$F23,OE$16&lt;$F23+($G23*$I23)),"➤",""),"")</f>
        <v/>
      </c>
      <c r="OF23" s="76" t="str">
        <f aca="false">IF($I23&gt;0%,IF(AND(OF$16&gt;=$F23,OF$16&lt;$F23+($G23*$I23)),"➤",""),"")</f>
        <v/>
      </c>
      <c r="OG23" s="76" t="str">
        <f aca="false">IF($I23&gt;0%,IF(AND(OG$16&gt;=$F23,OG$16&lt;$F23+($G23*$I23)),"➤",""),"")</f>
        <v/>
      </c>
      <c r="OH23" s="76" t="str">
        <f aca="false">IF($I23&gt;0%,IF(AND(OH$16&gt;=$F23,OH$16&lt;$F23+($G23*$I23)),"➤",""),"")</f>
        <v/>
      </c>
      <c r="OI23" s="76" t="str">
        <f aca="false">IF($I23&gt;0%,IF(AND(OI$16&gt;=$F23,OI$16&lt;$F23+($G23*$I23)),"➤",""),"")</f>
        <v/>
      </c>
      <c r="OJ23" s="76" t="str">
        <f aca="false">IF($I23&gt;0%,IF(AND(OJ$16&gt;=$F23,OJ$16&lt;$F23+($G23*$I23)),"➤",""),"")</f>
        <v/>
      </c>
      <c r="OK23" s="76" t="str">
        <f aca="false">IF($I23&gt;0%,IF(AND(OK$16&gt;=$F23,OK$16&lt;$F23+($G23*$I23)),"➤",""),"")</f>
        <v/>
      </c>
      <c r="OL23" s="76" t="str">
        <f aca="false">IF($I23&gt;0%,IF(AND(OL$16&gt;=$F23,OL$16&lt;$F23+($G23*$I23)),"➤",""),"")</f>
        <v/>
      </c>
      <c r="OM23" s="76" t="str">
        <f aca="false">IF($I23&gt;0%,IF(AND(OM$16&gt;=$F23,OM$16&lt;$F23+($G23*$I23)),"➤",""),"")</f>
        <v/>
      </c>
      <c r="ON23" s="76" t="str">
        <f aca="false">IF($I23&gt;0%,IF(AND(ON$16&gt;=$F23,ON$16&lt;$F23+($G23*$I23)),"➤",""),"")</f>
        <v/>
      </c>
      <c r="OO23" s="76" t="str">
        <f aca="false">IF($I23&gt;0%,IF(AND(OO$16&gt;=$F23,OO$16&lt;$F23+($G23*$I23)),"➤",""),"")</f>
        <v/>
      </c>
      <c r="OP23" s="76" t="str">
        <f aca="false">IF($I23&gt;0%,IF(AND(OP$16&gt;=$F23,OP$16&lt;$F23+($G23*$I23)),"➤",""),"")</f>
        <v/>
      </c>
      <c r="OQ23" s="76" t="str">
        <f aca="false">IF($I23&gt;0%,IF(AND(OQ$16&gt;=$F23,OQ$16&lt;$F23+($G23*$I23)),"➤",""),"")</f>
        <v/>
      </c>
      <c r="OR23" s="76" t="str">
        <f aca="false">IF($I23&gt;0%,IF(AND(OR$16&gt;=$F23,OR$16&lt;$F23+($G23*$I23)),"➤",""),"")</f>
        <v/>
      </c>
      <c r="OS23" s="76" t="str">
        <f aca="false">IF($I23&gt;0%,IF(AND(OS$16&gt;=$F23,OS$16&lt;$F23+($G23*$I23)),"➤",""),"")</f>
        <v/>
      </c>
      <c r="OT23" s="76" t="str">
        <f aca="false">IF($I23&gt;0%,IF(AND(OT$16&gt;=$F23,OT$16&lt;$F23+($G23*$I23)),"➤",""),"")</f>
        <v/>
      </c>
      <c r="OU23" s="76" t="str">
        <f aca="false">IF($I23&gt;0%,IF(AND(OU$16&gt;=$F23,OU$16&lt;$F23+($G23*$I23)),"➤",""),"")</f>
        <v/>
      </c>
      <c r="OV23" s="76" t="str">
        <f aca="false">IF($I23&gt;0%,IF(AND(OV$16&gt;=$F23,OV$16&lt;$F23+($G23*$I23)),"➤",""),"")</f>
        <v/>
      </c>
      <c r="OW23" s="76" t="str">
        <f aca="false">IF($I23&gt;0%,IF(AND(OW$16&gt;=$F23,OW$16&lt;$F23+($G23*$I23)),"➤",""),"")</f>
        <v/>
      </c>
      <c r="OX23" s="76" t="str">
        <f aca="false">IF($I23&gt;0%,IF(AND(OX$16&gt;=$F23,OX$16&lt;$F23+($G23*$I23)),"➤",""),"")</f>
        <v/>
      </c>
      <c r="OY23" s="76" t="str">
        <f aca="false">IF($I23&gt;0%,IF(AND(OY$16&gt;=$F23,OY$16&lt;$F23+($G23*$I23)),"➤",""),"")</f>
        <v/>
      </c>
      <c r="OZ23" s="76" t="str">
        <f aca="false">IF($I23&gt;0%,IF(AND(OZ$16&gt;=$F23,OZ$16&lt;$F23+($G23*$I23)),"➤",""),"")</f>
        <v/>
      </c>
      <c r="PA23" s="76" t="str">
        <f aca="false">IF($I23&gt;0%,IF(AND(PA$16&gt;=$F23,PA$16&lt;$F23+($G23*$I23)),"➤",""),"")</f>
        <v/>
      </c>
      <c r="PB23" s="76" t="str">
        <f aca="false">IF($I23&gt;0%,IF(AND(PB$16&gt;=$F23,PB$16&lt;$F23+($G23*$I23)),"➤",""),"")</f>
        <v/>
      </c>
      <c r="PC23" s="76" t="str">
        <f aca="false">IF($I23&gt;0%,IF(AND(PC$16&gt;=$F23,PC$16&lt;$F23+($G23*$I23)),"➤",""),"")</f>
        <v/>
      </c>
      <c r="PD23" s="76" t="str">
        <f aca="false">IF($I23&gt;0%,IF(AND(PD$16&gt;=$F23,PD$16&lt;$F23+($G23*$I23)),"➤",""),"")</f>
        <v/>
      </c>
      <c r="PE23" s="76" t="str">
        <f aca="false">IF($I23&gt;0%,IF(AND(PE$16&gt;=$F23,PE$16&lt;$F23+($G23*$I23)),"➤",""),"")</f>
        <v/>
      </c>
      <c r="PF23" s="76" t="str">
        <f aca="false">IF($I23&gt;0%,IF(AND(PF$16&gt;=$F23,PF$16&lt;$F23+($G23*$I23)),"➤",""),"")</f>
        <v/>
      </c>
      <c r="PG23" s="76" t="str">
        <f aca="false">IF($I23&gt;0%,IF(AND(PG$16&gt;=$F23,PG$16&lt;$F23+($G23*$I23)),"➤",""),"")</f>
        <v/>
      </c>
      <c r="PH23" s="76" t="str">
        <f aca="false">IF($I23&gt;0%,IF(AND(PH$16&gt;=$F23,PH$16&lt;$F23+($G23*$I23)),"➤",""),"")</f>
        <v/>
      </c>
      <c r="PI23" s="76" t="str">
        <f aca="false">IF($I23&gt;0%,IF(AND(PI$16&gt;=$F23,PI$16&lt;$F23+($G23*$I23)),"➤",""),"")</f>
        <v/>
      </c>
      <c r="PJ23" s="76" t="str">
        <f aca="false">IF($I23&gt;0%,IF(AND(PJ$16&gt;=$F23,PJ$16&lt;$F23+($G23*$I23)),"➤",""),"")</f>
        <v/>
      </c>
      <c r="PK23" s="76" t="str">
        <f aca="false">IF($I23&gt;0%,IF(AND(PK$16&gt;=$F23,PK$16&lt;$F23+($G23*$I23)),"➤",""),"")</f>
        <v/>
      </c>
      <c r="PL23" s="76" t="str">
        <f aca="false">IF($I23&gt;0%,IF(AND(PL$16&gt;=$F23,PL$16&lt;$F23+($G23*$I23)),"➤",""),"")</f>
        <v/>
      </c>
      <c r="PM23" s="76" t="str">
        <f aca="false">IF($I23&gt;0%,IF(AND(PM$16&gt;=$F23,PM$16&lt;$F23+($G23*$I23)),"➤",""),"")</f>
        <v/>
      </c>
      <c r="PN23" s="76" t="str">
        <f aca="false">IF($I23&gt;0%,IF(AND(PN$16&gt;=$F23,PN$16&lt;$F23+($G23*$I23)),"➤",""),"")</f>
        <v/>
      </c>
      <c r="PO23" s="76" t="str">
        <f aca="false">IF($I23&gt;0%,IF(AND(PO$16&gt;=$F23,PO$16&lt;$F23+($G23*$I23)),"➤",""),"")</f>
        <v/>
      </c>
      <c r="PP23" s="76" t="str">
        <f aca="false">IF($I23&gt;0%,IF(AND(PP$16&gt;=$F23,PP$16&lt;$F23+($G23*$I23)),"➤",""),"")</f>
        <v/>
      </c>
      <c r="PQ23" s="76" t="str">
        <f aca="false">IF($I23&gt;0%,IF(AND(PQ$16&gt;=$F23,PQ$16&lt;$F23+($G23*$I23)),"➤",""),"")</f>
        <v/>
      </c>
      <c r="PR23" s="76" t="str">
        <f aca="false">IF($I23&gt;0%,IF(AND(PR$16&gt;=$F23,PR$16&lt;$F23+($G23*$I23)),"➤",""),"")</f>
        <v/>
      </c>
      <c r="PS23" s="76" t="str">
        <f aca="false">IF($I23&gt;0%,IF(AND(PS$16&gt;=$F23,PS$16&lt;$F23+($G23*$I23)),"➤",""),"")</f>
        <v/>
      </c>
      <c r="PT23" s="76" t="str">
        <f aca="false">IF($I23&gt;0%,IF(AND(PT$16&gt;=$F23,PT$16&lt;$F23+($G23*$I23)),"➤",""),"")</f>
        <v/>
      </c>
      <c r="PU23" s="76" t="str">
        <f aca="false">IF($I23&gt;0%,IF(AND(PU$16&gt;=$F23,PU$16&lt;$F23+($G23*$I23)),"➤",""),"")</f>
        <v/>
      </c>
      <c r="PV23" s="76" t="str">
        <f aca="false">IF($I23&gt;0%,IF(AND(PV$16&gt;=$F23,PV$16&lt;$F23+($G23*$I23)),"➤",""),"")</f>
        <v/>
      </c>
      <c r="PW23" s="76" t="str">
        <f aca="false">IF($I23&gt;0%,IF(AND(PW$16&gt;=$F23,PW$16&lt;$F23+($G23*$I23)),"➤",""),"")</f>
        <v/>
      </c>
      <c r="PX23" s="76" t="str">
        <f aca="false">IF($I23&gt;0%,IF(AND(PX$16&gt;=$F23,PX$16&lt;$F23+($G23*$I23)),"➤",""),"")</f>
        <v/>
      </c>
      <c r="PY23" s="76" t="str">
        <f aca="false">IF($I23&gt;0%,IF(AND(PY$16&gt;=$F23,PY$16&lt;$F23+($G23*$I23)),"➤",""),"")</f>
        <v/>
      </c>
      <c r="PZ23" s="76" t="str">
        <f aca="false">IF($I23&gt;0%,IF(AND(PZ$16&gt;=$F23,PZ$16&lt;$F23+($G23*$I23)),"➤",""),"")</f>
        <v/>
      </c>
      <c r="QA23" s="76" t="str">
        <f aca="false">IF($I23&gt;0%,IF(AND(QA$16&gt;=$F23,QA$16&lt;$F23+($G23*$I23)),"➤",""),"")</f>
        <v/>
      </c>
      <c r="QB23" s="76" t="str">
        <f aca="false">IF($I23&gt;0%,IF(AND(QB$16&gt;=$F23,QB$16&lt;$F23+($G23*$I23)),"➤",""),"")</f>
        <v/>
      </c>
      <c r="QC23" s="76" t="str">
        <f aca="false">IF($I23&gt;0%,IF(AND(QC$16&gt;=$F23,QC$16&lt;$F23+($G23*$I23)),"➤",""),"")</f>
        <v/>
      </c>
      <c r="QD23" s="76" t="str">
        <f aca="false">IF($I23&gt;0%,IF(AND(QD$16&gt;=$F23,QD$16&lt;$F23+($G23*$I23)),"➤",""),"")</f>
        <v/>
      </c>
      <c r="QE23" s="76" t="str">
        <f aca="false">IF($I23&gt;0%,IF(AND(QE$16&gt;=$F23,QE$16&lt;$F23+($G23*$I23)),"➤",""),"")</f>
        <v/>
      </c>
      <c r="QF23" s="76" t="str">
        <f aca="false">IF($I23&gt;0%,IF(AND(QF$16&gt;=$F23,QF$16&lt;$F23+($G23*$I23)),"➤",""),"")</f>
        <v/>
      </c>
      <c r="QG23" s="76" t="str">
        <f aca="false">IF($I23&gt;0%,IF(AND(QG$16&gt;=$F23,QG$16&lt;$F23+($G23*$I23)),"➤",""),"")</f>
        <v/>
      </c>
      <c r="QH23" s="76" t="str">
        <f aca="false">IF($I23&gt;0%,IF(AND(QH$16&gt;=$F23,QH$16&lt;$F23+($G23*$I23)),"➤",""),"")</f>
        <v/>
      </c>
      <c r="QI23" s="76" t="str">
        <f aca="false">IF($I23&gt;0%,IF(AND(QI$16&gt;=$F23,QI$16&lt;$F23+($G23*$I23)),"➤",""),"")</f>
        <v/>
      </c>
      <c r="QJ23" s="76" t="str">
        <f aca="false">IF($I23&gt;0%,IF(AND(QJ$16&gt;=$F23,QJ$16&lt;$F23+($G23*$I23)),"➤",""),"")</f>
        <v/>
      </c>
      <c r="QK23" s="76" t="str">
        <f aca="false">IF($I23&gt;0%,IF(AND(QK$16&gt;=$F23,QK$16&lt;$F23+($G23*$I23)),"➤",""),"")</f>
        <v/>
      </c>
      <c r="QL23" s="76" t="str">
        <f aca="false">IF($I23&gt;0%,IF(AND(QL$16&gt;=$F23,QL$16&lt;$F23+($G23*$I23)),"➤",""),"")</f>
        <v/>
      </c>
      <c r="QM23" s="76" t="str">
        <f aca="false">IF($I23&gt;0%,IF(AND(QM$16&gt;=$F23,QM$16&lt;$F23+($G23*$I23)),"➤",""),"")</f>
        <v/>
      </c>
      <c r="QN23" s="76" t="str">
        <f aca="false">IF($I23&gt;0%,IF(AND(QN$16&gt;=$F23,QN$16&lt;$F23+($G23*$I23)),"➤",""),"")</f>
        <v/>
      </c>
      <c r="QO23" s="76" t="str">
        <f aca="false">IF($I23&gt;0%,IF(AND(QO$16&gt;=$F23,QO$16&lt;$F23+($G23*$I23)),"➤",""),"")</f>
        <v/>
      </c>
      <c r="QP23" s="76" t="str">
        <f aca="false">IF($I23&gt;0%,IF(AND(QP$16&gt;=$F23,QP$16&lt;$F23+($G23*$I23)),"➤",""),"")</f>
        <v/>
      </c>
      <c r="QQ23" s="76" t="str">
        <f aca="false">IF($I23&gt;0%,IF(AND(QQ$16&gt;=$F23,QQ$16&lt;$F23+($G23*$I23)),"➤",""),"")</f>
        <v/>
      </c>
      <c r="QR23" s="76" t="str">
        <f aca="false">IF($I23&gt;0%,IF(AND(QR$16&gt;=$F23,QR$16&lt;$F23+($G23*$I23)),"➤",""),"")</f>
        <v/>
      </c>
      <c r="QS23" s="76" t="str">
        <f aca="false">IF($I23&gt;0%,IF(AND(QS$16&gt;=$F23,QS$16&lt;$F23+($G23*$I23)),"➤",""),"")</f>
        <v/>
      </c>
      <c r="QT23" s="76" t="str">
        <f aca="false">IF($I23&gt;0%,IF(AND(QT$16&gt;=$F23,QT$16&lt;$F23+($G23*$I23)),"➤",""),"")</f>
        <v/>
      </c>
      <c r="QU23" s="76" t="str">
        <f aca="false">IF($I23&gt;0%,IF(AND(QU$16&gt;=$F23,QU$16&lt;$F23+($G23*$I23)),"➤",""),"")</f>
        <v/>
      </c>
      <c r="QV23" s="76" t="str">
        <f aca="false">IF($I23&gt;0%,IF(AND(QV$16&gt;=$F23,QV$16&lt;$F23+($G23*$I23)),"➤",""),"")</f>
        <v/>
      </c>
      <c r="QW23" s="76" t="str">
        <f aca="false">IF($I23&gt;0%,IF(AND(QW$16&gt;=$F23,QW$16&lt;$F23+($G23*$I23)),"➤",""),"")</f>
        <v/>
      </c>
      <c r="QX23" s="76" t="str">
        <f aca="false">IF($I23&gt;0%,IF(AND(QX$16&gt;=$F23,QX$16&lt;$F23+($G23*$I23)),"➤",""),"")</f>
        <v/>
      </c>
      <c r="QY23" s="76" t="str">
        <f aca="false">IF($I23&gt;0%,IF(AND(QY$16&gt;=$F23,QY$16&lt;$F23+($G23*$I23)),"➤",""),"")</f>
        <v/>
      </c>
      <c r="QZ23" s="76" t="str">
        <f aca="false">IF($I23&gt;0%,IF(AND(QZ$16&gt;=$F23,QZ$16&lt;$F23+($G23*$I23)),"➤",""),"")</f>
        <v/>
      </c>
      <c r="RA23" s="76" t="str">
        <f aca="false">IF($I23&gt;0%,IF(AND(RA$16&gt;=$F23,RA$16&lt;$F23+($G23*$I23)),"➤",""),"")</f>
        <v/>
      </c>
      <c r="RB23" s="76" t="str">
        <f aca="false">IF($I23&gt;0%,IF(AND(RB$16&gt;=$F23,RB$16&lt;$F23+($G23*$I23)),"➤",""),"")</f>
        <v/>
      </c>
      <c r="RC23" s="76" t="str">
        <f aca="false">IF($I23&gt;0%,IF(AND(RC$16&gt;=$F23,RC$16&lt;$F23+($G23*$I23)),"➤",""),"")</f>
        <v/>
      </c>
      <c r="RD23" s="76" t="str">
        <f aca="false">IF($I23&gt;0%,IF(AND(RD$16&gt;=$F23,RD$16&lt;$F23+($G23*$I23)),"➤",""),"")</f>
        <v/>
      </c>
      <c r="RE23" s="76" t="str">
        <f aca="false">IF($I23&gt;0%,IF(AND(RE$16&gt;=$F23,RE$16&lt;$F23+($G23*$I23)),"➤",""),"")</f>
        <v/>
      </c>
      <c r="RF23" s="76" t="str">
        <f aca="false">IF($I23&gt;0%,IF(AND(RF$16&gt;=$F23,RF$16&lt;$F23+($G23*$I23)),"➤",""),"")</f>
        <v/>
      </c>
      <c r="RG23" s="76" t="str">
        <f aca="false">IF($I23&gt;0%,IF(AND(RG$16&gt;=$F23,RG$16&lt;$F23+($G23*$I23)),"➤",""),"")</f>
        <v/>
      </c>
      <c r="RH23" s="76" t="str">
        <f aca="false">IF($I23&gt;0%,IF(AND(RH$16&gt;=$F23,RH$16&lt;$F23+($G23*$I23)),"➤",""),"")</f>
        <v/>
      </c>
      <c r="RI23" s="76" t="str">
        <f aca="false">IF($I23&gt;0%,IF(AND(RI$16&gt;=$F23,RI$16&lt;$F23+($G23*$I23)),"➤",""),"")</f>
        <v/>
      </c>
      <c r="RJ23" s="76" t="str">
        <f aca="false">IF($I23&gt;0%,IF(AND(RJ$16&gt;=$F23,RJ$16&lt;$F23+($G23*$I23)),"➤",""),"")</f>
        <v/>
      </c>
      <c r="RK23" s="76" t="str">
        <f aca="false">IF($I23&gt;0%,IF(AND(RK$16&gt;=$F23,RK$16&lt;$F23+($G23*$I23)),"➤",""),"")</f>
        <v/>
      </c>
      <c r="RL23" s="76" t="str">
        <f aca="false">IF($I23&gt;0%,IF(AND(RL$16&gt;=$F23,RL$16&lt;$F23+($G23*$I23)),"➤",""),"")</f>
        <v/>
      </c>
      <c r="RM23" s="76" t="str">
        <f aca="false">IF($I23&gt;0%,IF(AND(RM$16&gt;=$F23,RM$16&lt;$F23+($G23*$I23)),"➤",""),"")</f>
        <v/>
      </c>
      <c r="RN23" s="76" t="str">
        <f aca="false">IF($I23&gt;0%,IF(AND(RN$16&gt;=$F23,RN$16&lt;$F23+($G23*$I23)),"➤",""),"")</f>
        <v/>
      </c>
      <c r="RO23" s="76" t="str">
        <f aca="false">IF($I23&gt;0%,IF(AND(RO$16&gt;=$F23,RO$16&lt;$F23+($G23*$I23)),"➤",""),"")</f>
        <v/>
      </c>
      <c r="RP23" s="76" t="str">
        <f aca="false">IF($I23&gt;0%,IF(AND(RP$16&gt;=$F23,RP$16&lt;$F23+($G23*$I23)),"➤",""),"")</f>
        <v/>
      </c>
      <c r="RQ23" s="76" t="str">
        <f aca="false">IF($I23&gt;0%,IF(AND(RQ$16&gt;=$F23,RQ$16&lt;$F23+($G23*$I23)),"➤",""),"")</f>
        <v/>
      </c>
      <c r="RR23" s="76" t="str">
        <f aca="false">IF($I23&gt;0%,IF(AND(RR$16&gt;=$F23,RR$16&lt;$F23+($G23*$I23)),"➤",""),"")</f>
        <v/>
      </c>
      <c r="RS23" s="76" t="str">
        <f aca="false">IF($I23&gt;0%,IF(AND(RS$16&gt;=$F23,RS$16&lt;$F23+($G23*$I23)),"➤",""),"")</f>
        <v/>
      </c>
      <c r="RT23" s="76" t="str">
        <f aca="false">IF($I23&gt;0%,IF(AND(RT$16&gt;=$F23,RT$16&lt;$F23+($G23*$I23)),"➤",""),"")</f>
        <v/>
      </c>
      <c r="RU23" s="76" t="str">
        <f aca="false">IF($I23&gt;0%,IF(AND(RU$16&gt;=$F23,RU$16&lt;$F23+($G23*$I23)),"➤",""),"")</f>
        <v/>
      </c>
      <c r="RV23" s="76" t="str">
        <f aca="false">IF($I23&gt;0%,IF(AND(RV$16&gt;=$F23,RV$16&lt;$F23+($G23*$I23)),"➤",""),"")</f>
        <v/>
      </c>
      <c r="RW23" s="76" t="str">
        <f aca="false">IF($I23&gt;0%,IF(AND(RW$16&gt;=$F23,RW$16&lt;$F23+($G23*$I23)),"➤",""),"")</f>
        <v/>
      </c>
      <c r="RX23" s="76" t="str">
        <f aca="false">IF($I23&gt;0%,IF(AND(RX$16&gt;=$F23,RX$16&lt;$F23+($G23*$I23)),"➤",""),"")</f>
        <v/>
      </c>
      <c r="RY23" s="76" t="str">
        <f aca="false">IF($I23&gt;0%,IF(AND(RY$16&gt;=$F23,RY$16&lt;$F23+($G23*$I23)),"➤",""),"")</f>
        <v/>
      </c>
      <c r="RZ23" s="76" t="str">
        <f aca="false">IF($I23&gt;0%,IF(AND(RZ$16&gt;=$F23,RZ$16&lt;$F23+($G23*$I23)),"➤",""),"")</f>
        <v/>
      </c>
      <c r="SA23" s="76" t="str">
        <f aca="false">IF($I23&gt;0%,IF(AND(SA$16&gt;=$F23,SA$16&lt;$F23+($G23*$I23)),"➤",""),"")</f>
        <v/>
      </c>
      <c r="SB23" s="76" t="str">
        <f aca="false">IF($I23&gt;0%,IF(AND(SB$16&gt;=$F23,SB$16&lt;$F23+($G23*$I23)),"➤",""),"")</f>
        <v/>
      </c>
      <c r="SC23" s="76" t="str">
        <f aca="false">IF($I23&gt;0%,IF(AND(SC$16&gt;=$F23,SC$16&lt;$F23+($G23*$I23)),"➤",""),"")</f>
        <v/>
      </c>
      <c r="SD23" s="76" t="str">
        <f aca="false">IF($I23&gt;0%,IF(AND(SD$16&gt;=$F23,SD$16&lt;$F23+($G23*$I23)),"➤",""),"")</f>
        <v/>
      </c>
      <c r="SE23" s="76" t="str">
        <f aca="false">IF($I23&gt;0%,IF(AND(SE$16&gt;=$F23,SE$16&lt;$F23+($G23*$I23)),"➤",""),"")</f>
        <v/>
      </c>
      <c r="SF23" s="76" t="str">
        <f aca="false">IF($I23&gt;0%,IF(AND(SF$16&gt;=$F23,SF$16&lt;$F23+($G23*$I23)),"➤",""),"")</f>
        <v/>
      </c>
      <c r="SG23" s="76" t="str">
        <f aca="false">IF($I23&gt;0%,IF(AND(SG$16&gt;=$F23,SG$16&lt;$F23+($G23*$I23)),"➤",""),"")</f>
        <v/>
      </c>
      <c r="SH23" s="76" t="str">
        <f aca="false">IF($I23&gt;0%,IF(AND(SH$16&gt;=$F23,SH$16&lt;$F23+($G23*$I23)),"➤",""),"")</f>
        <v/>
      </c>
      <c r="SI23" s="76" t="str">
        <f aca="false">IF($I23&gt;0%,IF(AND(SI$16&gt;=$F23,SI$16&lt;$F23+($G23*$I23)),"➤",""),"")</f>
        <v/>
      </c>
      <c r="SJ23" s="76" t="str">
        <f aca="false">IF($I23&gt;0%,IF(AND(SJ$16&gt;=$F23,SJ$16&lt;$F23+($G23*$I23)),"➤",""),"")</f>
        <v/>
      </c>
      <c r="SK23" s="76" t="str">
        <f aca="false">IF($I23&gt;0%,IF(AND(SK$16&gt;=$F23,SK$16&lt;$F23+($G23*$I23)),"➤",""),"")</f>
        <v/>
      </c>
      <c r="SL23" s="76" t="str">
        <f aca="false">IF($I23&gt;0%,IF(AND(SL$16&gt;=$F23,SL$16&lt;$F23+($G23*$I23)),"➤",""),"")</f>
        <v/>
      </c>
      <c r="SM23" s="76" t="str">
        <f aca="false">IF($I23&gt;0%,IF(AND(SM$16&gt;=$F23,SM$16&lt;$F23+($G23*$I23)),"➤",""),"")</f>
        <v/>
      </c>
      <c r="SN23" s="76" t="str">
        <f aca="false">IF($I23&gt;0%,IF(AND(SN$16&gt;=$F23,SN$16&lt;$F23+($G23*$I23)),"➤",""),"")</f>
        <v/>
      </c>
      <c r="SO23" s="76" t="str">
        <f aca="false">IF($I23&gt;0%,IF(AND(SO$16&gt;=$F23,SO$16&lt;$F23+($G23*$I23)),"➤",""),"")</f>
        <v/>
      </c>
      <c r="SP23" s="76" t="str">
        <f aca="false">IF($I23&gt;0%,IF(AND(SP$16&gt;=$F23,SP$16&lt;$F23+($G23*$I23)),"➤",""),"")</f>
        <v/>
      </c>
      <c r="SQ23" s="76" t="str">
        <f aca="false">IF($I23&gt;0%,IF(AND(SQ$16&gt;=$F23,SQ$16&lt;$F23+($G23*$I23)),"➤",""),"")</f>
        <v/>
      </c>
      <c r="SR23" s="76" t="str">
        <f aca="false">IF($I23&gt;0%,IF(AND(SR$16&gt;=$F23,SR$16&lt;$F23+($G23*$I23)),"➤",""),"")</f>
        <v/>
      </c>
      <c r="SS23" s="76" t="str">
        <f aca="false">IF($I23&gt;0%,IF(AND(SS$16&gt;=$F23,SS$16&lt;$F23+($G23*$I23)),"➤",""),"")</f>
        <v/>
      </c>
      <c r="ST23" s="76" t="str">
        <f aca="false">IF($I23&gt;0%,IF(AND(ST$16&gt;=$F23,ST$16&lt;$F23+($G23*$I23)),"➤",""),"")</f>
        <v/>
      </c>
      <c r="SU23" s="76" t="str">
        <f aca="false">IF($I23&gt;0%,IF(AND(SU$16&gt;=$F23,SU$16&lt;$F23+($G23*$I23)),"➤",""),"")</f>
        <v/>
      </c>
      <c r="SV23" s="76" t="str">
        <f aca="false">IF($I23&gt;0%,IF(AND(SV$16&gt;=$F23,SV$16&lt;$F23+($G23*$I23)),"➤",""),"")</f>
        <v/>
      </c>
      <c r="SW23" s="77" t="str">
        <f aca="false">IF($I23&gt;0%,IF(AND(SW$16&gt;=$F23,SW$16&lt;$F23+($G23*$I23)),"➤",""),"")</f>
        <v/>
      </c>
    </row>
    <row r="24" customFormat="false" ht="14.25" hidden="false" customHeight="false" outlineLevel="1" collapsed="false">
      <c r="C24" s="10"/>
      <c r="D24" s="78" t="s">
        <v>24</v>
      </c>
      <c r="E24" s="79" t="s">
        <v>23</v>
      </c>
      <c r="F24" s="80" t="n">
        <v>46139</v>
      </c>
      <c r="G24" s="81" t="n">
        <v>1</v>
      </c>
      <c r="H24" s="82" t="n">
        <f aca="false">(F24+G24)-1</f>
        <v>46139</v>
      </c>
      <c r="I24" s="83" t="n">
        <v>1</v>
      </c>
      <c r="J24" s="84" t="s">
        <v>16</v>
      </c>
      <c r="K24" s="85"/>
      <c r="L24" s="75" t="str">
        <f aca="false">IF($I24&gt;0%,IF(AND(L$16&gt;=$F24,L$16&lt;$F24+($G24*$I24)),"➤",""),"")</f>
        <v/>
      </c>
      <c r="M24" s="76" t="str">
        <f aca="false">IF($I24&gt;0%,IF(AND(M$16&gt;=$F24,M$16&lt;$F24+($G24*$I24)),"➤",""),"")</f>
        <v/>
      </c>
      <c r="N24" s="76" t="str">
        <f aca="false">IF($I24&gt;0%,IF(AND(N$16&gt;=$F24,N$16&lt;$F24+($G24*$I24)),"➤",""),"")</f>
        <v/>
      </c>
      <c r="O24" s="76" t="str">
        <f aca="false">IF($I24&gt;0%,IF(AND(O$16&gt;=$F24,O$16&lt;$F24+($G24*$I24)),"➤",""),"")</f>
        <v>➤</v>
      </c>
      <c r="P24" s="76" t="str">
        <f aca="false">IF($I24&gt;0%,IF(AND(P$16&gt;=$F24,P$16&lt;$F24+($G24*$I24)),"➤",""),"")</f>
        <v/>
      </c>
      <c r="Q24" s="76" t="str">
        <f aca="false">IF($I24&gt;0%,IF(AND(Q$16&gt;=$F24,Q$16&lt;$F24+($G24*$I24)),"➤",""),"")</f>
        <v/>
      </c>
      <c r="R24" s="76" t="str">
        <f aca="false">IF($I24&gt;0%,IF(AND(R$16&gt;=$F24,R$16&lt;$F24+($G24*$I24)),"➤",""),"")</f>
        <v/>
      </c>
      <c r="S24" s="76" t="str">
        <f aca="false">IF($I24&gt;0%,IF(AND(S$16&gt;=$F24,S$16&lt;$F24+($G24*$I24)),"➤",""),"")</f>
        <v/>
      </c>
      <c r="T24" s="76" t="str">
        <f aca="false">IF($I24&gt;0%,IF(AND(T$16&gt;=$F24,T$16&lt;$F24+($G24*$I24)),"➤",""),"")</f>
        <v/>
      </c>
      <c r="U24" s="76" t="str">
        <f aca="false">IF($I24&gt;0%,IF(AND(U$16&gt;=$F24,U$16&lt;$F24+($G24*$I24)),"➤",""),"")</f>
        <v/>
      </c>
      <c r="V24" s="76" t="str">
        <f aca="false">IF($I24&gt;0%,IF(AND(V$16&gt;=$F24,V$16&lt;$F24+($G24*$I24)),"➤",""),"")</f>
        <v/>
      </c>
      <c r="W24" s="76" t="str">
        <f aca="false">IF($I24&gt;0%,IF(AND(W$16&gt;=$F24,W$16&lt;$F24+($G24*$I24)),"➤",""),"")</f>
        <v/>
      </c>
      <c r="X24" s="76" t="str">
        <f aca="false">IF($I24&gt;0%,IF(AND(X$16&gt;=$F24,X$16&lt;$F24+($G24*$I24)),"➤",""),"")</f>
        <v/>
      </c>
      <c r="Y24" s="76" t="str">
        <f aca="false">IF($I24&gt;0%,IF(AND(Y$16&gt;=$F24,Y$16&lt;$F24+($G24*$I24)),"➤",""),"")</f>
        <v/>
      </c>
      <c r="Z24" s="76" t="str">
        <f aca="false">IF($I24&gt;0%,IF(AND(Z$16&gt;=$F24,Z$16&lt;$F24+($G24*$I24)),"➤",""),"")</f>
        <v/>
      </c>
      <c r="AA24" s="76" t="str">
        <f aca="false">IF($I24&gt;0%,IF(AND(AA$16&gt;=$F24,AA$16&lt;$F24+($G24*$I24)),"➤",""),"")</f>
        <v/>
      </c>
      <c r="AB24" s="76" t="str">
        <f aca="false">IF($I24&gt;0%,IF(AND(AB$16&gt;=$F24,AB$16&lt;$F24+($G24*$I24)),"➤",""),"")</f>
        <v/>
      </c>
      <c r="AC24" s="76" t="str">
        <f aca="false">IF($I24&gt;0%,IF(AND(AC$16&gt;=$F24,AC$16&lt;$F24+($G24*$I24)),"➤",""),"")</f>
        <v/>
      </c>
      <c r="AD24" s="76" t="str">
        <f aca="false">IF($I24&gt;0%,IF(AND(AD$16&gt;=$F24,AD$16&lt;$F24+($G24*$I24)),"➤",""),"")</f>
        <v/>
      </c>
      <c r="AE24" s="76" t="str">
        <f aca="false">IF($I24&gt;0%,IF(AND(AE$16&gt;=$F24,AE$16&lt;$F24+($G24*$I24)),"➤",""),"")</f>
        <v/>
      </c>
      <c r="AF24" s="76" t="str">
        <f aca="false">IF($I24&gt;0%,IF(AND(AF$16&gt;=$F24,AF$16&lt;$F24+($G24*$I24)),"➤",""),"")</f>
        <v/>
      </c>
      <c r="AG24" s="76" t="str">
        <f aca="false">IF($I24&gt;0%,IF(AND(AG$16&gt;=$F24,AG$16&lt;$F24+($G24*$I24)),"➤",""),"")</f>
        <v/>
      </c>
      <c r="AH24" s="76" t="str">
        <f aca="false">IF($I24&gt;0%,IF(AND(AH$16&gt;=$F24,AH$16&lt;$F24+($G24*$I24)),"➤",""),"")</f>
        <v/>
      </c>
      <c r="AI24" s="76" t="str">
        <f aca="false">IF($I24&gt;0%,IF(AND(AI$16&gt;=$F24,AI$16&lt;$F24+($G24*$I24)),"➤",""),"")</f>
        <v/>
      </c>
      <c r="AJ24" s="76" t="str">
        <f aca="false">IF($I24&gt;0%,IF(AND(AJ$16&gt;=$F24,AJ$16&lt;$F24+($G24*$I24)),"➤",""),"")</f>
        <v/>
      </c>
      <c r="AK24" s="76" t="str">
        <f aca="false">IF($I24&gt;0%,IF(AND(AK$16&gt;=$F24,AK$16&lt;$F24+($G24*$I24)),"➤",""),"")</f>
        <v/>
      </c>
      <c r="AL24" s="76" t="str">
        <f aca="false">IF($I24&gt;0%,IF(AND(AL$16&gt;=$F24,AL$16&lt;$F24+($G24*$I24)),"➤",""),"")</f>
        <v/>
      </c>
      <c r="AM24" s="76" t="str">
        <f aca="false">IF($I24&gt;0%,IF(AND(AM$16&gt;=$F24,AM$16&lt;$F24+($G24*$I24)),"➤",""),"")</f>
        <v/>
      </c>
      <c r="AN24" s="76" t="str">
        <f aca="false">IF($I24&gt;0%,IF(AND(AN$16&gt;=$F24,AN$16&lt;$F24+($G24*$I24)),"➤",""),"")</f>
        <v/>
      </c>
      <c r="AO24" s="76" t="str">
        <f aca="false">IF($I24&gt;0%,IF(AND(AO$16&gt;=$F24,AO$16&lt;$F24+($G24*$I24)),"➤",""),"")</f>
        <v/>
      </c>
      <c r="AP24" s="76" t="str">
        <f aca="false">IF($I24&gt;0%,IF(AND(AP$16&gt;=$F24,AP$16&lt;$F24+($G24*$I24)),"➤",""),"")</f>
        <v/>
      </c>
      <c r="AQ24" s="76" t="str">
        <f aca="false">IF($I24&gt;0%,IF(AND(AQ$16&gt;=$F24,AQ$16&lt;$F24+($G24*$I24)),"➤",""),"")</f>
        <v/>
      </c>
      <c r="AR24" s="76" t="str">
        <f aca="false">IF($I24&gt;0%,IF(AND(AR$16&gt;=$F24,AR$16&lt;$F24+($G24*$I24)),"➤",""),"")</f>
        <v/>
      </c>
      <c r="AS24" s="76" t="str">
        <f aca="false">IF($I24&gt;0%,IF(AND(AS$16&gt;=$F24,AS$16&lt;$F24+($G24*$I24)),"➤",""),"")</f>
        <v/>
      </c>
      <c r="AT24" s="76" t="str">
        <f aca="false">IF($I24&gt;0%,IF(AND(AT$16&gt;=$F24,AT$16&lt;$F24+($G24*$I24)),"➤",""),"")</f>
        <v/>
      </c>
      <c r="AU24" s="76" t="str">
        <f aca="false">IF($I24&gt;0%,IF(AND(AU$16&gt;=$F24,AU$16&lt;$F24+($G24*$I24)),"➤",""),"")</f>
        <v/>
      </c>
      <c r="AV24" s="76" t="str">
        <f aca="false">IF($I24&gt;0%,IF(AND(AV$16&gt;=$F24,AV$16&lt;$F24+($G24*$I24)),"➤",""),"")</f>
        <v/>
      </c>
      <c r="AW24" s="76" t="str">
        <f aca="false">IF($I24&gt;0%,IF(AND(AW$16&gt;=$F24,AW$16&lt;$F24+($G24*$I24)),"➤",""),"")</f>
        <v/>
      </c>
      <c r="AX24" s="76" t="str">
        <f aca="false">IF($I24&gt;0%,IF(AND(AX$16&gt;=$F24,AX$16&lt;$F24+($G24*$I24)),"➤",""),"")</f>
        <v/>
      </c>
      <c r="AY24" s="76" t="str">
        <f aca="false">IF($I24&gt;0%,IF(AND(AY$16&gt;=$F24,AY$16&lt;$F24+($G24*$I24)),"➤",""),"")</f>
        <v/>
      </c>
      <c r="AZ24" s="76" t="str">
        <f aca="false">IF($I24&gt;0%,IF(AND(AZ$16&gt;=$F24,AZ$16&lt;$F24+($G24*$I24)),"➤",""),"")</f>
        <v/>
      </c>
      <c r="BA24" s="76" t="str">
        <f aca="false">IF($I24&gt;0%,IF(AND(BA$16&gt;=$F24,BA$16&lt;$F24+($G24*$I24)),"➤",""),"")</f>
        <v/>
      </c>
      <c r="BB24" s="76" t="str">
        <f aca="false">IF($I24&gt;0%,IF(AND(BB$16&gt;=$F24,BB$16&lt;$F24+($G24*$I24)),"➤",""),"")</f>
        <v/>
      </c>
      <c r="BC24" s="76" t="str">
        <f aca="false">IF($I24&gt;0%,IF(AND(BC$16&gt;=$F24,BC$16&lt;$F24+($G24*$I24)),"➤",""),"")</f>
        <v/>
      </c>
      <c r="BD24" s="76" t="str">
        <f aca="false">IF($I24&gt;0%,IF(AND(BD$16&gt;=$F24,BD$16&lt;$F24+($G24*$I24)),"➤",""),"")</f>
        <v/>
      </c>
      <c r="BE24" s="76" t="str">
        <f aca="false">IF($I24&gt;0%,IF(AND(BE$16&gt;=$F24,BE$16&lt;$F24+($G24*$I24)),"➤",""),"")</f>
        <v/>
      </c>
      <c r="BF24" s="76" t="str">
        <f aca="false">IF($I24&gt;0%,IF(AND(BF$16&gt;=$F24,BF$16&lt;$F24+($G24*$I24)),"➤",""),"")</f>
        <v/>
      </c>
      <c r="BG24" s="76" t="str">
        <f aca="false">IF($I24&gt;0%,IF(AND(BG$16&gt;=$F24,BG$16&lt;$F24+($G24*$I24)),"➤",""),"")</f>
        <v/>
      </c>
      <c r="BH24" s="76" t="str">
        <f aca="false">IF($I24&gt;0%,IF(AND(BH$16&gt;=$F24,BH$16&lt;$F24+($G24*$I24)),"➤",""),"")</f>
        <v/>
      </c>
      <c r="BI24" s="76" t="str">
        <f aca="false">IF($I24&gt;0%,IF(AND(BI$16&gt;=$F24,BI$16&lt;$F24+($G24*$I24)),"➤",""),"")</f>
        <v/>
      </c>
      <c r="BJ24" s="76" t="str">
        <f aca="false">IF($I24&gt;0%,IF(AND(BJ$16&gt;=$F24,BJ$16&lt;$F24+($G24*$I24)),"➤",""),"")</f>
        <v/>
      </c>
      <c r="BK24" s="76" t="str">
        <f aca="false">IF($I24&gt;0%,IF(AND(BK$16&gt;=$F24,BK$16&lt;$F24+($G24*$I24)),"➤",""),"")</f>
        <v/>
      </c>
      <c r="BL24" s="76" t="str">
        <f aca="false">IF($I24&gt;0%,IF(AND(BL$16&gt;=$F24,BL$16&lt;$F24+($G24*$I24)),"➤",""),"")</f>
        <v/>
      </c>
      <c r="BM24" s="76" t="str">
        <f aca="false">IF($I24&gt;0%,IF(AND(BM$16&gt;=$F24,BM$16&lt;$F24+($G24*$I24)),"➤",""),"")</f>
        <v/>
      </c>
      <c r="BN24" s="76" t="str">
        <f aca="false">IF($I24&gt;0%,IF(AND(BN$16&gt;=$F24,BN$16&lt;$F24+($G24*$I24)),"➤",""),"")</f>
        <v/>
      </c>
      <c r="BO24" s="76" t="str">
        <f aca="false">IF($I24&gt;0%,IF(AND(BO$16&gt;=$F24,BO$16&lt;$F24+($G24*$I24)),"➤",""),"")</f>
        <v/>
      </c>
      <c r="BP24" s="76" t="str">
        <f aca="false">IF($I24&gt;0%,IF(AND(BP$16&gt;=$F24,BP$16&lt;$F24+($G24*$I24)),"➤",""),"")</f>
        <v/>
      </c>
      <c r="BQ24" s="76" t="str">
        <f aca="false">IF($I24&gt;0%,IF(AND(BQ$16&gt;=$F24,BQ$16&lt;$F24+($G24*$I24)),"➤",""),"")</f>
        <v/>
      </c>
      <c r="BR24" s="76" t="str">
        <f aca="false">IF($I24&gt;0%,IF(AND(BR$16&gt;=$F24,BR$16&lt;$F24+($G24*$I24)),"➤",""),"")</f>
        <v/>
      </c>
      <c r="BS24" s="76" t="str">
        <f aca="false">IF($I24&gt;0%,IF(AND(BS$16&gt;=$F24,BS$16&lt;$F24+($G24*$I24)),"➤",""),"")</f>
        <v/>
      </c>
      <c r="BT24" s="76" t="str">
        <f aca="false">IF($I24&gt;0%,IF(AND(BT$16&gt;=$F24,BT$16&lt;$F24+($G24*$I24)),"➤",""),"")</f>
        <v/>
      </c>
      <c r="BU24" s="76" t="str">
        <f aca="false">IF($I24&gt;0%,IF(AND(BU$16&gt;=$F24,BU$16&lt;$F24+($G24*$I24)),"➤",""),"")</f>
        <v/>
      </c>
      <c r="BV24" s="76" t="str">
        <f aca="false">IF($I24&gt;0%,IF(AND(BV$16&gt;=$F24,BV$16&lt;$F24+($G24*$I24)),"➤",""),"")</f>
        <v/>
      </c>
      <c r="BW24" s="76" t="str">
        <f aca="false">IF($I24&gt;0%,IF(AND(BW$16&gt;=$F24,BW$16&lt;$F24+($G24*$I24)),"➤",""),"")</f>
        <v/>
      </c>
      <c r="BX24" s="76" t="str">
        <f aca="false">IF($I24&gt;0%,IF(AND(BX$16&gt;=$F24,BX$16&lt;$F24+($G24*$I24)),"➤",""),"")</f>
        <v/>
      </c>
      <c r="BY24" s="76" t="str">
        <f aca="false">IF($I24&gt;0%,IF(AND(BY$16&gt;=$F24,BY$16&lt;$F24+($G24*$I24)),"➤",""),"")</f>
        <v/>
      </c>
      <c r="BZ24" s="76" t="str">
        <f aca="false">IF($I24&gt;0%,IF(AND(BZ$16&gt;=$F24,BZ$16&lt;$F24+($G24*$I24)),"➤",""),"")</f>
        <v/>
      </c>
      <c r="CA24" s="76" t="str">
        <f aca="false">IF($I24&gt;0%,IF(AND(CA$16&gt;=$F24,CA$16&lt;$F24+($G24*$I24)),"➤",""),"")</f>
        <v/>
      </c>
      <c r="CB24" s="76" t="str">
        <f aca="false">IF($I24&gt;0%,IF(AND(CB$16&gt;=$F24,CB$16&lt;$F24+($G24*$I24)),"➤",""),"")</f>
        <v/>
      </c>
      <c r="CC24" s="76" t="str">
        <f aca="false">IF($I24&gt;0%,IF(AND(CC$16&gt;=$F24,CC$16&lt;$F24+($G24*$I24)),"➤",""),"")</f>
        <v/>
      </c>
      <c r="CD24" s="76" t="str">
        <f aca="false">IF($I24&gt;0%,IF(AND(CD$16&gt;=$F24,CD$16&lt;$F24+($G24*$I24)),"➤",""),"")</f>
        <v/>
      </c>
      <c r="CE24" s="76" t="str">
        <f aca="false">IF($I24&gt;0%,IF(AND(CE$16&gt;=$F24,CE$16&lt;$F24+($G24*$I24)),"➤",""),"")</f>
        <v/>
      </c>
      <c r="CF24" s="76" t="str">
        <f aca="false">IF($I24&gt;0%,IF(AND(CF$16&gt;=$F24,CF$16&lt;$F24+($G24*$I24)),"➤",""),"")</f>
        <v/>
      </c>
      <c r="CG24" s="76" t="str">
        <f aca="false">IF($I24&gt;0%,IF(AND(CG$16&gt;=$F24,CG$16&lt;$F24+($G24*$I24)),"➤",""),"")</f>
        <v/>
      </c>
      <c r="CH24" s="76" t="str">
        <f aca="false">IF($I24&gt;0%,IF(AND(CH$16&gt;=$F24,CH$16&lt;$F24+($G24*$I24)),"➤",""),"")</f>
        <v/>
      </c>
      <c r="CI24" s="76" t="str">
        <f aca="false">IF($I24&gt;0%,IF(AND(CI$16&gt;=$F24,CI$16&lt;$F24+($G24*$I24)),"➤",""),"")</f>
        <v/>
      </c>
      <c r="CJ24" s="76" t="str">
        <f aca="false">IF($I24&gt;0%,IF(AND(CJ$16&gt;=$F24,CJ$16&lt;$F24+($G24*$I24)),"➤",""),"")</f>
        <v/>
      </c>
      <c r="CK24" s="76" t="str">
        <f aca="false">IF($I24&gt;0%,IF(AND(CK$16&gt;=$F24,CK$16&lt;$F24+($G24*$I24)),"➤",""),"")</f>
        <v/>
      </c>
      <c r="CL24" s="76" t="str">
        <f aca="false">IF($I24&gt;0%,IF(AND(CL$16&gt;=$F24,CL$16&lt;$F24+($G24*$I24)),"➤",""),"")</f>
        <v/>
      </c>
      <c r="CM24" s="76" t="str">
        <f aca="false">IF($I24&gt;0%,IF(AND(CM$16&gt;=$F24,CM$16&lt;$F24+($G24*$I24)),"➤",""),"")</f>
        <v/>
      </c>
      <c r="CN24" s="76" t="str">
        <f aca="false">IF($I24&gt;0%,IF(AND(CN$16&gt;=$F24,CN$16&lt;$F24+($G24*$I24)),"➤",""),"")</f>
        <v/>
      </c>
      <c r="CO24" s="76" t="str">
        <f aca="false">IF($I24&gt;0%,IF(AND(CO$16&gt;=$F24,CO$16&lt;$F24+($G24*$I24)),"➤",""),"")</f>
        <v/>
      </c>
      <c r="CP24" s="76" t="str">
        <f aca="false">IF($I24&gt;0%,IF(AND(CP$16&gt;=$F24,CP$16&lt;$F24+($G24*$I24)),"➤",""),"")</f>
        <v/>
      </c>
      <c r="CQ24" s="76" t="str">
        <f aca="false">IF($I24&gt;0%,IF(AND(CQ$16&gt;=$F24,CQ$16&lt;$F24+($G24*$I24)),"➤",""),"")</f>
        <v/>
      </c>
      <c r="CR24" s="76" t="str">
        <f aca="false">IF($I24&gt;0%,IF(AND(CR$16&gt;=$F24,CR$16&lt;$F24+($G24*$I24)),"➤",""),"")</f>
        <v/>
      </c>
      <c r="CS24" s="76" t="str">
        <f aca="false">IF($I24&gt;0%,IF(AND(CS$16&gt;=$F24,CS$16&lt;$F24+($G24*$I24)),"➤",""),"")</f>
        <v/>
      </c>
      <c r="CT24" s="76" t="str">
        <f aca="false">IF($I24&gt;0%,IF(AND(CT$16&gt;=$F24,CT$16&lt;$F24+($G24*$I24)),"➤",""),"")</f>
        <v/>
      </c>
      <c r="CU24" s="76" t="str">
        <f aca="false">IF($I24&gt;0%,IF(AND(CU$16&gt;=$F24,CU$16&lt;$F24+($G24*$I24)),"➤",""),"")</f>
        <v/>
      </c>
      <c r="CV24" s="76" t="str">
        <f aca="false">IF($I24&gt;0%,IF(AND(CV$16&gt;=$F24,CV$16&lt;$F24+($G24*$I24)),"➤",""),"")</f>
        <v/>
      </c>
      <c r="CW24" s="76" t="str">
        <f aca="false">IF($I24&gt;0%,IF(AND(CW$16&gt;=$F24,CW$16&lt;$F24+($G24*$I24)),"➤",""),"")</f>
        <v/>
      </c>
      <c r="CX24" s="76" t="str">
        <f aca="false">IF($I24&gt;0%,IF(AND(CX$16&gt;=$F24,CX$16&lt;$F24+($G24*$I24)),"➤",""),"")</f>
        <v/>
      </c>
      <c r="CY24" s="76" t="str">
        <f aca="false">IF($I24&gt;0%,IF(AND(CY$16&gt;=$F24,CY$16&lt;$F24+($G24*$I24)),"➤",""),"")</f>
        <v/>
      </c>
      <c r="CZ24" s="76" t="str">
        <f aca="false">IF($I24&gt;0%,IF(AND(CZ$16&gt;=$F24,CZ$16&lt;$F24+($G24*$I24)),"➤",""),"")</f>
        <v/>
      </c>
      <c r="DA24" s="76" t="str">
        <f aca="false">IF($I24&gt;0%,IF(AND(DA$16&gt;=$F24,DA$16&lt;$F24+($G24*$I24)),"➤",""),"")</f>
        <v/>
      </c>
      <c r="DB24" s="76" t="str">
        <f aca="false">IF($I24&gt;0%,IF(AND(DB$16&gt;=$F24,DB$16&lt;$F24+($G24*$I24)),"➤",""),"")</f>
        <v/>
      </c>
      <c r="DC24" s="76" t="str">
        <f aca="false">IF($I24&gt;0%,IF(AND(DC$16&gt;=$F24,DC$16&lt;$F24+($G24*$I24)),"➤",""),"")</f>
        <v/>
      </c>
      <c r="DD24" s="76" t="str">
        <f aca="false">IF($I24&gt;0%,IF(AND(DD$16&gt;=$F24,DD$16&lt;$F24+($G24*$I24)),"➤",""),"")</f>
        <v/>
      </c>
      <c r="DE24" s="76" t="str">
        <f aca="false">IF($I24&gt;0%,IF(AND(DE$16&gt;=$F24,DE$16&lt;$F24+($G24*$I24)),"➤",""),"")</f>
        <v/>
      </c>
      <c r="DF24" s="76" t="str">
        <f aca="false">IF($I24&gt;0%,IF(AND(DF$16&gt;=$F24,DF$16&lt;$F24+($G24*$I24)),"➤",""),"")</f>
        <v/>
      </c>
      <c r="DG24" s="76" t="str">
        <f aca="false">IF($I24&gt;0%,IF(AND(DG$16&gt;=$F24,DG$16&lt;$F24+($G24*$I24)),"➤",""),"")</f>
        <v/>
      </c>
      <c r="DH24" s="76" t="str">
        <f aca="false">IF($I24&gt;0%,IF(AND(DH$16&gt;=$F24,DH$16&lt;$F24+($G24*$I24)),"➤",""),"")</f>
        <v/>
      </c>
      <c r="DI24" s="76" t="str">
        <f aca="false">IF($I24&gt;0%,IF(AND(DI$16&gt;=$F24,DI$16&lt;$F24+($G24*$I24)),"➤",""),"")</f>
        <v/>
      </c>
      <c r="DJ24" s="76" t="str">
        <f aca="false">IF($I24&gt;0%,IF(AND(DJ$16&gt;=$F24,DJ$16&lt;$F24+($G24*$I24)),"➤",""),"")</f>
        <v/>
      </c>
      <c r="DK24" s="76" t="str">
        <f aca="false">IF($I24&gt;0%,IF(AND(DK$16&gt;=$F24,DK$16&lt;$F24+($G24*$I24)),"➤",""),"")</f>
        <v/>
      </c>
      <c r="DL24" s="76" t="str">
        <f aca="false">IF($I24&gt;0%,IF(AND(DL$16&gt;=$F24,DL$16&lt;$F24+($G24*$I24)),"➤",""),"")</f>
        <v/>
      </c>
      <c r="DM24" s="76" t="str">
        <f aca="false">IF($I24&gt;0%,IF(AND(DM$16&gt;=$F24,DM$16&lt;$F24+($G24*$I24)),"➤",""),"")</f>
        <v/>
      </c>
      <c r="DN24" s="76" t="str">
        <f aca="false">IF($I24&gt;0%,IF(AND(DN$16&gt;=$F24,DN$16&lt;$F24+($G24*$I24)),"➤",""),"")</f>
        <v/>
      </c>
      <c r="DO24" s="76" t="str">
        <f aca="false">IF($I24&gt;0%,IF(AND(DO$16&gt;=$F24,DO$16&lt;$F24+($G24*$I24)),"➤",""),"")</f>
        <v/>
      </c>
      <c r="DP24" s="76" t="str">
        <f aca="false">IF($I24&gt;0%,IF(AND(DP$16&gt;=$F24,DP$16&lt;$F24+($G24*$I24)),"➤",""),"")</f>
        <v/>
      </c>
      <c r="DQ24" s="76" t="str">
        <f aca="false">IF($I24&gt;0%,IF(AND(DQ$16&gt;=$F24,DQ$16&lt;$F24+($G24*$I24)),"➤",""),"")</f>
        <v/>
      </c>
      <c r="DR24" s="76" t="str">
        <f aca="false">IF($I24&gt;0%,IF(AND(DR$16&gt;=$F24,DR$16&lt;$F24+($G24*$I24)),"➤",""),"")</f>
        <v/>
      </c>
      <c r="DS24" s="76" t="str">
        <f aca="false">IF($I24&gt;0%,IF(AND(DS$16&gt;=$F24,DS$16&lt;$F24+($G24*$I24)),"➤",""),"")</f>
        <v/>
      </c>
      <c r="DT24" s="76" t="str">
        <f aca="false">IF($I24&gt;0%,IF(AND(DT$16&gt;=$F24,DT$16&lt;$F24+($G24*$I24)),"➤",""),"")</f>
        <v/>
      </c>
      <c r="DU24" s="76" t="str">
        <f aca="false">IF($I24&gt;0%,IF(AND(DU$16&gt;=$F24,DU$16&lt;$F24+($G24*$I24)),"➤",""),"")</f>
        <v/>
      </c>
      <c r="DV24" s="76" t="str">
        <f aca="false">IF($I24&gt;0%,IF(AND(DV$16&gt;=$F24,DV$16&lt;$F24+($G24*$I24)),"➤",""),"")</f>
        <v/>
      </c>
      <c r="DW24" s="76" t="str">
        <f aca="false">IF($I24&gt;0%,IF(AND(DW$16&gt;=$F24,DW$16&lt;$F24+($G24*$I24)),"➤",""),"")</f>
        <v/>
      </c>
      <c r="DX24" s="76" t="str">
        <f aca="false">IF($I24&gt;0%,IF(AND(DX$16&gt;=$F24,DX$16&lt;$F24+($G24*$I24)),"➤",""),"")</f>
        <v/>
      </c>
      <c r="DY24" s="76" t="str">
        <f aca="false">IF($I24&gt;0%,IF(AND(DY$16&gt;=$F24,DY$16&lt;$F24+($G24*$I24)),"➤",""),"")</f>
        <v/>
      </c>
      <c r="DZ24" s="76" t="str">
        <f aca="false">IF($I24&gt;0%,IF(AND(DZ$16&gt;=$F24,DZ$16&lt;$F24+($G24*$I24)),"➤",""),"")</f>
        <v/>
      </c>
      <c r="EA24" s="76" t="str">
        <f aca="false">IF($I24&gt;0%,IF(AND(EA$16&gt;=$F24,EA$16&lt;$F24+($G24*$I24)),"➤",""),"")</f>
        <v/>
      </c>
      <c r="EB24" s="76" t="str">
        <f aca="false">IF($I24&gt;0%,IF(AND(EB$16&gt;=$F24,EB$16&lt;$F24+($G24*$I24)),"➤",""),"")</f>
        <v/>
      </c>
      <c r="EC24" s="76" t="str">
        <f aca="false">IF($I24&gt;0%,IF(AND(EC$16&gt;=$F24,EC$16&lt;$F24+($G24*$I24)),"➤",""),"")</f>
        <v/>
      </c>
      <c r="ED24" s="76" t="str">
        <f aca="false">IF($I24&gt;0%,IF(AND(ED$16&gt;=$F24,ED$16&lt;$F24+($G24*$I24)),"➤",""),"")</f>
        <v/>
      </c>
      <c r="EE24" s="76" t="str">
        <f aca="false">IF($I24&gt;0%,IF(AND(EE$16&gt;=$F24,EE$16&lt;$F24+($G24*$I24)),"➤",""),"")</f>
        <v/>
      </c>
      <c r="EF24" s="76" t="str">
        <f aca="false">IF($I24&gt;0%,IF(AND(EF$16&gt;=$F24,EF$16&lt;$F24+($G24*$I24)),"➤",""),"")</f>
        <v/>
      </c>
      <c r="EG24" s="76" t="str">
        <f aca="false">IF($I24&gt;0%,IF(AND(EG$16&gt;=$F24,EG$16&lt;$F24+($G24*$I24)),"➤",""),"")</f>
        <v/>
      </c>
      <c r="EH24" s="76" t="str">
        <f aca="false">IF($I24&gt;0%,IF(AND(EH$16&gt;=$F24,EH$16&lt;$F24+($G24*$I24)),"➤",""),"")</f>
        <v/>
      </c>
      <c r="EI24" s="76" t="str">
        <f aca="false">IF($I24&gt;0%,IF(AND(EI$16&gt;=$F24,EI$16&lt;$F24+($G24*$I24)),"➤",""),"")</f>
        <v/>
      </c>
      <c r="EJ24" s="76" t="str">
        <f aca="false">IF($I24&gt;0%,IF(AND(EJ$16&gt;=$F24,EJ$16&lt;$F24+($G24*$I24)),"➤",""),"")</f>
        <v/>
      </c>
      <c r="EK24" s="76" t="str">
        <f aca="false">IF($I24&gt;0%,IF(AND(EK$16&gt;=$F24,EK$16&lt;$F24+($G24*$I24)),"➤",""),"")</f>
        <v/>
      </c>
      <c r="EL24" s="76" t="str">
        <f aca="false">IF($I24&gt;0%,IF(AND(EL$16&gt;=$F24,EL$16&lt;$F24+($G24*$I24)),"➤",""),"")</f>
        <v/>
      </c>
      <c r="EM24" s="76" t="str">
        <f aca="false">IF($I24&gt;0%,IF(AND(EM$16&gt;=$F24,EM$16&lt;$F24+($G24*$I24)),"➤",""),"")</f>
        <v/>
      </c>
      <c r="EN24" s="76" t="str">
        <f aca="false">IF($I24&gt;0%,IF(AND(EN$16&gt;=$F24,EN$16&lt;$F24+($G24*$I24)),"➤",""),"")</f>
        <v/>
      </c>
      <c r="EO24" s="76" t="str">
        <f aca="false">IF($I24&gt;0%,IF(AND(EO$16&gt;=$F24,EO$16&lt;$F24+($G24*$I24)),"➤",""),"")</f>
        <v/>
      </c>
      <c r="EP24" s="76" t="str">
        <f aca="false">IF($I24&gt;0%,IF(AND(EP$16&gt;=$F24,EP$16&lt;$F24+($G24*$I24)),"➤",""),"")</f>
        <v/>
      </c>
      <c r="EQ24" s="76" t="str">
        <f aca="false">IF($I24&gt;0%,IF(AND(EQ$16&gt;=$F24,EQ$16&lt;$F24+($G24*$I24)),"➤",""),"")</f>
        <v/>
      </c>
      <c r="ER24" s="76" t="str">
        <f aca="false">IF($I24&gt;0%,IF(AND(ER$16&gt;=$F24,ER$16&lt;$F24+($G24*$I24)),"➤",""),"")</f>
        <v/>
      </c>
      <c r="ES24" s="76" t="str">
        <f aca="false">IF($I24&gt;0%,IF(AND(ES$16&gt;=$F24,ES$16&lt;$F24+($G24*$I24)),"➤",""),"")</f>
        <v/>
      </c>
      <c r="ET24" s="76" t="str">
        <f aca="false">IF($I24&gt;0%,IF(AND(ET$16&gt;=$F24,ET$16&lt;$F24+($G24*$I24)),"➤",""),"")</f>
        <v/>
      </c>
      <c r="EU24" s="76" t="str">
        <f aca="false">IF($I24&gt;0%,IF(AND(EU$16&gt;=$F24,EU$16&lt;$F24+($G24*$I24)),"➤",""),"")</f>
        <v/>
      </c>
      <c r="EV24" s="76" t="str">
        <f aca="false">IF($I24&gt;0%,IF(AND(EV$16&gt;=$F24,EV$16&lt;$F24+($G24*$I24)),"➤",""),"")</f>
        <v/>
      </c>
      <c r="EW24" s="76" t="str">
        <f aca="false">IF($I24&gt;0%,IF(AND(EW$16&gt;=$F24,EW$16&lt;$F24+($G24*$I24)),"➤",""),"")</f>
        <v/>
      </c>
      <c r="EX24" s="76" t="str">
        <f aca="false">IF($I24&gt;0%,IF(AND(EX$16&gt;=$F24,EX$16&lt;$F24+($G24*$I24)),"➤",""),"")</f>
        <v/>
      </c>
      <c r="EY24" s="76" t="str">
        <f aca="false">IF($I24&gt;0%,IF(AND(EY$16&gt;=$F24,EY$16&lt;$F24+($G24*$I24)),"➤",""),"")</f>
        <v/>
      </c>
      <c r="EZ24" s="76" t="str">
        <f aca="false">IF($I24&gt;0%,IF(AND(EZ$16&gt;=$F24,EZ$16&lt;$F24+($G24*$I24)),"➤",""),"")</f>
        <v/>
      </c>
      <c r="FA24" s="76" t="str">
        <f aca="false">IF($I24&gt;0%,IF(AND(FA$16&gt;=$F24,FA$16&lt;$F24+($G24*$I24)),"➤",""),"")</f>
        <v/>
      </c>
      <c r="FB24" s="76" t="str">
        <f aca="false">IF($I24&gt;0%,IF(AND(FB$16&gt;=$F24,FB$16&lt;$F24+($G24*$I24)),"➤",""),"")</f>
        <v/>
      </c>
      <c r="FC24" s="76" t="str">
        <f aca="false">IF($I24&gt;0%,IF(AND(FC$16&gt;=$F24,FC$16&lt;$F24+($G24*$I24)),"➤",""),"")</f>
        <v/>
      </c>
      <c r="FD24" s="76" t="str">
        <f aca="false">IF($I24&gt;0%,IF(AND(FD$16&gt;=$F24,FD$16&lt;$F24+($G24*$I24)),"➤",""),"")</f>
        <v/>
      </c>
      <c r="FE24" s="76" t="str">
        <f aca="false">IF($I24&gt;0%,IF(AND(FE$16&gt;=$F24,FE$16&lt;$F24+($G24*$I24)),"➤",""),"")</f>
        <v/>
      </c>
      <c r="FF24" s="76" t="str">
        <f aca="false">IF($I24&gt;0%,IF(AND(FF$16&gt;=$F24,FF$16&lt;$F24+($G24*$I24)),"➤",""),"")</f>
        <v/>
      </c>
      <c r="FG24" s="76" t="str">
        <f aca="false">IF($I24&gt;0%,IF(AND(FG$16&gt;=$F24,FG$16&lt;$F24+($G24*$I24)),"➤",""),"")</f>
        <v/>
      </c>
      <c r="FH24" s="76" t="str">
        <f aca="false">IF($I24&gt;0%,IF(AND(FH$16&gt;=$F24,FH$16&lt;$F24+($G24*$I24)),"➤",""),"")</f>
        <v/>
      </c>
      <c r="FI24" s="76" t="str">
        <f aca="false">IF($I24&gt;0%,IF(AND(FI$16&gt;=$F24,FI$16&lt;$F24+($G24*$I24)),"➤",""),"")</f>
        <v/>
      </c>
      <c r="FJ24" s="76" t="str">
        <f aca="false">IF($I24&gt;0%,IF(AND(FJ$16&gt;=$F24,FJ$16&lt;$F24+($G24*$I24)),"➤",""),"")</f>
        <v/>
      </c>
      <c r="FK24" s="76" t="str">
        <f aca="false">IF($I24&gt;0%,IF(AND(FK$16&gt;=$F24,FK$16&lt;$F24+($G24*$I24)),"➤",""),"")</f>
        <v/>
      </c>
      <c r="FL24" s="76" t="str">
        <f aca="false">IF($I24&gt;0%,IF(AND(FL$16&gt;=$F24,FL$16&lt;$F24+($G24*$I24)),"➤",""),"")</f>
        <v/>
      </c>
      <c r="FM24" s="76" t="str">
        <f aca="false">IF($I24&gt;0%,IF(AND(FM$16&gt;=$F24,FM$16&lt;$F24+($G24*$I24)),"➤",""),"")</f>
        <v/>
      </c>
      <c r="FN24" s="76" t="str">
        <f aca="false">IF($I24&gt;0%,IF(AND(FN$16&gt;=$F24,FN$16&lt;$F24+($G24*$I24)),"➤",""),"")</f>
        <v/>
      </c>
      <c r="FO24" s="76" t="str">
        <f aca="false">IF($I24&gt;0%,IF(AND(FO$16&gt;=$F24,FO$16&lt;$F24+($G24*$I24)),"➤",""),"")</f>
        <v/>
      </c>
      <c r="FP24" s="76" t="str">
        <f aca="false">IF($I24&gt;0%,IF(AND(FP$16&gt;=$F24,FP$16&lt;$F24+($G24*$I24)),"➤",""),"")</f>
        <v/>
      </c>
      <c r="FQ24" s="76" t="str">
        <f aca="false">IF($I24&gt;0%,IF(AND(FQ$16&gt;=$F24,FQ$16&lt;$F24+($G24*$I24)),"➤",""),"")</f>
        <v/>
      </c>
      <c r="FR24" s="76" t="str">
        <f aca="false">IF($I24&gt;0%,IF(AND(FR$16&gt;=$F24,FR$16&lt;$F24+($G24*$I24)),"➤",""),"")</f>
        <v/>
      </c>
      <c r="FS24" s="76" t="str">
        <f aca="false">IF($I24&gt;0%,IF(AND(FS$16&gt;=$F24,FS$16&lt;$F24+($G24*$I24)),"➤",""),"")</f>
        <v/>
      </c>
      <c r="FT24" s="76" t="str">
        <f aca="false">IF($I24&gt;0%,IF(AND(FT$16&gt;=$F24,FT$16&lt;$F24+($G24*$I24)),"➤",""),"")</f>
        <v/>
      </c>
      <c r="FU24" s="76" t="str">
        <f aca="false">IF($I24&gt;0%,IF(AND(FU$16&gt;=$F24,FU$16&lt;$F24+($G24*$I24)),"➤",""),"")</f>
        <v/>
      </c>
      <c r="FV24" s="76" t="str">
        <f aca="false">IF($I24&gt;0%,IF(AND(FV$16&gt;=$F24,FV$16&lt;$F24+($G24*$I24)),"➤",""),"")</f>
        <v/>
      </c>
      <c r="FW24" s="76" t="str">
        <f aca="false">IF($I24&gt;0%,IF(AND(FW$16&gt;=$F24,FW$16&lt;$F24+($G24*$I24)),"➤",""),"")</f>
        <v/>
      </c>
      <c r="FX24" s="76" t="str">
        <f aca="false">IF($I24&gt;0%,IF(AND(FX$16&gt;=$F24,FX$16&lt;$F24+($G24*$I24)),"➤",""),"")</f>
        <v/>
      </c>
      <c r="FY24" s="76" t="str">
        <f aca="false">IF($I24&gt;0%,IF(AND(FY$16&gt;=$F24,FY$16&lt;$F24+($G24*$I24)),"➤",""),"")</f>
        <v/>
      </c>
      <c r="FZ24" s="76" t="str">
        <f aca="false">IF($I24&gt;0%,IF(AND(FZ$16&gt;=$F24,FZ$16&lt;$F24+($G24*$I24)),"➤",""),"")</f>
        <v/>
      </c>
      <c r="GA24" s="76" t="str">
        <f aca="false">IF($I24&gt;0%,IF(AND(GA$16&gt;=$F24,GA$16&lt;$F24+($G24*$I24)),"➤",""),"")</f>
        <v/>
      </c>
      <c r="GB24" s="76" t="str">
        <f aca="false">IF($I24&gt;0%,IF(AND(GB$16&gt;=$F24,GB$16&lt;$F24+($G24*$I24)),"➤",""),"")</f>
        <v/>
      </c>
      <c r="GC24" s="76" t="str">
        <f aca="false">IF($I24&gt;0%,IF(AND(GC$16&gt;=$F24,GC$16&lt;$F24+($G24*$I24)),"➤",""),"")</f>
        <v/>
      </c>
      <c r="GD24" s="76" t="str">
        <f aca="false">IF($I24&gt;0%,IF(AND(GD$16&gt;=$F24,GD$16&lt;$F24+($G24*$I24)),"➤",""),"")</f>
        <v/>
      </c>
      <c r="GE24" s="76" t="str">
        <f aca="false">IF($I24&gt;0%,IF(AND(GE$16&gt;=$F24,GE$16&lt;$F24+($G24*$I24)),"➤",""),"")</f>
        <v/>
      </c>
      <c r="GF24" s="76" t="str">
        <f aca="false">IF($I24&gt;0%,IF(AND(GF$16&gt;=$F24,GF$16&lt;$F24+($G24*$I24)),"➤",""),"")</f>
        <v/>
      </c>
      <c r="GG24" s="76" t="str">
        <f aca="false">IF($I24&gt;0%,IF(AND(GG$16&gt;=$F24,GG$16&lt;$F24+($G24*$I24)),"➤",""),"")</f>
        <v/>
      </c>
      <c r="GH24" s="76" t="str">
        <f aca="false">IF($I24&gt;0%,IF(AND(GH$16&gt;=$F24,GH$16&lt;$F24+($G24*$I24)),"➤",""),"")</f>
        <v/>
      </c>
      <c r="GI24" s="76" t="str">
        <f aca="false">IF($I24&gt;0%,IF(AND(GI$16&gt;=$F24,GI$16&lt;$F24+($G24*$I24)),"➤",""),"")</f>
        <v/>
      </c>
      <c r="GJ24" s="76" t="str">
        <f aca="false">IF($I24&gt;0%,IF(AND(GJ$16&gt;=$F24,GJ$16&lt;$F24+($G24*$I24)),"➤",""),"")</f>
        <v/>
      </c>
      <c r="GK24" s="76" t="str">
        <f aca="false">IF($I24&gt;0%,IF(AND(GK$16&gt;=$F24,GK$16&lt;$F24+($G24*$I24)),"➤",""),"")</f>
        <v/>
      </c>
      <c r="GL24" s="76" t="str">
        <f aca="false">IF($I24&gt;0%,IF(AND(GL$16&gt;=$F24,GL$16&lt;$F24+($G24*$I24)),"➤",""),"")</f>
        <v/>
      </c>
      <c r="GM24" s="76" t="str">
        <f aca="false">IF($I24&gt;0%,IF(AND(GM$16&gt;=$F24,GM$16&lt;$F24+($G24*$I24)),"➤",""),"")</f>
        <v/>
      </c>
      <c r="GN24" s="76" t="str">
        <f aca="false">IF($I24&gt;0%,IF(AND(GN$16&gt;=$F24,GN$16&lt;$F24+($G24*$I24)),"➤",""),"")</f>
        <v/>
      </c>
      <c r="GO24" s="76" t="str">
        <f aca="false">IF($I24&gt;0%,IF(AND(GO$16&gt;=$F24,GO$16&lt;$F24+($G24*$I24)),"➤",""),"")</f>
        <v/>
      </c>
      <c r="GP24" s="76" t="str">
        <f aca="false">IF($I24&gt;0%,IF(AND(GP$16&gt;=$F24,GP$16&lt;$F24+($G24*$I24)),"➤",""),"")</f>
        <v/>
      </c>
      <c r="GQ24" s="76" t="str">
        <f aca="false">IF($I24&gt;0%,IF(AND(GQ$16&gt;=$F24,GQ$16&lt;$F24+($G24*$I24)),"➤",""),"")</f>
        <v/>
      </c>
      <c r="GR24" s="76" t="str">
        <f aca="false">IF($I24&gt;0%,IF(AND(GR$16&gt;=$F24,GR$16&lt;$F24+($G24*$I24)),"➤",""),"")</f>
        <v/>
      </c>
      <c r="GS24" s="76" t="str">
        <f aca="false">IF($I24&gt;0%,IF(AND(GS$16&gt;=$F24,GS$16&lt;$F24+($G24*$I24)),"➤",""),"")</f>
        <v/>
      </c>
      <c r="GT24" s="76" t="str">
        <f aca="false">IF($I24&gt;0%,IF(AND(GT$16&gt;=$F24,GT$16&lt;$F24+($G24*$I24)),"➤",""),"")</f>
        <v/>
      </c>
      <c r="GU24" s="76" t="str">
        <f aca="false">IF($I24&gt;0%,IF(AND(GU$16&gt;=$F24,GU$16&lt;$F24+($G24*$I24)),"➤",""),"")</f>
        <v/>
      </c>
      <c r="GV24" s="76" t="str">
        <f aca="false">IF($I24&gt;0%,IF(AND(GV$16&gt;=$F24,GV$16&lt;$F24+($G24*$I24)),"➤",""),"")</f>
        <v/>
      </c>
      <c r="GW24" s="76" t="str">
        <f aca="false">IF($I24&gt;0%,IF(AND(GW$16&gt;=$F24,GW$16&lt;$F24+($G24*$I24)),"➤",""),"")</f>
        <v/>
      </c>
      <c r="GX24" s="76" t="str">
        <f aca="false">IF($I24&gt;0%,IF(AND(GX$16&gt;=$F24,GX$16&lt;$F24+($G24*$I24)),"➤",""),"")</f>
        <v/>
      </c>
      <c r="GY24" s="76" t="str">
        <f aca="false">IF($I24&gt;0%,IF(AND(GY$16&gt;=$F24,GY$16&lt;$F24+($G24*$I24)),"➤",""),"")</f>
        <v/>
      </c>
      <c r="GZ24" s="76" t="str">
        <f aca="false">IF($I24&gt;0%,IF(AND(GZ$16&gt;=$F24,GZ$16&lt;$F24+($G24*$I24)),"➤",""),"")</f>
        <v/>
      </c>
      <c r="HA24" s="76" t="str">
        <f aca="false">IF($I24&gt;0%,IF(AND(HA$16&gt;=$F24,HA$16&lt;$F24+($G24*$I24)),"➤",""),"")</f>
        <v/>
      </c>
      <c r="HB24" s="76" t="str">
        <f aca="false">IF($I24&gt;0%,IF(AND(HB$16&gt;=$F24,HB$16&lt;$F24+($G24*$I24)),"➤",""),"")</f>
        <v/>
      </c>
      <c r="HC24" s="76" t="str">
        <f aca="false">IF($I24&gt;0%,IF(AND(HC$16&gt;=$F24,HC$16&lt;$F24+($G24*$I24)),"➤",""),"")</f>
        <v/>
      </c>
      <c r="HD24" s="76" t="str">
        <f aca="false">IF($I24&gt;0%,IF(AND(HD$16&gt;=$F24,HD$16&lt;$F24+($G24*$I24)),"➤",""),"")</f>
        <v/>
      </c>
      <c r="HE24" s="76" t="str">
        <f aca="false">IF($I24&gt;0%,IF(AND(HE$16&gt;=$F24,HE$16&lt;$F24+($G24*$I24)),"➤",""),"")</f>
        <v/>
      </c>
      <c r="HF24" s="76" t="str">
        <f aca="false">IF($I24&gt;0%,IF(AND(HF$16&gt;=$F24,HF$16&lt;$F24+($G24*$I24)),"➤",""),"")</f>
        <v/>
      </c>
      <c r="HG24" s="76" t="str">
        <f aca="false">IF($I24&gt;0%,IF(AND(HG$16&gt;=$F24,HG$16&lt;$F24+($G24*$I24)),"➤",""),"")</f>
        <v/>
      </c>
      <c r="HH24" s="76" t="str">
        <f aca="false">IF($I24&gt;0%,IF(AND(HH$16&gt;=$F24,HH$16&lt;$F24+($G24*$I24)),"➤",""),"")</f>
        <v/>
      </c>
      <c r="HI24" s="76" t="str">
        <f aca="false">IF($I24&gt;0%,IF(AND(HI$16&gt;=$F24,HI$16&lt;$F24+($G24*$I24)),"➤",""),"")</f>
        <v/>
      </c>
      <c r="HJ24" s="76" t="str">
        <f aca="false">IF($I24&gt;0%,IF(AND(HJ$16&gt;=$F24,HJ$16&lt;$F24+($G24*$I24)),"➤",""),"")</f>
        <v/>
      </c>
      <c r="HK24" s="76" t="str">
        <f aca="false">IF($I24&gt;0%,IF(AND(HK$16&gt;=$F24,HK$16&lt;$F24+($G24*$I24)),"➤",""),"")</f>
        <v/>
      </c>
      <c r="HL24" s="76" t="str">
        <f aca="false">IF($I24&gt;0%,IF(AND(HL$16&gt;=$F24,HL$16&lt;$F24+($G24*$I24)),"➤",""),"")</f>
        <v/>
      </c>
      <c r="HM24" s="76" t="str">
        <f aca="false">IF($I24&gt;0%,IF(AND(HM$16&gt;=$F24,HM$16&lt;$F24+($G24*$I24)),"➤",""),"")</f>
        <v/>
      </c>
      <c r="HN24" s="76" t="str">
        <f aca="false">IF($I24&gt;0%,IF(AND(HN$16&gt;=$F24,HN$16&lt;$F24+($G24*$I24)),"➤",""),"")</f>
        <v/>
      </c>
      <c r="HO24" s="76" t="str">
        <f aca="false">IF($I24&gt;0%,IF(AND(HO$16&gt;=$F24,HO$16&lt;$F24+($G24*$I24)),"➤",""),"")</f>
        <v/>
      </c>
      <c r="HP24" s="76" t="str">
        <f aca="false">IF($I24&gt;0%,IF(AND(HP$16&gt;=$F24,HP$16&lt;$F24+($G24*$I24)),"➤",""),"")</f>
        <v/>
      </c>
      <c r="HQ24" s="76" t="str">
        <f aca="false">IF($I24&gt;0%,IF(AND(HQ$16&gt;=$F24,HQ$16&lt;$F24+($G24*$I24)),"➤",""),"")</f>
        <v/>
      </c>
      <c r="HR24" s="76" t="str">
        <f aca="false">IF($I24&gt;0%,IF(AND(HR$16&gt;=$F24,HR$16&lt;$F24+($G24*$I24)),"➤",""),"")</f>
        <v/>
      </c>
      <c r="HS24" s="76" t="str">
        <f aca="false">IF($I24&gt;0%,IF(AND(HS$16&gt;=$F24,HS$16&lt;$F24+($G24*$I24)),"➤",""),"")</f>
        <v/>
      </c>
      <c r="HT24" s="76" t="str">
        <f aca="false">IF($I24&gt;0%,IF(AND(HT$16&gt;=$F24,HT$16&lt;$F24+($G24*$I24)),"➤",""),"")</f>
        <v/>
      </c>
      <c r="HU24" s="76" t="str">
        <f aca="false">IF($I24&gt;0%,IF(AND(HU$16&gt;=$F24,HU$16&lt;$F24+($G24*$I24)),"➤",""),"")</f>
        <v/>
      </c>
      <c r="HV24" s="76" t="str">
        <f aca="false">IF($I24&gt;0%,IF(AND(HV$16&gt;=$F24,HV$16&lt;$F24+($G24*$I24)),"➤",""),"")</f>
        <v/>
      </c>
      <c r="HW24" s="76" t="str">
        <f aca="false">IF($I24&gt;0%,IF(AND(HW$16&gt;=$F24,HW$16&lt;$F24+($G24*$I24)),"➤",""),"")</f>
        <v/>
      </c>
      <c r="HX24" s="76" t="str">
        <f aca="false">IF($I24&gt;0%,IF(AND(HX$16&gt;=$F24,HX$16&lt;$F24+($G24*$I24)),"➤",""),"")</f>
        <v/>
      </c>
      <c r="HY24" s="76" t="str">
        <f aca="false">IF($I24&gt;0%,IF(AND(HY$16&gt;=$F24,HY$16&lt;$F24+($G24*$I24)),"➤",""),"")</f>
        <v/>
      </c>
      <c r="HZ24" s="76" t="str">
        <f aca="false">IF($I24&gt;0%,IF(AND(HZ$16&gt;=$F24,HZ$16&lt;$F24+($G24*$I24)),"➤",""),"")</f>
        <v/>
      </c>
      <c r="IA24" s="76" t="str">
        <f aca="false">IF($I24&gt;0%,IF(AND(IA$16&gt;=$F24,IA$16&lt;$F24+($G24*$I24)),"➤",""),"")</f>
        <v/>
      </c>
      <c r="IB24" s="76" t="str">
        <f aca="false">IF($I24&gt;0%,IF(AND(IB$16&gt;=$F24,IB$16&lt;$F24+($G24*$I24)),"➤",""),"")</f>
        <v/>
      </c>
      <c r="IC24" s="76" t="str">
        <f aca="false">IF($I24&gt;0%,IF(AND(IC$16&gt;=$F24,IC$16&lt;$F24+($G24*$I24)),"➤",""),"")</f>
        <v/>
      </c>
      <c r="ID24" s="76" t="str">
        <f aca="false">IF($I24&gt;0%,IF(AND(ID$16&gt;=$F24,ID$16&lt;$F24+($G24*$I24)),"➤",""),"")</f>
        <v/>
      </c>
      <c r="IE24" s="76" t="str">
        <f aca="false">IF($I24&gt;0%,IF(AND(IE$16&gt;=$F24,IE$16&lt;$F24+($G24*$I24)),"➤",""),"")</f>
        <v/>
      </c>
      <c r="IF24" s="76" t="str">
        <f aca="false">IF($I24&gt;0%,IF(AND(IF$16&gt;=$F24,IF$16&lt;$F24+($G24*$I24)),"➤",""),"")</f>
        <v/>
      </c>
      <c r="IG24" s="76" t="str">
        <f aca="false">IF($I24&gt;0%,IF(AND(IG$16&gt;=$F24,IG$16&lt;$F24+($G24*$I24)),"➤",""),"")</f>
        <v/>
      </c>
      <c r="IH24" s="76" t="str">
        <f aca="false">IF($I24&gt;0%,IF(AND(IH$16&gt;=$F24,IH$16&lt;$F24+($G24*$I24)),"➤",""),"")</f>
        <v/>
      </c>
      <c r="II24" s="76" t="str">
        <f aca="false">IF($I24&gt;0%,IF(AND(II$16&gt;=$F24,II$16&lt;$F24+($G24*$I24)),"➤",""),"")</f>
        <v/>
      </c>
      <c r="IJ24" s="76" t="str">
        <f aca="false">IF($I24&gt;0%,IF(AND(IJ$16&gt;=$F24,IJ$16&lt;$F24+($G24*$I24)),"➤",""),"")</f>
        <v/>
      </c>
      <c r="IK24" s="76" t="str">
        <f aca="false">IF($I24&gt;0%,IF(AND(IK$16&gt;=$F24,IK$16&lt;$F24+($G24*$I24)),"➤",""),"")</f>
        <v/>
      </c>
      <c r="IL24" s="76" t="str">
        <f aca="false">IF($I24&gt;0%,IF(AND(IL$16&gt;=$F24,IL$16&lt;$F24+($G24*$I24)),"➤",""),"")</f>
        <v/>
      </c>
      <c r="IM24" s="76" t="str">
        <f aca="false">IF($I24&gt;0%,IF(AND(IM$16&gt;=$F24,IM$16&lt;$F24+($G24*$I24)),"➤",""),"")</f>
        <v/>
      </c>
      <c r="IN24" s="76" t="str">
        <f aca="false">IF($I24&gt;0%,IF(AND(IN$16&gt;=$F24,IN$16&lt;$F24+($G24*$I24)),"➤",""),"")</f>
        <v/>
      </c>
      <c r="IO24" s="76" t="str">
        <f aca="false">IF($I24&gt;0%,IF(AND(IO$16&gt;=$F24,IO$16&lt;$F24+($G24*$I24)),"➤",""),"")</f>
        <v/>
      </c>
      <c r="IP24" s="76" t="str">
        <f aca="false">IF($I24&gt;0%,IF(AND(IP$16&gt;=$F24,IP$16&lt;$F24+($G24*$I24)),"➤",""),"")</f>
        <v/>
      </c>
      <c r="IQ24" s="76" t="str">
        <f aca="false">IF($I24&gt;0%,IF(AND(IQ$16&gt;=$F24,IQ$16&lt;$F24+($G24*$I24)),"➤",""),"")</f>
        <v/>
      </c>
      <c r="IR24" s="76" t="str">
        <f aca="false">IF($I24&gt;0%,IF(AND(IR$16&gt;=$F24,IR$16&lt;$F24+($G24*$I24)),"➤",""),"")</f>
        <v/>
      </c>
      <c r="IS24" s="76" t="str">
        <f aca="false">IF($I24&gt;0%,IF(AND(IS$16&gt;=$F24,IS$16&lt;$F24+($G24*$I24)),"➤",""),"")</f>
        <v/>
      </c>
      <c r="IT24" s="76" t="str">
        <f aca="false">IF($I24&gt;0%,IF(AND(IT$16&gt;=$F24,IT$16&lt;$F24+($G24*$I24)),"➤",""),"")</f>
        <v/>
      </c>
      <c r="IU24" s="76" t="str">
        <f aca="false">IF($I24&gt;0%,IF(AND(IU$16&gt;=$F24,IU$16&lt;$F24+($G24*$I24)),"➤",""),"")</f>
        <v/>
      </c>
      <c r="IV24" s="76" t="str">
        <f aca="false">IF($I24&gt;0%,IF(AND(IV$16&gt;=$F24,IV$16&lt;$F24+($G24*$I24)),"➤",""),"")</f>
        <v/>
      </c>
      <c r="IW24" s="76" t="str">
        <f aca="false">IF($I24&gt;0%,IF(AND(IW$16&gt;=$F24,IW$16&lt;$F24+($G24*$I24)),"➤",""),"")</f>
        <v/>
      </c>
      <c r="IX24" s="76" t="str">
        <f aca="false">IF($I24&gt;0%,IF(AND(IX$16&gt;=$F24,IX$16&lt;$F24+($G24*$I24)),"➤",""),"")</f>
        <v/>
      </c>
      <c r="IY24" s="76" t="str">
        <f aca="false">IF($I24&gt;0%,IF(AND(IY$16&gt;=$F24,IY$16&lt;$F24+($G24*$I24)),"➤",""),"")</f>
        <v/>
      </c>
      <c r="IZ24" s="76" t="str">
        <f aca="false">IF($I24&gt;0%,IF(AND(IZ$16&gt;=$F24,IZ$16&lt;$F24+($G24*$I24)),"➤",""),"")</f>
        <v/>
      </c>
      <c r="JA24" s="76" t="str">
        <f aca="false">IF($I24&gt;0%,IF(AND(JA$16&gt;=$F24,JA$16&lt;$F24+($G24*$I24)),"➤",""),"")</f>
        <v/>
      </c>
      <c r="JB24" s="76" t="str">
        <f aca="false">IF($I24&gt;0%,IF(AND(JB$16&gt;=$F24,JB$16&lt;$F24+($G24*$I24)),"➤",""),"")</f>
        <v/>
      </c>
      <c r="JC24" s="76" t="str">
        <f aca="false">IF($I24&gt;0%,IF(AND(JC$16&gt;=$F24,JC$16&lt;$F24+($G24*$I24)),"➤",""),"")</f>
        <v/>
      </c>
      <c r="JD24" s="76" t="str">
        <f aca="false">IF($I24&gt;0%,IF(AND(JD$16&gt;=$F24,JD$16&lt;$F24+($G24*$I24)),"➤",""),"")</f>
        <v/>
      </c>
      <c r="JE24" s="76" t="str">
        <f aca="false">IF($I24&gt;0%,IF(AND(JE$16&gt;=$F24,JE$16&lt;$F24+($G24*$I24)),"➤",""),"")</f>
        <v/>
      </c>
      <c r="JF24" s="76" t="str">
        <f aca="false">IF($I24&gt;0%,IF(AND(JF$16&gt;=$F24,JF$16&lt;$F24+($G24*$I24)),"➤",""),"")</f>
        <v/>
      </c>
      <c r="JG24" s="76" t="str">
        <f aca="false">IF($I24&gt;0%,IF(AND(JG$16&gt;=$F24,JG$16&lt;$F24+($G24*$I24)),"➤",""),"")</f>
        <v/>
      </c>
      <c r="JH24" s="76" t="str">
        <f aca="false">IF($I24&gt;0%,IF(AND(JH$16&gt;=$F24,JH$16&lt;$F24+($G24*$I24)),"➤",""),"")</f>
        <v/>
      </c>
      <c r="JI24" s="76" t="str">
        <f aca="false">IF($I24&gt;0%,IF(AND(JI$16&gt;=$F24,JI$16&lt;$F24+($G24*$I24)),"➤",""),"")</f>
        <v/>
      </c>
      <c r="JJ24" s="76" t="str">
        <f aca="false">IF($I24&gt;0%,IF(AND(JJ$16&gt;=$F24,JJ$16&lt;$F24+($G24*$I24)),"➤",""),"")</f>
        <v/>
      </c>
      <c r="JK24" s="76" t="str">
        <f aca="false">IF($I24&gt;0%,IF(AND(JK$16&gt;=$F24,JK$16&lt;$F24+($G24*$I24)),"➤",""),"")</f>
        <v/>
      </c>
      <c r="JL24" s="76" t="str">
        <f aca="false">IF($I24&gt;0%,IF(AND(JL$16&gt;=$F24,JL$16&lt;$F24+($G24*$I24)),"➤",""),"")</f>
        <v/>
      </c>
      <c r="JM24" s="76" t="str">
        <f aca="false">IF($I24&gt;0%,IF(AND(JM$16&gt;=$F24,JM$16&lt;$F24+($G24*$I24)),"➤",""),"")</f>
        <v/>
      </c>
      <c r="JN24" s="76" t="str">
        <f aca="false">IF($I24&gt;0%,IF(AND(JN$16&gt;=$F24,JN$16&lt;$F24+($G24*$I24)),"➤",""),"")</f>
        <v/>
      </c>
      <c r="JO24" s="76" t="str">
        <f aca="false">IF($I24&gt;0%,IF(AND(JO$16&gt;=$F24,JO$16&lt;$F24+($G24*$I24)),"➤",""),"")</f>
        <v/>
      </c>
      <c r="JP24" s="76" t="str">
        <f aca="false">IF($I24&gt;0%,IF(AND(JP$16&gt;=$F24,JP$16&lt;$F24+($G24*$I24)),"➤",""),"")</f>
        <v/>
      </c>
      <c r="JQ24" s="76" t="str">
        <f aca="false">IF($I24&gt;0%,IF(AND(JQ$16&gt;=$F24,JQ$16&lt;$F24+($G24*$I24)),"➤",""),"")</f>
        <v/>
      </c>
      <c r="JR24" s="76" t="str">
        <f aca="false">IF($I24&gt;0%,IF(AND(JR$16&gt;=$F24,JR$16&lt;$F24+($G24*$I24)),"➤",""),"")</f>
        <v/>
      </c>
      <c r="JS24" s="76" t="str">
        <f aca="false">IF($I24&gt;0%,IF(AND(JS$16&gt;=$F24,JS$16&lt;$F24+($G24*$I24)),"➤",""),"")</f>
        <v/>
      </c>
      <c r="JT24" s="76" t="str">
        <f aca="false">IF($I24&gt;0%,IF(AND(JT$16&gt;=$F24,JT$16&lt;$F24+($G24*$I24)),"➤",""),"")</f>
        <v/>
      </c>
      <c r="JU24" s="76" t="str">
        <f aca="false">IF($I24&gt;0%,IF(AND(JU$16&gt;=$F24,JU$16&lt;$F24+($G24*$I24)),"➤",""),"")</f>
        <v/>
      </c>
      <c r="JV24" s="76" t="str">
        <f aca="false">IF($I24&gt;0%,IF(AND(JV$16&gt;=$F24,JV$16&lt;$F24+($G24*$I24)),"➤",""),"")</f>
        <v/>
      </c>
      <c r="JW24" s="76" t="str">
        <f aca="false">IF($I24&gt;0%,IF(AND(JW$16&gt;=$F24,JW$16&lt;$F24+($G24*$I24)),"➤",""),"")</f>
        <v/>
      </c>
      <c r="JX24" s="76" t="str">
        <f aca="false">IF($I24&gt;0%,IF(AND(JX$16&gt;=$F24,JX$16&lt;$F24+($G24*$I24)),"➤",""),"")</f>
        <v/>
      </c>
      <c r="JY24" s="76" t="str">
        <f aca="false">IF($I24&gt;0%,IF(AND(JY$16&gt;=$F24,JY$16&lt;$F24+($G24*$I24)),"➤",""),"")</f>
        <v/>
      </c>
      <c r="JZ24" s="76" t="str">
        <f aca="false">IF($I24&gt;0%,IF(AND(JZ$16&gt;=$F24,JZ$16&lt;$F24+($G24*$I24)),"➤",""),"")</f>
        <v/>
      </c>
      <c r="KA24" s="76" t="str">
        <f aca="false">IF($I24&gt;0%,IF(AND(KA$16&gt;=$F24,KA$16&lt;$F24+($G24*$I24)),"➤",""),"")</f>
        <v/>
      </c>
      <c r="KB24" s="76" t="str">
        <f aca="false">IF($I24&gt;0%,IF(AND(KB$16&gt;=$F24,KB$16&lt;$F24+($G24*$I24)),"➤",""),"")</f>
        <v/>
      </c>
      <c r="KC24" s="76" t="str">
        <f aca="false">IF($I24&gt;0%,IF(AND(KC$16&gt;=$F24,KC$16&lt;$F24+($G24*$I24)),"➤",""),"")</f>
        <v/>
      </c>
      <c r="KD24" s="76" t="str">
        <f aca="false">IF($I24&gt;0%,IF(AND(KD$16&gt;=$F24,KD$16&lt;$F24+($G24*$I24)),"➤",""),"")</f>
        <v/>
      </c>
      <c r="KE24" s="76" t="str">
        <f aca="false">IF($I24&gt;0%,IF(AND(KE$16&gt;=$F24,KE$16&lt;$F24+($G24*$I24)),"➤",""),"")</f>
        <v/>
      </c>
      <c r="KF24" s="76" t="str">
        <f aca="false">IF($I24&gt;0%,IF(AND(KF$16&gt;=$F24,KF$16&lt;$F24+($G24*$I24)),"➤",""),"")</f>
        <v/>
      </c>
      <c r="KG24" s="76" t="str">
        <f aca="false">IF($I24&gt;0%,IF(AND(KG$16&gt;=$F24,KG$16&lt;$F24+($G24*$I24)),"➤",""),"")</f>
        <v/>
      </c>
      <c r="KH24" s="76" t="str">
        <f aca="false">IF($I24&gt;0%,IF(AND(KH$16&gt;=$F24,KH$16&lt;$F24+($G24*$I24)),"➤",""),"")</f>
        <v/>
      </c>
      <c r="KI24" s="76" t="str">
        <f aca="false">IF($I24&gt;0%,IF(AND(KI$16&gt;=$F24,KI$16&lt;$F24+($G24*$I24)),"➤",""),"")</f>
        <v/>
      </c>
      <c r="KJ24" s="76" t="str">
        <f aca="false">IF($I24&gt;0%,IF(AND(KJ$16&gt;=$F24,KJ$16&lt;$F24+($G24*$I24)),"➤",""),"")</f>
        <v/>
      </c>
      <c r="KK24" s="76" t="str">
        <f aca="false">IF($I24&gt;0%,IF(AND(KK$16&gt;=$F24,KK$16&lt;$F24+($G24*$I24)),"➤",""),"")</f>
        <v/>
      </c>
      <c r="KL24" s="76" t="str">
        <f aca="false">IF($I24&gt;0%,IF(AND(KL$16&gt;=$F24,KL$16&lt;$F24+($G24*$I24)),"➤",""),"")</f>
        <v/>
      </c>
      <c r="KM24" s="76" t="str">
        <f aca="false">IF($I24&gt;0%,IF(AND(KM$16&gt;=$F24,KM$16&lt;$F24+($G24*$I24)),"➤",""),"")</f>
        <v/>
      </c>
      <c r="KN24" s="76" t="str">
        <f aca="false">IF($I24&gt;0%,IF(AND(KN$16&gt;=$F24,KN$16&lt;$F24+($G24*$I24)),"➤",""),"")</f>
        <v/>
      </c>
      <c r="KO24" s="76" t="str">
        <f aca="false">IF($I24&gt;0%,IF(AND(KO$16&gt;=$F24,KO$16&lt;$F24+($G24*$I24)),"➤",""),"")</f>
        <v/>
      </c>
      <c r="KP24" s="76" t="str">
        <f aca="false">IF($I24&gt;0%,IF(AND(KP$16&gt;=$F24,KP$16&lt;$F24+($G24*$I24)),"➤",""),"")</f>
        <v/>
      </c>
      <c r="KQ24" s="76" t="str">
        <f aca="false">IF($I24&gt;0%,IF(AND(KQ$16&gt;=$F24,KQ$16&lt;$F24+($G24*$I24)),"➤",""),"")</f>
        <v/>
      </c>
      <c r="KR24" s="76" t="str">
        <f aca="false">IF($I24&gt;0%,IF(AND(KR$16&gt;=$F24,KR$16&lt;$F24+($G24*$I24)),"➤",""),"")</f>
        <v/>
      </c>
      <c r="KS24" s="76" t="str">
        <f aca="false">IF($I24&gt;0%,IF(AND(KS$16&gt;=$F24,KS$16&lt;$F24+($G24*$I24)),"➤",""),"")</f>
        <v/>
      </c>
      <c r="KT24" s="76" t="str">
        <f aca="false">IF($I24&gt;0%,IF(AND(KT$16&gt;=$F24,KT$16&lt;$F24+($G24*$I24)),"➤",""),"")</f>
        <v/>
      </c>
      <c r="KU24" s="76" t="str">
        <f aca="false">IF($I24&gt;0%,IF(AND(KU$16&gt;=$F24,KU$16&lt;$F24+($G24*$I24)),"➤",""),"")</f>
        <v/>
      </c>
      <c r="KV24" s="76" t="str">
        <f aca="false">IF($I24&gt;0%,IF(AND(KV$16&gt;=$F24,KV$16&lt;$F24+($G24*$I24)),"➤",""),"")</f>
        <v/>
      </c>
      <c r="KW24" s="76" t="str">
        <f aca="false">IF($I24&gt;0%,IF(AND(KW$16&gt;=$F24,KW$16&lt;$F24+($G24*$I24)),"➤",""),"")</f>
        <v/>
      </c>
      <c r="KX24" s="76" t="str">
        <f aca="false">IF($I24&gt;0%,IF(AND(KX$16&gt;=$F24,KX$16&lt;$F24+($G24*$I24)),"➤",""),"")</f>
        <v/>
      </c>
      <c r="KY24" s="76" t="str">
        <f aca="false">IF($I24&gt;0%,IF(AND(KY$16&gt;=$F24,KY$16&lt;$F24+($G24*$I24)),"➤",""),"")</f>
        <v/>
      </c>
      <c r="KZ24" s="76" t="str">
        <f aca="false">IF($I24&gt;0%,IF(AND(KZ$16&gt;=$F24,KZ$16&lt;$F24+($G24*$I24)),"➤",""),"")</f>
        <v/>
      </c>
      <c r="LA24" s="76" t="str">
        <f aca="false">IF($I24&gt;0%,IF(AND(LA$16&gt;=$F24,LA$16&lt;$F24+($G24*$I24)),"➤",""),"")</f>
        <v/>
      </c>
      <c r="LB24" s="76" t="str">
        <f aca="false">IF($I24&gt;0%,IF(AND(LB$16&gt;=$F24,LB$16&lt;$F24+($G24*$I24)),"➤",""),"")</f>
        <v/>
      </c>
      <c r="LC24" s="76" t="str">
        <f aca="false">IF($I24&gt;0%,IF(AND(LC$16&gt;=$F24,LC$16&lt;$F24+($G24*$I24)),"➤",""),"")</f>
        <v/>
      </c>
      <c r="LD24" s="76" t="str">
        <f aca="false">IF($I24&gt;0%,IF(AND(LD$16&gt;=$F24,LD$16&lt;$F24+($G24*$I24)),"➤",""),"")</f>
        <v/>
      </c>
      <c r="LE24" s="76" t="str">
        <f aca="false">IF($I24&gt;0%,IF(AND(LE$16&gt;=$F24,LE$16&lt;$F24+($G24*$I24)),"➤",""),"")</f>
        <v/>
      </c>
      <c r="LF24" s="76" t="str">
        <f aca="false">IF($I24&gt;0%,IF(AND(LF$16&gt;=$F24,LF$16&lt;$F24+($G24*$I24)),"➤",""),"")</f>
        <v/>
      </c>
      <c r="LG24" s="76" t="str">
        <f aca="false">IF($I24&gt;0%,IF(AND(LG$16&gt;=$F24,LG$16&lt;$F24+($G24*$I24)),"➤",""),"")</f>
        <v/>
      </c>
      <c r="LH24" s="76" t="str">
        <f aca="false">IF($I24&gt;0%,IF(AND(LH$16&gt;=$F24,LH$16&lt;$F24+($G24*$I24)),"➤",""),"")</f>
        <v/>
      </c>
      <c r="LI24" s="76" t="str">
        <f aca="false">IF($I24&gt;0%,IF(AND(LI$16&gt;=$F24,LI$16&lt;$F24+($G24*$I24)),"➤",""),"")</f>
        <v/>
      </c>
      <c r="LJ24" s="76" t="str">
        <f aca="false">IF($I24&gt;0%,IF(AND(LJ$16&gt;=$F24,LJ$16&lt;$F24+($G24*$I24)),"➤",""),"")</f>
        <v/>
      </c>
      <c r="LK24" s="76" t="str">
        <f aca="false">IF($I24&gt;0%,IF(AND(LK$16&gt;=$F24,LK$16&lt;$F24+($G24*$I24)),"➤",""),"")</f>
        <v/>
      </c>
      <c r="LL24" s="76" t="str">
        <f aca="false">IF($I24&gt;0%,IF(AND(LL$16&gt;=$F24,LL$16&lt;$F24+($G24*$I24)),"➤",""),"")</f>
        <v/>
      </c>
      <c r="LM24" s="76" t="str">
        <f aca="false">IF($I24&gt;0%,IF(AND(LM$16&gt;=$F24,LM$16&lt;$F24+($G24*$I24)),"➤",""),"")</f>
        <v/>
      </c>
      <c r="LN24" s="76" t="str">
        <f aca="false">IF($I24&gt;0%,IF(AND(LN$16&gt;=$F24,LN$16&lt;$F24+($G24*$I24)),"➤",""),"")</f>
        <v/>
      </c>
      <c r="LO24" s="76" t="str">
        <f aca="false">IF($I24&gt;0%,IF(AND(LO$16&gt;=$F24,LO$16&lt;$F24+($G24*$I24)),"➤",""),"")</f>
        <v/>
      </c>
      <c r="LP24" s="76" t="str">
        <f aca="false">IF($I24&gt;0%,IF(AND(LP$16&gt;=$F24,LP$16&lt;$F24+($G24*$I24)),"➤",""),"")</f>
        <v/>
      </c>
      <c r="LQ24" s="76" t="str">
        <f aca="false">IF($I24&gt;0%,IF(AND(LQ$16&gt;=$F24,LQ$16&lt;$F24+($G24*$I24)),"➤",""),"")</f>
        <v/>
      </c>
      <c r="LR24" s="76" t="str">
        <f aca="false">IF($I24&gt;0%,IF(AND(LR$16&gt;=$F24,LR$16&lt;$F24+($G24*$I24)),"➤",""),"")</f>
        <v/>
      </c>
      <c r="LS24" s="76" t="str">
        <f aca="false">IF($I24&gt;0%,IF(AND(LS$16&gt;=$F24,LS$16&lt;$F24+($G24*$I24)),"➤",""),"")</f>
        <v/>
      </c>
      <c r="LT24" s="76" t="str">
        <f aca="false">IF($I24&gt;0%,IF(AND(LT$16&gt;=$F24,LT$16&lt;$F24+($G24*$I24)),"➤",""),"")</f>
        <v/>
      </c>
      <c r="LU24" s="76" t="str">
        <f aca="false">IF($I24&gt;0%,IF(AND(LU$16&gt;=$F24,LU$16&lt;$F24+($G24*$I24)),"➤",""),"")</f>
        <v/>
      </c>
      <c r="LV24" s="76" t="str">
        <f aca="false">IF($I24&gt;0%,IF(AND(LV$16&gt;=$F24,LV$16&lt;$F24+($G24*$I24)),"➤",""),"")</f>
        <v/>
      </c>
      <c r="LW24" s="76" t="str">
        <f aca="false">IF($I24&gt;0%,IF(AND(LW$16&gt;=$F24,LW$16&lt;$F24+($G24*$I24)),"➤",""),"")</f>
        <v/>
      </c>
      <c r="LX24" s="76" t="str">
        <f aca="false">IF($I24&gt;0%,IF(AND(LX$16&gt;=$F24,LX$16&lt;$F24+($G24*$I24)),"➤",""),"")</f>
        <v/>
      </c>
      <c r="LY24" s="76" t="str">
        <f aca="false">IF($I24&gt;0%,IF(AND(LY$16&gt;=$F24,LY$16&lt;$F24+($G24*$I24)),"➤",""),"")</f>
        <v/>
      </c>
      <c r="LZ24" s="76" t="str">
        <f aca="false">IF($I24&gt;0%,IF(AND(LZ$16&gt;=$F24,LZ$16&lt;$F24+($G24*$I24)),"➤",""),"")</f>
        <v/>
      </c>
      <c r="MA24" s="76" t="str">
        <f aca="false">IF($I24&gt;0%,IF(AND(MA$16&gt;=$F24,MA$16&lt;$F24+($G24*$I24)),"➤",""),"")</f>
        <v/>
      </c>
      <c r="MB24" s="76" t="str">
        <f aca="false">IF($I24&gt;0%,IF(AND(MB$16&gt;=$F24,MB$16&lt;$F24+($G24*$I24)),"➤",""),"")</f>
        <v/>
      </c>
      <c r="MC24" s="76" t="str">
        <f aca="false">IF($I24&gt;0%,IF(AND(MC$16&gt;=$F24,MC$16&lt;$F24+($G24*$I24)),"➤",""),"")</f>
        <v/>
      </c>
      <c r="MD24" s="76" t="str">
        <f aca="false">IF($I24&gt;0%,IF(AND(MD$16&gt;=$F24,MD$16&lt;$F24+($G24*$I24)),"➤",""),"")</f>
        <v/>
      </c>
      <c r="ME24" s="76" t="str">
        <f aca="false">IF($I24&gt;0%,IF(AND(ME$16&gt;=$F24,ME$16&lt;$F24+($G24*$I24)),"➤",""),"")</f>
        <v/>
      </c>
      <c r="MF24" s="76" t="str">
        <f aca="false">IF($I24&gt;0%,IF(AND(MF$16&gt;=$F24,MF$16&lt;$F24+($G24*$I24)),"➤",""),"")</f>
        <v/>
      </c>
      <c r="MG24" s="76" t="str">
        <f aca="false">IF($I24&gt;0%,IF(AND(MG$16&gt;=$F24,MG$16&lt;$F24+($G24*$I24)),"➤",""),"")</f>
        <v/>
      </c>
      <c r="MH24" s="76" t="str">
        <f aca="false">IF($I24&gt;0%,IF(AND(MH$16&gt;=$F24,MH$16&lt;$F24+($G24*$I24)),"➤",""),"")</f>
        <v/>
      </c>
      <c r="MI24" s="76" t="str">
        <f aca="false">IF($I24&gt;0%,IF(AND(MI$16&gt;=$F24,MI$16&lt;$F24+($G24*$I24)),"➤",""),"")</f>
        <v/>
      </c>
      <c r="MJ24" s="76" t="str">
        <f aca="false">IF($I24&gt;0%,IF(AND(MJ$16&gt;=$F24,MJ$16&lt;$F24+($G24*$I24)),"➤",""),"")</f>
        <v/>
      </c>
      <c r="MK24" s="76" t="str">
        <f aca="false">IF($I24&gt;0%,IF(AND(MK$16&gt;=$F24,MK$16&lt;$F24+($G24*$I24)),"➤",""),"")</f>
        <v/>
      </c>
      <c r="ML24" s="76" t="str">
        <f aca="false">IF($I24&gt;0%,IF(AND(ML$16&gt;=$F24,ML$16&lt;$F24+($G24*$I24)),"➤",""),"")</f>
        <v/>
      </c>
      <c r="MM24" s="76" t="str">
        <f aca="false">IF($I24&gt;0%,IF(AND(MM$16&gt;=$F24,MM$16&lt;$F24+($G24*$I24)),"➤",""),"")</f>
        <v/>
      </c>
      <c r="MN24" s="76" t="str">
        <f aca="false">IF($I24&gt;0%,IF(AND(MN$16&gt;=$F24,MN$16&lt;$F24+($G24*$I24)),"➤",""),"")</f>
        <v/>
      </c>
      <c r="MO24" s="76" t="str">
        <f aca="false">IF($I24&gt;0%,IF(AND(MO$16&gt;=$F24,MO$16&lt;$F24+($G24*$I24)),"➤",""),"")</f>
        <v/>
      </c>
      <c r="MP24" s="76" t="str">
        <f aca="false">IF($I24&gt;0%,IF(AND(MP$16&gt;=$F24,MP$16&lt;$F24+($G24*$I24)),"➤",""),"")</f>
        <v/>
      </c>
      <c r="MQ24" s="76" t="str">
        <f aca="false">IF($I24&gt;0%,IF(AND(MQ$16&gt;=$F24,MQ$16&lt;$F24+($G24*$I24)),"➤",""),"")</f>
        <v/>
      </c>
      <c r="MR24" s="76" t="str">
        <f aca="false">IF($I24&gt;0%,IF(AND(MR$16&gt;=$F24,MR$16&lt;$F24+($G24*$I24)),"➤",""),"")</f>
        <v/>
      </c>
      <c r="MS24" s="76" t="str">
        <f aca="false">IF($I24&gt;0%,IF(AND(MS$16&gt;=$F24,MS$16&lt;$F24+($G24*$I24)),"➤",""),"")</f>
        <v/>
      </c>
      <c r="MT24" s="76" t="str">
        <f aca="false">IF($I24&gt;0%,IF(AND(MT$16&gt;=$F24,MT$16&lt;$F24+($G24*$I24)),"➤",""),"")</f>
        <v/>
      </c>
      <c r="MU24" s="76" t="str">
        <f aca="false">IF($I24&gt;0%,IF(AND(MU$16&gt;=$F24,MU$16&lt;$F24+($G24*$I24)),"➤",""),"")</f>
        <v/>
      </c>
      <c r="MV24" s="76" t="str">
        <f aca="false">IF($I24&gt;0%,IF(AND(MV$16&gt;=$F24,MV$16&lt;$F24+($G24*$I24)),"➤",""),"")</f>
        <v/>
      </c>
      <c r="MW24" s="76" t="str">
        <f aca="false">IF($I24&gt;0%,IF(AND(MW$16&gt;=$F24,MW$16&lt;$F24+($G24*$I24)),"➤",""),"")</f>
        <v/>
      </c>
      <c r="MX24" s="76" t="str">
        <f aca="false">IF($I24&gt;0%,IF(AND(MX$16&gt;=$F24,MX$16&lt;$F24+($G24*$I24)),"➤",""),"")</f>
        <v/>
      </c>
      <c r="MY24" s="76" t="str">
        <f aca="false">IF($I24&gt;0%,IF(AND(MY$16&gt;=$F24,MY$16&lt;$F24+($G24*$I24)),"➤",""),"")</f>
        <v/>
      </c>
      <c r="MZ24" s="76" t="str">
        <f aca="false">IF($I24&gt;0%,IF(AND(MZ$16&gt;=$F24,MZ$16&lt;$F24+($G24*$I24)),"➤",""),"")</f>
        <v/>
      </c>
      <c r="NA24" s="76" t="str">
        <f aca="false">IF($I24&gt;0%,IF(AND(NA$16&gt;=$F24,NA$16&lt;$F24+($G24*$I24)),"➤",""),"")</f>
        <v/>
      </c>
      <c r="NB24" s="76" t="str">
        <f aca="false">IF($I24&gt;0%,IF(AND(NB$16&gt;=$F24,NB$16&lt;$F24+($G24*$I24)),"➤",""),"")</f>
        <v/>
      </c>
      <c r="NC24" s="76" t="str">
        <f aca="false">IF($I24&gt;0%,IF(AND(NC$16&gt;=$F24,NC$16&lt;$F24+($G24*$I24)),"➤",""),"")</f>
        <v/>
      </c>
      <c r="ND24" s="76" t="str">
        <f aca="false">IF($I24&gt;0%,IF(AND(ND$16&gt;=$F24,ND$16&lt;$F24+($G24*$I24)),"➤",""),"")</f>
        <v/>
      </c>
      <c r="NE24" s="76" t="str">
        <f aca="false">IF($I24&gt;0%,IF(AND(NE$16&gt;=$F24,NE$16&lt;$F24+($G24*$I24)),"➤",""),"")</f>
        <v/>
      </c>
      <c r="NF24" s="76" t="str">
        <f aca="false">IF($I24&gt;0%,IF(AND(NF$16&gt;=$F24,NF$16&lt;$F24+($G24*$I24)),"➤",""),"")</f>
        <v/>
      </c>
      <c r="NG24" s="76" t="str">
        <f aca="false">IF($I24&gt;0%,IF(AND(NG$16&gt;=$F24,NG$16&lt;$F24+($G24*$I24)),"➤",""),"")</f>
        <v/>
      </c>
      <c r="NH24" s="76" t="str">
        <f aca="false">IF($I24&gt;0%,IF(AND(NH$16&gt;=$F24,NH$16&lt;$F24+($G24*$I24)),"➤",""),"")</f>
        <v/>
      </c>
      <c r="NI24" s="76" t="str">
        <f aca="false">IF($I24&gt;0%,IF(AND(NI$16&gt;=$F24,NI$16&lt;$F24+($G24*$I24)),"➤",""),"")</f>
        <v/>
      </c>
      <c r="NJ24" s="76" t="str">
        <f aca="false">IF($I24&gt;0%,IF(AND(NJ$16&gt;=$F24,NJ$16&lt;$F24+($G24*$I24)),"➤",""),"")</f>
        <v/>
      </c>
      <c r="NK24" s="76" t="str">
        <f aca="false">IF($I24&gt;0%,IF(AND(NK$16&gt;=$F24,NK$16&lt;$F24+($G24*$I24)),"➤",""),"")</f>
        <v/>
      </c>
      <c r="NL24" s="76" t="str">
        <f aca="false">IF($I24&gt;0%,IF(AND(NL$16&gt;=$F24,NL$16&lt;$F24+($G24*$I24)),"➤",""),"")</f>
        <v/>
      </c>
      <c r="NM24" s="76" t="str">
        <f aca="false">IF($I24&gt;0%,IF(AND(NM$16&gt;=$F24,NM$16&lt;$F24+($G24*$I24)),"➤",""),"")</f>
        <v/>
      </c>
      <c r="NN24" s="76" t="str">
        <f aca="false">IF($I24&gt;0%,IF(AND(NN$16&gt;=$F24,NN$16&lt;$F24+($G24*$I24)),"➤",""),"")</f>
        <v/>
      </c>
      <c r="NO24" s="76" t="str">
        <f aca="false">IF($I24&gt;0%,IF(AND(NO$16&gt;=$F24,NO$16&lt;$F24+($G24*$I24)),"➤",""),"")</f>
        <v/>
      </c>
      <c r="NP24" s="76" t="str">
        <f aca="false">IF($I24&gt;0%,IF(AND(NP$16&gt;=$F24,NP$16&lt;$F24+($G24*$I24)),"➤",""),"")</f>
        <v/>
      </c>
      <c r="NQ24" s="76" t="str">
        <f aca="false">IF($I24&gt;0%,IF(AND(NQ$16&gt;=$F24,NQ$16&lt;$F24+($G24*$I24)),"➤",""),"")</f>
        <v/>
      </c>
      <c r="NR24" s="76" t="str">
        <f aca="false">IF($I24&gt;0%,IF(AND(NR$16&gt;=$F24,NR$16&lt;$F24+($G24*$I24)),"➤",""),"")</f>
        <v/>
      </c>
      <c r="NS24" s="76" t="str">
        <f aca="false">IF($I24&gt;0%,IF(AND(NS$16&gt;=$F24,NS$16&lt;$F24+($G24*$I24)),"➤",""),"")</f>
        <v/>
      </c>
      <c r="NT24" s="76" t="str">
        <f aca="false">IF($I24&gt;0%,IF(AND(NT$16&gt;=$F24,NT$16&lt;$F24+($G24*$I24)),"➤",""),"")</f>
        <v/>
      </c>
      <c r="NU24" s="76" t="str">
        <f aca="false">IF($I24&gt;0%,IF(AND(NU$16&gt;=$F24,NU$16&lt;$F24+($G24*$I24)),"➤",""),"")</f>
        <v/>
      </c>
      <c r="NV24" s="76" t="str">
        <f aca="false">IF($I24&gt;0%,IF(AND(NV$16&gt;=$F24,NV$16&lt;$F24+($G24*$I24)),"➤",""),"")</f>
        <v/>
      </c>
      <c r="NW24" s="76" t="str">
        <f aca="false">IF($I24&gt;0%,IF(AND(NW$16&gt;=$F24,NW$16&lt;$F24+($G24*$I24)),"➤",""),"")</f>
        <v/>
      </c>
      <c r="NX24" s="76" t="str">
        <f aca="false">IF($I24&gt;0%,IF(AND(NX$16&gt;=$F24,NX$16&lt;$F24+($G24*$I24)),"➤",""),"")</f>
        <v/>
      </c>
      <c r="NY24" s="76" t="str">
        <f aca="false">IF($I24&gt;0%,IF(AND(NY$16&gt;=$F24,NY$16&lt;$F24+($G24*$I24)),"➤",""),"")</f>
        <v/>
      </c>
      <c r="NZ24" s="76" t="str">
        <f aca="false">IF($I24&gt;0%,IF(AND(NZ$16&gt;=$F24,NZ$16&lt;$F24+($G24*$I24)),"➤",""),"")</f>
        <v/>
      </c>
      <c r="OA24" s="76" t="str">
        <f aca="false">IF($I24&gt;0%,IF(AND(OA$16&gt;=$F24,OA$16&lt;$F24+($G24*$I24)),"➤",""),"")</f>
        <v/>
      </c>
      <c r="OB24" s="76" t="str">
        <f aca="false">IF($I24&gt;0%,IF(AND(OB$16&gt;=$F24,OB$16&lt;$F24+($G24*$I24)),"➤",""),"")</f>
        <v/>
      </c>
      <c r="OC24" s="76" t="str">
        <f aca="false">IF($I24&gt;0%,IF(AND(OC$16&gt;=$F24,OC$16&lt;$F24+($G24*$I24)),"➤",""),"")</f>
        <v/>
      </c>
      <c r="OD24" s="76" t="str">
        <f aca="false">IF($I24&gt;0%,IF(AND(OD$16&gt;=$F24,OD$16&lt;$F24+($G24*$I24)),"➤",""),"")</f>
        <v/>
      </c>
      <c r="OE24" s="76" t="str">
        <f aca="false">IF($I24&gt;0%,IF(AND(OE$16&gt;=$F24,OE$16&lt;$F24+($G24*$I24)),"➤",""),"")</f>
        <v/>
      </c>
      <c r="OF24" s="76" t="str">
        <f aca="false">IF($I24&gt;0%,IF(AND(OF$16&gt;=$F24,OF$16&lt;$F24+($G24*$I24)),"➤",""),"")</f>
        <v/>
      </c>
      <c r="OG24" s="76" t="str">
        <f aca="false">IF($I24&gt;0%,IF(AND(OG$16&gt;=$F24,OG$16&lt;$F24+($G24*$I24)),"➤",""),"")</f>
        <v/>
      </c>
      <c r="OH24" s="76" t="str">
        <f aca="false">IF($I24&gt;0%,IF(AND(OH$16&gt;=$F24,OH$16&lt;$F24+($G24*$I24)),"➤",""),"")</f>
        <v/>
      </c>
      <c r="OI24" s="76" t="str">
        <f aca="false">IF($I24&gt;0%,IF(AND(OI$16&gt;=$F24,OI$16&lt;$F24+($G24*$I24)),"➤",""),"")</f>
        <v/>
      </c>
      <c r="OJ24" s="76" t="str">
        <f aca="false">IF($I24&gt;0%,IF(AND(OJ$16&gt;=$F24,OJ$16&lt;$F24+($G24*$I24)),"➤",""),"")</f>
        <v/>
      </c>
      <c r="OK24" s="76" t="str">
        <f aca="false">IF($I24&gt;0%,IF(AND(OK$16&gt;=$F24,OK$16&lt;$F24+($G24*$I24)),"➤",""),"")</f>
        <v/>
      </c>
      <c r="OL24" s="76" t="str">
        <f aca="false">IF($I24&gt;0%,IF(AND(OL$16&gt;=$F24,OL$16&lt;$F24+($G24*$I24)),"➤",""),"")</f>
        <v/>
      </c>
      <c r="OM24" s="76" t="str">
        <f aca="false">IF($I24&gt;0%,IF(AND(OM$16&gt;=$F24,OM$16&lt;$F24+($G24*$I24)),"➤",""),"")</f>
        <v/>
      </c>
      <c r="ON24" s="76" t="str">
        <f aca="false">IF($I24&gt;0%,IF(AND(ON$16&gt;=$F24,ON$16&lt;$F24+($G24*$I24)),"➤",""),"")</f>
        <v/>
      </c>
      <c r="OO24" s="76" t="str">
        <f aca="false">IF($I24&gt;0%,IF(AND(OO$16&gt;=$F24,OO$16&lt;$F24+($G24*$I24)),"➤",""),"")</f>
        <v/>
      </c>
      <c r="OP24" s="76" t="str">
        <f aca="false">IF($I24&gt;0%,IF(AND(OP$16&gt;=$F24,OP$16&lt;$F24+($G24*$I24)),"➤",""),"")</f>
        <v/>
      </c>
      <c r="OQ24" s="76" t="str">
        <f aca="false">IF($I24&gt;0%,IF(AND(OQ$16&gt;=$F24,OQ$16&lt;$F24+($G24*$I24)),"➤",""),"")</f>
        <v/>
      </c>
      <c r="OR24" s="76" t="str">
        <f aca="false">IF($I24&gt;0%,IF(AND(OR$16&gt;=$F24,OR$16&lt;$F24+($G24*$I24)),"➤",""),"")</f>
        <v/>
      </c>
      <c r="OS24" s="76" t="str">
        <f aca="false">IF($I24&gt;0%,IF(AND(OS$16&gt;=$F24,OS$16&lt;$F24+($G24*$I24)),"➤",""),"")</f>
        <v/>
      </c>
      <c r="OT24" s="76" t="str">
        <f aca="false">IF($I24&gt;0%,IF(AND(OT$16&gt;=$F24,OT$16&lt;$F24+($G24*$I24)),"➤",""),"")</f>
        <v/>
      </c>
      <c r="OU24" s="76" t="str">
        <f aca="false">IF($I24&gt;0%,IF(AND(OU$16&gt;=$F24,OU$16&lt;$F24+($G24*$I24)),"➤",""),"")</f>
        <v/>
      </c>
      <c r="OV24" s="76" t="str">
        <f aca="false">IF($I24&gt;0%,IF(AND(OV$16&gt;=$F24,OV$16&lt;$F24+($G24*$I24)),"➤",""),"")</f>
        <v/>
      </c>
      <c r="OW24" s="76" t="str">
        <f aca="false">IF($I24&gt;0%,IF(AND(OW$16&gt;=$F24,OW$16&lt;$F24+($G24*$I24)),"➤",""),"")</f>
        <v/>
      </c>
      <c r="OX24" s="76" t="str">
        <f aca="false">IF($I24&gt;0%,IF(AND(OX$16&gt;=$F24,OX$16&lt;$F24+($G24*$I24)),"➤",""),"")</f>
        <v/>
      </c>
      <c r="OY24" s="76" t="str">
        <f aca="false">IF($I24&gt;0%,IF(AND(OY$16&gt;=$F24,OY$16&lt;$F24+($G24*$I24)),"➤",""),"")</f>
        <v/>
      </c>
      <c r="OZ24" s="76" t="str">
        <f aca="false">IF($I24&gt;0%,IF(AND(OZ$16&gt;=$F24,OZ$16&lt;$F24+($G24*$I24)),"➤",""),"")</f>
        <v/>
      </c>
      <c r="PA24" s="76" t="str">
        <f aca="false">IF($I24&gt;0%,IF(AND(PA$16&gt;=$F24,PA$16&lt;$F24+($G24*$I24)),"➤",""),"")</f>
        <v/>
      </c>
      <c r="PB24" s="76" t="str">
        <f aca="false">IF($I24&gt;0%,IF(AND(PB$16&gt;=$F24,PB$16&lt;$F24+($G24*$I24)),"➤",""),"")</f>
        <v/>
      </c>
      <c r="PC24" s="76" t="str">
        <f aca="false">IF($I24&gt;0%,IF(AND(PC$16&gt;=$F24,PC$16&lt;$F24+($G24*$I24)),"➤",""),"")</f>
        <v/>
      </c>
      <c r="PD24" s="76" t="str">
        <f aca="false">IF($I24&gt;0%,IF(AND(PD$16&gt;=$F24,PD$16&lt;$F24+($G24*$I24)),"➤",""),"")</f>
        <v/>
      </c>
      <c r="PE24" s="76" t="str">
        <f aca="false">IF($I24&gt;0%,IF(AND(PE$16&gt;=$F24,PE$16&lt;$F24+($G24*$I24)),"➤",""),"")</f>
        <v/>
      </c>
      <c r="PF24" s="76" t="str">
        <f aca="false">IF($I24&gt;0%,IF(AND(PF$16&gt;=$F24,PF$16&lt;$F24+($G24*$I24)),"➤",""),"")</f>
        <v/>
      </c>
      <c r="PG24" s="76" t="str">
        <f aca="false">IF($I24&gt;0%,IF(AND(PG$16&gt;=$F24,PG$16&lt;$F24+($G24*$I24)),"➤",""),"")</f>
        <v/>
      </c>
      <c r="PH24" s="76" t="str">
        <f aca="false">IF($I24&gt;0%,IF(AND(PH$16&gt;=$F24,PH$16&lt;$F24+($G24*$I24)),"➤",""),"")</f>
        <v/>
      </c>
      <c r="PI24" s="76" t="str">
        <f aca="false">IF($I24&gt;0%,IF(AND(PI$16&gt;=$F24,PI$16&lt;$F24+($G24*$I24)),"➤",""),"")</f>
        <v/>
      </c>
      <c r="PJ24" s="76" t="str">
        <f aca="false">IF($I24&gt;0%,IF(AND(PJ$16&gt;=$F24,PJ$16&lt;$F24+($G24*$I24)),"➤",""),"")</f>
        <v/>
      </c>
      <c r="PK24" s="76" t="str">
        <f aca="false">IF($I24&gt;0%,IF(AND(PK$16&gt;=$F24,PK$16&lt;$F24+($G24*$I24)),"➤",""),"")</f>
        <v/>
      </c>
      <c r="PL24" s="76" t="str">
        <f aca="false">IF($I24&gt;0%,IF(AND(PL$16&gt;=$F24,PL$16&lt;$F24+($G24*$I24)),"➤",""),"")</f>
        <v/>
      </c>
      <c r="PM24" s="76" t="str">
        <f aca="false">IF($I24&gt;0%,IF(AND(PM$16&gt;=$F24,PM$16&lt;$F24+($G24*$I24)),"➤",""),"")</f>
        <v/>
      </c>
      <c r="PN24" s="76" t="str">
        <f aca="false">IF($I24&gt;0%,IF(AND(PN$16&gt;=$F24,PN$16&lt;$F24+($G24*$I24)),"➤",""),"")</f>
        <v/>
      </c>
      <c r="PO24" s="76" t="str">
        <f aca="false">IF($I24&gt;0%,IF(AND(PO$16&gt;=$F24,PO$16&lt;$F24+($G24*$I24)),"➤",""),"")</f>
        <v/>
      </c>
      <c r="PP24" s="76" t="str">
        <f aca="false">IF($I24&gt;0%,IF(AND(PP$16&gt;=$F24,PP$16&lt;$F24+($G24*$I24)),"➤",""),"")</f>
        <v/>
      </c>
      <c r="PQ24" s="76" t="str">
        <f aca="false">IF($I24&gt;0%,IF(AND(PQ$16&gt;=$F24,PQ$16&lt;$F24+($G24*$I24)),"➤",""),"")</f>
        <v/>
      </c>
      <c r="PR24" s="76" t="str">
        <f aca="false">IF($I24&gt;0%,IF(AND(PR$16&gt;=$F24,PR$16&lt;$F24+($G24*$I24)),"➤",""),"")</f>
        <v/>
      </c>
      <c r="PS24" s="76" t="str">
        <f aca="false">IF($I24&gt;0%,IF(AND(PS$16&gt;=$F24,PS$16&lt;$F24+($G24*$I24)),"➤",""),"")</f>
        <v/>
      </c>
      <c r="PT24" s="76" t="str">
        <f aca="false">IF($I24&gt;0%,IF(AND(PT$16&gt;=$F24,PT$16&lt;$F24+($G24*$I24)),"➤",""),"")</f>
        <v/>
      </c>
      <c r="PU24" s="76" t="str">
        <f aca="false">IF($I24&gt;0%,IF(AND(PU$16&gt;=$F24,PU$16&lt;$F24+($G24*$I24)),"➤",""),"")</f>
        <v/>
      </c>
      <c r="PV24" s="76" t="str">
        <f aca="false">IF($I24&gt;0%,IF(AND(PV$16&gt;=$F24,PV$16&lt;$F24+($G24*$I24)),"➤",""),"")</f>
        <v/>
      </c>
      <c r="PW24" s="76" t="str">
        <f aca="false">IF($I24&gt;0%,IF(AND(PW$16&gt;=$F24,PW$16&lt;$F24+($G24*$I24)),"➤",""),"")</f>
        <v/>
      </c>
      <c r="PX24" s="76" t="str">
        <f aca="false">IF($I24&gt;0%,IF(AND(PX$16&gt;=$F24,PX$16&lt;$F24+($G24*$I24)),"➤",""),"")</f>
        <v/>
      </c>
      <c r="PY24" s="76" t="str">
        <f aca="false">IF($I24&gt;0%,IF(AND(PY$16&gt;=$F24,PY$16&lt;$F24+($G24*$I24)),"➤",""),"")</f>
        <v/>
      </c>
      <c r="PZ24" s="76" t="str">
        <f aca="false">IF($I24&gt;0%,IF(AND(PZ$16&gt;=$F24,PZ$16&lt;$F24+($G24*$I24)),"➤",""),"")</f>
        <v/>
      </c>
      <c r="QA24" s="76" t="str">
        <f aca="false">IF($I24&gt;0%,IF(AND(QA$16&gt;=$F24,QA$16&lt;$F24+($G24*$I24)),"➤",""),"")</f>
        <v/>
      </c>
      <c r="QB24" s="76" t="str">
        <f aca="false">IF($I24&gt;0%,IF(AND(QB$16&gt;=$F24,QB$16&lt;$F24+($G24*$I24)),"➤",""),"")</f>
        <v/>
      </c>
      <c r="QC24" s="76" t="str">
        <f aca="false">IF($I24&gt;0%,IF(AND(QC$16&gt;=$F24,QC$16&lt;$F24+($G24*$I24)),"➤",""),"")</f>
        <v/>
      </c>
      <c r="QD24" s="76" t="str">
        <f aca="false">IF($I24&gt;0%,IF(AND(QD$16&gt;=$F24,QD$16&lt;$F24+($G24*$I24)),"➤",""),"")</f>
        <v/>
      </c>
      <c r="QE24" s="76" t="str">
        <f aca="false">IF($I24&gt;0%,IF(AND(QE$16&gt;=$F24,QE$16&lt;$F24+($G24*$I24)),"➤",""),"")</f>
        <v/>
      </c>
      <c r="QF24" s="76" t="str">
        <f aca="false">IF($I24&gt;0%,IF(AND(QF$16&gt;=$F24,QF$16&lt;$F24+($G24*$I24)),"➤",""),"")</f>
        <v/>
      </c>
      <c r="QG24" s="76" t="str">
        <f aca="false">IF($I24&gt;0%,IF(AND(QG$16&gt;=$F24,QG$16&lt;$F24+($G24*$I24)),"➤",""),"")</f>
        <v/>
      </c>
      <c r="QH24" s="76" t="str">
        <f aca="false">IF($I24&gt;0%,IF(AND(QH$16&gt;=$F24,QH$16&lt;$F24+($G24*$I24)),"➤",""),"")</f>
        <v/>
      </c>
      <c r="QI24" s="76" t="str">
        <f aca="false">IF($I24&gt;0%,IF(AND(QI$16&gt;=$F24,QI$16&lt;$F24+($G24*$I24)),"➤",""),"")</f>
        <v/>
      </c>
      <c r="QJ24" s="76" t="str">
        <f aca="false">IF($I24&gt;0%,IF(AND(QJ$16&gt;=$F24,QJ$16&lt;$F24+($G24*$I24)),"➤",""),"")</f>
        <v/>
      </c>
      <c r="QK24" s="76" t="str">
        <f aca="false">IF($I24&gt;0%,IF(AND(QK$16&gt;=$F24,QK$16&lt;$F24+($G24*$I24)),"➤",""),"")</f>
        <v/>
      </c>
      <c r="QL24" s="76" t="str">
        <f aca="false">IF($I24&gt;0%,IF(AND(QL$16&gt;=$F24,QL$16&lt;$F24+($G24*$I24)),"➤",""),"")</f>
        <v/>
      </c>
      <c r="QM24" s="76" t="str">
        <f aca="false">IF($I24&gt;0%,IF(AND(QM$16&gt;=$F24,QM$16&lt;$F24+($G24*$I24)),"➤",""),"")</f>
        <v/>
      </c>
      <c r="QN24" s="76" t="str">
        <f aca="false">IF($I24&gt;0%,IF(AND(QN$16&gt;=$F24,QN$16&lt;$F24+($G24*$I24)),"➤",""),"")</f>
        <v/>
      </c>
      <c r="QO24" s="76" t="str">
        <f aca="false">IF($I24&gt;0%,IF(AND(QO$16&gt;=$F24,QO$16&lt;$F24+($G24*$I24)),"➤",""),"")</f>
        <v/>
      </c>
      <c r="QP24" s="76" t="str">
        <f aca="false">IF($I24&gt;0%,IF(AND(QP$16&gt;=$F24,QP$16&lt;$F24+($G24*$I24)),"➤",""),"")</f>
        <v/>
      </c>
      <c r="QQ24" s="76" t="str">
        <f aca="false">IF($I24&gt;0%,IF(AND(QQ$16&gt;=$F24,QQ$16&lt;$F24+($G24*$I24)),"➤",""),"")</f>
        <v/>
      </c>
      <c r="QR24" s="76" t="str">
        <f aca="false">IF($I24&gt;0%,IF(AND(QR$16&gt;=$F24,QR$16&lt;$F24+($G24*$I24)),"➤",""),"")</f>
        <v/>
      </c>
      <c r="QS24" s="76" t="str">
        <f aca="false">IF($I24&gt;0%,IF(AND(QS$16&gt;=$F24,QS$16&lt;$F24+($G24*$I24)),"➤",""),"")</f>
        <v/>
      </c>
      <c r="QT24" s="76" t="str">
        <f aca="false">IF($I24&gt;0%,IF(AND(QT$16&gt;=$F24,QT$16&lt;$F24+($G24*$I24)),"➤",""),"")</f>
        <v/>
      </c>
      <c r="QU24" s="76" t="str">
        <f aca="false">IF($I24&gt;0%,IF(AND(QU$16&gt;=$F24,QU$16&lt;$F24+($G24*$I24)),"➤",""),"")</f>
        <v/>
      </c>
      <c r="QV24" s="76" t="str">
        <f aca="false">IF($I24&gt;0%,IF(AND(QV$16&gt;=$F24,QV$16&lt;$F24+($G24*$I24)),"➤",""),"")</f>
        <v/>
      </c>
      <c r="QW24" s="76" t="str">
        <f aca="false">IF($I24&gt;0%,IF(AND(QW$16&gt;=$F24,QW$16&lt;$F24+($G24*$I24)),"➤",""),"")</f>
        <v/>
      </c>
      <c r="QX24" s="76" t="str">
        <f aca="false">IF($I24&gt;0%,IF(AND(QX$16&gt;=$F24,QX$16&lt;$F24+($G24*$I24)),"➤",""),"")</f>
        <v/>
      </c>
      <c r="QY24" s="76" t="str">
        <f aca="false">IF($I24&gt;0%,IF(AND(QY$16&gt;=$F24,QY$16&lt;$F24+($G24*$I24)),"➤",""),"")</f>
        <v/>
      </c>
      <c r="QZ24" s="76" t="str">
        <f aca="false">IF($I24&gt;0%,IF(AND(QZ$16&gt;=$F24,QZ$16&lt;$F24+($G24*$I24)),"➤",""),"")</f>
        <v/>
      </c>
      <c r="RA24" s="76" t="str">
        <f aca="false">IF($I24&gt;0%,IF(AND(RA$16&gt;=$F24,RA$16&lt;$F24+($G24*$I24)),"➤",""),"")</f>
        <v/>
      </c>
      <c r="RB24" s="76" t="str">
        <f aca="false">IF($I24&gt;0%,IF(AND(RB$16&gt;=$F24,RB$16&lt;$F24+($G24*$I24)),"➤",""),"")</f>
        <v/>
      </c>
      <c r="RC24" s="76" t="str">
        <f aca="false">IF($I24&gt;0%,IF(AND(RC$16&gt;=$F24,RC$16&lt;$F24+($G24*$I24)),"➤",""),"")</f>
        <v/>
      </c>
      <c r="RD24" s="76" t="str">
        <f aca="false">IF($I24&gt;0%,IF(AND(RD$16&gt;=$F24,RD$16&lt;$F24+($G24*$I24)),"➤",""),"")</f>
        <v/>
      </c>
      <c r="RE24" s="76" t="str">
        <f aca="false">IF($I24&gt;0%,IF(AND(RE$16&gt;=$F24,RE$16&lt;$F24+($G24*$I24)),"➤",""),"")</f>
        <v/>
      </c>
      <c r="RF24" s="76" t="str">
        <f aca="false">IF($I24&gt;0%,IF(AND(RF$16&gt;=$F24,RF$16&lt;$F24+($G24*$I24)),"➤",""),"")</f>
        <v/>
      </c>
      <c r="RG24" s="76" t="str">
        <f aca="false">IF($I24&gt;0%,IF(AND(RG$16&gt;=$F24,RG$16&lt;$F24+($G24*$I24)),"➤",""),"")</f>
        <v/>
      </c>
      <c r="RH24" s="76" t="str">
        <f aca="false">IF($I24&gt;0%,IF(AND(RH$16&gt;=$F24,RH$16&lt;$F24+($G24*$I24)),"➤",""),"")</f>
        <v/>
      </c>
      <c r="RI24" s="76" t="str">
        <f aca="false">IF($I24&gt;0%,IF(AND(RI$16&gt;=$F24,RI$16&lt;$F24+($G24*$I24)),"➤",""),"")</f>
        <v/>
      </c>
      <c r="RJ24" s="76" t="str">
        <f aca="false">IF($I24&gt;0%,IF(AND(RJ$16&gt;=$F24,RJ$16&lt;$F24+($G24*$I24)),"➤",""),"")</f>
        <v/>
      </c>
      <c r="RK24" s="76" t="str">
        <f aca="false">IF($I24&gt;0%,IF(AND(RK$16&gt;=$F24,RK$16&lt;$F24+($G24*$I24)),"➤",""),"")</f>
        <v/>
      </c>
      <c r="RL24" s="76" t="str">
        <f aca="false">IF($I24&gt;0%,IF(AND(RL$16&gt;=$F24,RL$16&lt;$F24+($G24*$I24)),"➤",""),"")</f>
        <v/>
      </c>
      <c r="RM24" s="76" t="str">
        <f aca="false">IF($I24&gt;0%,IF(AND(RM$16&gt;=$F24,RM$16&lt;$F24+($G24*$I24)),"➤",""),"")</f>
        <v/>
      </c>
      <c r="RN24" s="76" t="str">
        <f aca="false">IF($I24&gt;0%,IF(AND(RN$16&gt;=$F24,RN$16&lt;$F24+($G24*$I24)),"➤",""),"")</f>
        <v/>
      </c>
      <c r="RO24" s="76" t="str">
        <f aca="false">IF($I24&gt;0%,IF(AND(RO$16&gt;=$F24,RO$16&lt;$F24+($G24*$I24)),"➤",""),"")</f>
        <v/>
      </c>
      <c r="RP24" s="76" t="str">
        <f aca="false">IF($I24&gt;0%,IF(AND(RP$16&gt;=$F24,RP$16&lt;$F24+($G24*$I24)),"➤",""),"")</f>
        <v/>
      </c>
      <c r="RQ24" s="76" t="str">
        <f aca="false">IF($I24&gt;0%,IF(AND(RQ$16&gt;=$F24,RQ$16&lt;$F24+($G24*$I24)),"➤",""),"")</f>
        <v/>
      </c>
      <c r="RR24" s="76" t="str">
        <f aca="false">IF($I24&gt;0%,IF(AND(RR$16&gt;=$F24,RR$16&lt;$F24+($G24*$I24)),"➤",""),"")</f>
        <v/>
      </c>
      <c r="RS24" s="76" t="str">
        <f aca="false">IF($I24&gt;0%,IF(AND(RS$16&gt;=$F24,RS$16&lt;$F24+($G24*$I24)),"➤",""),"")</f>
        <v/>
      </c>
      <c r="RT24" s="76" t="str">
        <f aca="false">IF($I24&gt;0%,IF(AND(RT$16&gt;=$F24,RT$16&lt;$F24+($G24*$I24)),"➤",""),"")</f>
        <v/>
      </c>
      <c r="RU24" s="76" t="str">
        <f aca="false">IF($I24&gt;0%,IF(AND(RU$16&gt;=$F24,RU$16&lt;$F24+($G24*$I24)),"➤",""),"")</f>
        <v/>
      </c>
      <c r="RV24" s="76" t="str">
        <f aca="false">IF($I24&gt;0%,IF(AND(RV$16&gt;=$F24,RV$16&lt;$F24+($G24*$I24)),"➤",""),"")</f>
        <v/>
      </c>
      <c r="RW24" s="76" t="str">
        <f aca="false">IF($I24&gt;0%,IF(AND(RW$16&gt;=$F24,RW$16&lt;$F24+($G24*$I24)),"➤",""),"")</f>
        <v/>
      </c>
      <c r="RX24" s="76" t="str">
        <f aca="false">IF($I24&gt;0%,IF(AND(RX$16&gt;=$F24,RX$16&lt;$F24+($G24*$I24)),"➤",""),"")</f>
        <v/>
      </c>
      <c r="RY24" s="76" t="str">
        <f aca="false">IF($I24&gt;0%,IF(AND(RY$16&gt;=$F24,RY$16&lt;$F24+($G24*$I24)),"➤",""),"")</f>
        <v/>
      </c>
      <c r="RZ24" s="76" t="str">
        <f aca="false">IF($I24&gt;0%,IF(AND(RZ$16&gt;=$F24,RZ$16&lt;$F24+($G24*$I24)),"➤",""),"")</f>
        <v/>
      </c>
      <c r="SA24" s="76" t="str">
        <f aca="false">IF($I24&gt;0%,IF(AND(SA$16&gt;=$F24,SA$16&lt;$F24+($G24*$I24)),"➤",""),"")</f>
        <v/>
      </c>
      <c r="SB24" s="76" t="str">
        <f aca="false">IF($I24&gt;0%,IF(AND(SB$16&gt;=$F24,SB$16&lt;$F24+($G24*$I24)),"➤",""),"")</f>
        <v/>
      </c>
      <c r="SC24" s="76" t="str">
        <f aca="false">IF($I24&gt;0%,IF(AND(SC$16&gt;=$F24,SC$16&lt;$F24+($G24*$I24)),"➤",""),"")</f>
        <v/>
      </c>
      <c r="SD24" s="76" t="str">
        <f aca="false">IF($I24&gt;0%,IF(AND(SD$16&gt;=$F24,SD$16&lt;$F24+($G24*$I24)),"➤",""),"")</f>
        <v/>
      </c>
      <c r="SE24" s="76" t="str">
        <f aca="false">IF($I24&gt;0%,IF(AND(SE$16&gt;=$F24,SE$16&lt;$F24+($G24*$I24)),"➤",""),"")</f>
        <v/>
      </c>
      <c r="SF24" s="76" t="str">
        <f aca="false">IF($I24&gt;0%,IF(AND(SF$16&gt;=$F24,SF$16&lt;$F24+($G24*$I24)),"➤",""),"")</f>
        <v/>
      </c>
      <c r="SG24" s="76" t="str">
        <f aca="false">IF($I24&gt;0%,IF(AND(SG$16&gt;=$F24,SG$16&lt;$F24+($G24*$I24)),"➤",""),"")</f>
        <v/>
      </c>
      <c r="SH24" s="76" t="str">
        <f aca="false">IF($I24&gt;0%,IF(AND(SH$16&gt;=$F24,SH$16&lt;$F24+($G24*$I24)),"➤",""),"")</f>
        <v/>
      </c>
      <c r="SI24" s="76" t="str">
        <f aca="false">IF($I24&gt;0%,IF(AND(SI$16&gt;=$F24,SI$16&lt;$F24+($G24*$I24)),"➤",""),"")</f>
        <v/>
      </c>
      <c r="SJ24" s="76" t="str">
        <f aca="false">IF($I24&gt;0%,IF(AND(SJ$16&gt;=$F24,SJ$16&lt;$F24+($G24*$I24)),"➤",""),"")</f>
        <v/>
      </c>
      <c r="SK24" s="76" t="str">
        <f aca="false">IF($I24&gt;0%,IF(AND(SK$16&gt;=$F24,SK$16&lt;$F24+($G24*$I24)),"➤",""),"")</f>
        <v/>
      </c>
      <c r="SL24" s="76" t="str">
        <f aca="false">IF($I24&gt;0%,IF(AND(SL$16&gt;=$F24,SL$16&lt;$F24+($G24*$I24)),"➤",""),"")</f>
        <v/>
      </c>
      <c r="SM24" s="76" t="str">
        <f aca="false">IF($I24&gt;0%,IF(AND(SM$16&gt;=$F24,SM$16&lt;$F24+($G24*$I24)),"➤",""),"")</f>
        <v/>
      </c>
      <c r="SN24" s="76" t="str">
        <f aca="false">IF($I24&gt;0%,IF(AND(SN$16&gt;=$F24,SN$16&lt;$F24+($G24*$I24)),"➤",""),"")</f>
        <v/>
      </c>
      <c r="SO24" s="76" t="str">
        <f aca="false">IF($I24&gt;0%,IF(AND(SO$16&gt;=$F24,SO$16&lt;$F24+($G24*$I24)),"➤",""),"")</f>
        <v/>
      </c>
      <c r="SP24" s="76" t="str">
        <f aca="false">IF($I24&gt;0%,IF(AND(SP$16&gt;=$F24,SP$16&lt;$F24+($G24*$I24)),"➤",""),"")</f>
        <v/>
      </c>
      <c r="SQ24" s="76" t="str">
        <f aca="false">IF($I24&gt;0%,IF(AND(SQ$16&gt;=$F24,SQ$16&lt;$F24+($G24*$I24)),"➤",""),"")</f>
        <v/>
      </c>
      <c r="SR24" s="76" t="str">
        <f aca="false">IF($I24&gt;0%,IF(AND(SR$16&gt;=$F24,SR$16&lt;$F24+($G24*$I24)),"➤",""),"")</f>
        <v/>
      </c>
      <c r="SS24" s="76" t="str">
        <f aca="false">IF($I24&gt;0%,IF(AND(SS$16&gt;=$F24,SS$16&lt;$F24+($G24*$I24)),"➤",""),"")</f>
        <v/>
      </c>
      <c r="ST24" s="76" t="str">
        <f aca="false">IF($I24&gt;0%,IF(AND(ST$16&gt;=$F24,ST$16&lt;$F24+($G24*$I24)),"➤",""),"")</f>
        <v/>
      </c>
      <c r="SU24" s="76" t="str">
        <f aca="false">IF($I24&gt;0%,IF(AND(SU$16&gt;=$F24,SU$16&lt;$F24+($G24*$I24)),"➤",""),"")</f>
        <v/>
      </c>
      <c r="SV24" s="76" t="str">
        <f aca="false">IF($I24&gt;0%,IF(AND(SV$16&gt;=$F24,SV$16&lt;$F24+($G24*$I24)),"➤",""),"")</f>
        <v/>
      </c>
      <c r="SW24" s="77" t="str">
        <f aca="false">IF($I24&gt;0%,IF(AND(SW$16&gt;=$F24,SW$16&lt;$F24+($G24*$I24)),"➤",""),"")</f>
        <v/>
      </c>
    </row>
    <row r="25" customFormat="false" ht="14.25" hidden="false" customHeight="false" outlineLevel="1" collapsed="false">
      <c r="C25" s="10"/>
      <c r="D25" s="78" t="s">
        <v>25</v>
      </c>
      <c r="E25" s="79" t="s">
        <v>23</v>
      </c>
      <c r="F25" s="80" t="n">
        <v>46140</v>
      </c>
      <c r="G25" s="81" t="n">
        <v>1</v>
      </c>
      <c r="H25" s="82" t="n">
        <f aca="false">(F25+G25)-1</f>
        <v>46140</v>
      </c>
      <c r="I25" s="83" t="n">
        <v>1</v>
      </c>
      <c r="J25" s="84" t="s">
        <v>16</v>
      </c>
      <c r="K25" s="85"/>
      <c r="L25" s="75" t="str">
        <f aca="false">IF($I25&gt;0%,IF(AND(L$16&gt;=$F25,L$16&lt;$F25+($G25*$I25)),"➤",""),"")</f>
        <v/>
      </c>
      <c r="M25" s="76" t="str">
        <f aca="false">IF($I25&gt;0%,IF(AND(M$16&gt;=$F25,M$16&lt;$F25+($G25*$I25)),"➤",""),"")</f>
        <v/>
      </c>
      <c r="N25" s="76" t="str">
        <f aca="false">IF($I25&gt;0%,IF(AND(N$16&gt;=$F25,N$16&lt;$F25+($G25*$I25)),"➤",""),"")</f>
        <v/>
      </c>
      <c r="O25" s="76" t="str">
        <f aca="false">IF($I25&gt;0%,IF(AND(O$16&gt;=$F25,O$16&lt;$F25+($G25*$I25)),"➤",""),"")</f>
        <v/>
      </c>
      <c r="P25" s="76" t="str">
        <f aca="false">IF($I25&gt;0%,IF(AND(P$16&gt;=$F25,P$16&lt;$F25+($G25*$I25)),"➤",""),"")</f>
        <v>➤</v>
      </c>
      <c r="Q25" s="76" t="str">
        <f aca="false">IF($I25&gt;0%,IF(AND(Q$16&gt;=$F25,Q$16&lt;$F25+($G25*$I25)),"➤",""),"")</f>
        <v/>
      </c>
      <c r="R25" s="76" t="str">
        <f aca="false">IF($I25&gt;0%,IF(AND(R$16&gt;=$F25,R$16&lt;$F25+($G25*$I25)),"➤",""),"")</f>
        <v/>
      </c>
      <c r="S25" s="76" t="str">
        <f aca="false">IF($I25&gt;0%,IF(AND(S$16&gt;=$F25,S$16&lt;$F25+($G25*$I25)),"➤",""),"")</f>
        <v/>
      </c>
      <c r="T25" s="76" t="str">
        <f aca="false">IF($I25&gt;0%,IF(AND(T$16&gt;=$F25,T$16&lt;$F25+($G25*$I25)),"➤",""),"")</f>
        <v/>
      </c>
      <c r="U25" s="76" t="str">
        <f aca="false">IF($I25&gt;0%,IF(AND(U$16&gt;=$F25,U$16&lt;$F25+($G25*$I25)),"➤",""),"")</f>
        <v/>
      </c>
      <c r="V25" s="76" t="str">
        <f aca="false">IF($I25&gt;0%,IF(AND(V$16&gt;=$F25,V$16&lt;$F25+($G25*$I25)),"➤",""),"")</f>
        <v/>
      </c>
      <c r="W25" s="76" t="str">
        <f aca="false">IF($I25&gt;0%,IF(AND(W$16&gt;=$F25,W$16&lt;$F25+($G25*$I25)),"➤",""),"")</f>
        <v/>
      </c>
      <c r="X25" s="76" t="str">
        <f aca="false">IF($I25&gt;0%,IF(AND(X$16&gt;=$F25,X$16&lt;$F25+($G25*$I25)),"➤",""),"")</f>
        <v/>
      </c>
      <c r="Y25" s="76" t="str">
        <f aca="false">IF($I25&gt;0%,IF(AND(Y$16&gt;=$F25,Y$16&lt;$F25+($G25*$I25)),"➤",""),"")</f>
        <v/>
      </c>
      <c r="Z25" s="76" t="str">
        <f aca="false">IF($I25&gt;0%,IF(AND(Z$16&gt;=$F25,Z$16&lt;$F25+($G25*$I25)),"➤",""),"")</f>
        <v/>
      </c>
      <c r="AA25" s="76" t="str">
        <f aca="false">IF($I25&gt;0%,IF(AND(AA$16&gt;=$F25,AA$16&lt;$F25+($G25*$I25)),"➤",""),"")</f>
        <v/>
      </c>
      <c r="AB25" s="76" t="str">
        <f aca="false">IF($I25&gt;0%,IF(AND(AB$16&gt;=$F25,AB$16&lt;$F25+($G25*$I25)),"➤",""),"")</f>
        <v/>
      </c>
      <c r="AC25" s="76" t="str">
        <f aca="false">IF($I25&gt;0%,IF(AND(AC$16&gt;=$F25,AC$16&lt;$F25+($G25*$I25)),"➤",""),"")</f>
        <v/>
      </c>
      <c r="AD25" s="76" t="str">
        <f aca="false">IF($I25&gt;0%,IF(AND(AD$16&gt;=$F25,AD$16&lt;$F25+($G25*$I25)),"➤",""),"")</f>
        <v/>
      </c>
      <c r="AE25" s="76" t="str">
        <f aca="false">IF($I25&gt;0%,IF(AND(AE$16&gt;=$F25,AE$16&lt;$F25+($G25*$I25)),"➤",""),"")</f>
        <v/>
      </c>
      <c r="AF25" s="76" t="str">
        <f aca="false">IF($I25&gt;0%,IF(AND(AF$16&gt;=$F25,AF$16&lt;$F25+($G25*$I25)),"➤",""),"")</f>
        <v/>
      </c>
      <c r="AG25" s="76" t="str">
        <f aca="false">IF($I25&gt;0%,IF(AND(AG$16&gt;=$F25,AG$16&lt;$F25+($G25*$I25)),"➤",""),"")</f>
        <v/>
      </c>
      <c r="AH25" s="76" t="str">
        <f aca="false">IF($I25&gt;0%,IF(AND(AH$16&gt;=$F25,AH$16&lt;$F25+($G25*$I25)),"➤",""),"")</f>
        <v/>
      </c>
      <c r="AI25" s="76" t="str">
        <f aca="false">IF($I25&gt;0%,IF(AND(AI$16&gt;=$F25,AI$16&lt;$F25+($G25*$I25)),"➤",""),"")</f>
        <v/>
      </c>
      <c r="AJ25" s="76" t="str">
        <f aca="false">IF($I25&gt;0%,IF(AND(AJ$16&gt;=$F25,AJ$16&lt;$F25+($G25*$I25)),"➤",""),"")</f>
        <v/>
      </c>
      <c r="AK25" s="76" t="str">
        <f aca="false">IF($I25&gt;0%,IF(AND(AK$16&gt;=$F25,AK$16&lt;$F25+($G25*$I25)),"➤",""),"")</f>
        <v/>
      </c>
      <c r="AL25" s="76" t="str">
        <f aca="false">IF($I25&gt;0%,IF(AND(AL$16&gt;=$F25,AL$16&lt;$F25+($G25*$I25)),"➤",""),"")</f>
        <v/>
      </c>
      <c r="AM25" s="76" t="str">
        <f aca="false">IF($I25&gt;0%,IF(AND(AM$16&gt;=$F25,AM$16&lt;$F25+($G25*$I25)),"➤",""),"")</f>
        <v/>
      </c>
      <c r="AN25" s="76" t="str">
        <f aca="false">IF($I25&gt;0%,IF(AND(AN$16&gt;=$F25,AN$16&lt;$F25+($G25*$I25)),"➤",""),"")</f>
        <v/>
      </c>
      <c r="AO25" s="76" t="str">
        <f aca="false">IF($I25&gt;0%,IF(AND(AO$16&gt;=$F25,AO$16&lt;$F25+($G25*$I25)),"➤",""),"")</f>
        <v/>
      </c>
      <c r="AP25" s="76" t="str">
        <f aca="false">IF($I25&gt;0%,IF(AND(AP$16&gt;=$F25,AP$16&lt;$F25+($G25*$I25)),"➤",""),"")</f>
        <v/>
      </c>
      <c r="AQ25" s="76" t="str">
        <f aca="false">IF($I25&gt;0%,IF(AND(AQ$16&gt;=$F25,AQ$16&lt;$F25+($G25*$I25)),"➤",""),"")</f>
        <v/>
      </c>
      <c r="AR25" s="76" t="str">
        <f aca="false">IF($I25&gt;0%,IF(AND(AR$16&gt;=$F25,AR$16&lt;$F25+($G25*$I25)),"➤",""),"")</f>
        <v/>
      </c>
      <c r="AS25" s="76" t="str">
        <f aca="false">IF($I25&gt;0%,IF(AND(AS$16&gt;=$F25,AS$16&lt;$F25+($G25*$I25)),"➤",""),"")</f>
        <v/>
      </c>
      <c r="AT25" s="76" t="str">
        <f aca="false">IF($I25&gt;0%,IF(AND(AT$16&gt;=$F25,AT$16&lt;$F25+($G25*$I25)),"➤",""),"")</f>
        <v/>
      </c>
      <c r="AU25" s="76" t="str">
        <f aca="false">IF($I25&gt;0%,IF(AND(AU$16&gt;=$F25,AU$16&lt;$F25+($G25*$I25)),"➤",""),"")</f>
        <v/>
      </c>
      <c r="AV25" s="76" t="str">
        <f aca="false">IF($I25&gt;0%,IF(AND(AV$16&gt;=$F25,AV$16&lt;$F25+($G25*$I25)),"➤",""),"")</f>
        <v/>
      </c>
      <c r="AW25" s="76" t="str">
        <f aca="false">IF($I25&gt;0%,IF(AND(AW$16&gt;=$F25,AW$16&lt;$F25+($G25*$I25)),"➤",""),"")</f>
        <v/>
      </c>
      <c r="AX25" s="76" t="str">
        <f aca="false">IF($I25&gt;0%,IF(AND(AX$16&gt;=$F25,AX$16&lt;$F25+($G25*$I25)),"➤",""),"")</f>
        <v/>
      </c>
      <c r="AY25" s="76" t="str">
        <f aca="false">IF($I25&gt;0%,IF(AND(AY$16&gt;=$F25,AY$16&lt;$F25+($G25*$I25)),"➤",""),"")</f>
        <v/>
      </c>
      <c r="AZ25" s="76" t="str">
        <f aca="false">IF($I25&gt;0%,IF(AND(AZ$16&gt;=$F25,AZ$16&lt;$F25+($G25*$I25)),"➤",""),"")</f>
        <v/>
      </c>
      <c r="BA25" s="76" t="str">
        <f aca="false">IF($I25&gt;0%,IF(AND(BA$16&gt;=$F25,BA$16&lt;$F25+($G25*$I25)),"➤",""),"")</f>
        <v/>
      </c>
      <c r="BB25" s="76" t="str">
        <f aca="false">IF($I25&gt;0%,IF(AND(BB$16&gt;=$F25,BB$16&lt;$F25+($G25*$I25)),"➤",""),"")</f>
        <v/>
      </c>
      <c r="BC25" s="76" t="str">
        <f aca="false">IF($I25&gt;0%,IF(AND(BC$16&gt;=$F25,BC$16&lt;$F25+($G25*$I25)),"➤",""),"")</f>
        <v/>
      </c>
      <c r="BD25" s="76" t="str">
        <f aca="false">IF($I25&gt;0%,IF(AND(BD$16&gt;=$F25,BD$16&lt;$F25+($G25*$I25)),"➤",""),"")</f>
        <v/>
      </c>
      <c r="BE25" s="76" t="str">
        <f aca="false">IF($I25&gt;0%,IF(AND(BE$16&gt;=$F25,BE$16&lt;$F25+($G25*$I25)),"➤",""),"")</f>
        <v/>
      </c>
      <c r="BF25" s="76" t="str">
        <f aca="false">IF($I25&gt;0%,IF(AND(BF$16&gt;=$F25,BF$16&lt;$F25+($G25*$I25)),"➤",""),"")</f>
        <v/>
      </c>
      <c r="BG25" s="76" t="str">
        <f aca="false">IF($I25&gt;0%,IF(AND(BG$16&gt;=$F25,BG$16&lt;$F25+($G25*$I25)),"➤",""),"")</f>
        <v/>
      </c>
      <c r="BH25" s="76" t="str">
        <f aca="false">IF($I25&gt;0%,IF(AND(BH$16&gt;=$F25,BH$16&lt;$F25+($G25*$I25)),"➤",""),"")</f>
        <v/>
      </c>
      <c r="BI25" s="76" t="str">
        <f aca="false">IF($I25&gt;0%,IF(AND(BI$16&gt;=$F25,BI$16&lt;$F25+($G25*$I25)),"➤",""),"")</f>
        <v/>
      </c>
      <c r="BJ25" s="76" t="str">
        <f aca="false">IF($I25&gt;0%,IF(AND(BJ$16&gt;=$F25,BJ$16&lt;$F25+($G25*$I25)),"➤",""),"")</f>
        <v/>
      </c>
      <c r="BK25" s="76" t="str">
        <f aca="false">IF($I25&gt;0%,IF(AND(BK$16&gt;=$F25,BK$16&lt;$F25+($G25*$I25)),"➤",""),"")</f>
        <v/>
      </c>
      <c r="BL25" s="76" t="str">
        <f aca="false">IF($I25&gt;0%,IF(AND(BL$16&gt;=$F25,BL$16&lt;$F25+($G25*$I25)),"➤",""),"")</f>
        <v/>
      </c>
      <c r="BM25" s="76" t="str">
        <f aca="false">IF($I25&gt;0%,IF(AND(BM$16&gt;=$F25,BM$16&lt;$F25+($G25*$I25)),"➤",""),"")</f>
        <v/>
      </c>
      <c r="BN25" s="76" t="str">
        <f aca="false">IF($I25&gt;0%,IF(AND(BN$16&gt;=$F25,BN$16&lt;$F25+($G25*$I25)),"➤",""),"")</f>
        <v/>
      </c>
      <c r="BO25" s="76" t="str">
        <f aca="false">IF($I25&gt;0%,IF(AND(BO$16&gt;=$F25,BO$16&lt;$F25+($G25*$I25)),"➤",""),"")</f>
        <v/>
      </c>
      <c r="BP25" s="76" t="str">
        <f aca="false">IF($I25&gt;0%,IF(AND(BP$16&gt;=$F25,BP$16&lt;$F25+($G25*$I25)),"➤",""),"")</f>
        <v/>
      </c>
      <c r="BQ25" s="76" t="str">
        <f aca="false">IF($I25&gt;0%,IF(AND(BQ$16&gt;=$F25,BQ$16&lt;$F25+($G25*$I25)),"➤",""),"")</f>
        <v/>
      </c>
      <c r="BR25" s="76" t="str">
        <f aca="false">IF($I25&gt;0%,IF(AND(BR$16&gt;=$F25,BR$16&lt;$F25+($G25*$I25)),"➤",""),"")</f>
        <v/>
      </c>
      <c r="BS25" s="76" t="str">
        <f aca="false">IF($I25&gt;0%,IF(AND(BS$16&gt;=$F25,BS$16&lt;$F25+($G25*$I25)),"➤",""),"")</f>
        <v/>
      </c>
      <c r="BT25" s="76" t="str">
        <f aca="false">IF($I25&gt;0%,IF(AND(BT$16&gt;=$F25,BT$16&lt;$F25+($G25*$I25)),"➤",""),"")</f>
        <v/>
      </c>
      <c r="BU25" s="76" t="str">
        <f aca="false">IF($I25&gt;0%,IF(AND(BU$16&gt;=$F25,BU$16&lt;$F25+($G25*$I25)),"➤",""),"")</f>
        <v/>
      </c>
      <c r="BV25" s="76" t="str">
        <f aca="false">IF($I25&gt;0%,IF(AND(BV$16&gt;=$F25,BV$16&lt;$F25+($G25*$I25)),"➤",""),"")</f>
        <v/>
      </c>
      <c r="BW25" s="76" t="str">
        <f aca="false">IF($I25&gt;0%,IF(AND(BW$16&gt;=$F25,BW$16&lt;$F25+($G25*$I25)),"➤",""),"")</f>
        <v/>
      </c>
      <c r="BX25" s="76" t="str">
        <f aca="false">IF($I25&gt;0%,IF(AND(BX$16&gt;=$F25,BX$16&lt;$F25+($G25*$I25)),"➤",""),"")</f>
        <v/>
      </c>
      <c r="BY25" s="76" t="str">
        <f aca="false">IF($I25&gt;0%,IF(AND(BY$16&gt;=$F25,BY$16&lt;$F25+($G25*$I25)),"➤",""),"")</f>
        <v/>
      </c>
      <c r="BZ25" s="76" t="str">
        <f aca="false">IF($I25&gt;0%,IF(AND(BZ$16&gt;=$F25,BZ$16&lt;$F25+($G25*$I25)),"➤",""),"")</f>
        <v/>
      </c>
      <c r="CA25" s="76" t="str">
        <f aca="false">IF($I25&gt;0%,IF(AND(CA$16&gt;=$F25,CA$16&lt;$F25+($G25*$I25)),"➤",""),"")</f>
        <v/>
      </c>
      <c r="CB25" s="76" t="str">
        <f aca="false">IF($I25&gt;0%,IF(AND(CB$16&gt;=$F25,CB$16&lt;$F25+($G25*$I25)),"➤",""),"")</f>
        <v/>
      </c>
      <c r="CC25" s="76" t="str">
        <f aca="false">IF($I25&gt;0%,IF(AND(CC$16&gt;=$F25,CC$16&lt;$F25+($G25*$I25)),"➤",""),"")</f>
        <v/>
      </c>
      <c r="CD25" s="76" t="str">
        <f aca="false">IF($I25&gt;0%,IF(AND(CD$16&gt;=$F25,CD$16&lt;$F25+($G25*$I25)),"➤",""),"")</f>
        <v/>
      </c>
      <c r="CE25" s="76" t="str">
        <f aca="false">IF($I25&gt;0%,IF(AND(CE$16&gt;=$F25,CE$16&lt;$F25+($G25*$I25)),"➤",""),"")</f>
        <v/>
      </c>
      <c r="CF25" s="76" t="str">
        <f aca="false">IF($I25&gt;0%,IF(AND(CF$16&gt;=$F25,CF$16&lt;$F25+($G25*$I25)),"➤",""),"")</f>
        <v/>
      </c>
      <c r="CG25" s="76" t="str">
        <f aca="false">IF($I25&gt;0%,IF(AND(CG$16&gt;=$F25,CG$16&lt;$F25+($G25*$I25)),"➤",""),"")</f>
        <v/>
      </c>
      <c r="CH25" s="76" t="str">
        <f aca="false">IF($I25&gt;0%,IF(AND(CH$16&gt;=$F25,CH$16&lt;$F25+($G25*$I25)),"➤",""),"")</f>
        <v/>
      </c>
      <c r="CI25" s="76" t="str">
        <f aca="false">IF($I25&gt;0%,IF(AND(CI$16&gt;=$F25,CI$16&lt;$F25+($G25*$I25)),"➤",""),"")</f>
        <v/>
      </c>
      <c r="CJ25" s="76" t="str">
        <f aca="false">IF($I25&gt;0%,IF(AND(CJ$16&gt;=$F25,CJ$16&lt;$F25+($G25*$I25)),"➤",""),"")</f>
        <v/>
      </c>
      <c r="CK25" s="76" t="str">
        <f aca="false">IF($I25&gt;0%,IF(AND(CK$16&gt;=$F25,CK$16&lt;$F25+($G25*$I25)),"➤",""),"")</f>
        <v/>
      </c>
      <c r="CL25" s="76" t="str">
        <f aca="false">IF($I25&gt;0%,IF(AND(CL$16&gt;=$F25,CL$16&lt;$F25+($G25*$I25)),"➤",""),"")</f>
        <v/>
      </c>
      <c r="CM25" s="76" t="str">
        <f aca="false">IF($I25&gt;0%,IF(AND(CM$16&gt;=$F25,CM$16&lt;$F25+($G25*$I25)),"➤",""),"")</f>
        <v/>
      </c>
      <c r="CN25" s="76" t="str">
        <f aca="false">IF($I25&gt;0%,IF(AND(CN$16&gt;=$F25,CN$16&lt;$F25+($G25*$I25)),"➤",""),"")</f>
        <v/>
      </c>
      <c r="CO25" s="76" t="str">
        <f aca="false">IF($I25&gt;0%,IF(AND(CO$16&gt;=$F25,CO$16&lt;$F25+($G25*$I25)),"➤",""),"")</f>
        <v/>
      </c>
      <c r="CP25" s="76" t="str">
        <f aca="false">IF($I25&gt;0%,IF(AND(CP$16&gt;=$F25,CP$16&lt;$F25+($G25*$I25)),"➤",""),"")</f>
        <v/>
      </c>
      <c r="CQ25" s="76" t="str">
        <f aca="false">IF($I25&gt;0%,IF(AND(CQ$16&gt;=$F25,CQ$16&lt;$F25+($G25*$I25)),"➤",""),"")</f>
        <v/>
      </c>
      <c r="CR25" s="76" t="str">
        <f aca="false">IF($I25&gt;0%,IF(AND(CR$16&gt;=$F25,CR$16&lt;$F25+($G25*$I25)),"➤",""),"")</f>
        <v/>
      </c>
      <c r="CS25" s="76" t="str">
        <f aca="false">IF($I25&gt;0%,IF(AND(CS$16&gt;=$F25,CS$16&lt;$F25+($G25*$I25)),"➤",""),"")</f>
        <v/>
      </c>
      <c r="CT25" s="76" t="str">
        <f aca="false">IF($I25&gt;0%,IF(AND(CT$16&gt;=$F25,CT$16&lt;$F25+($G25*$I25)),"➤",""),"")</f>
        <v/>
      </c>
      <c r="CU25" s="76" t="str">
        <f aca="false">IF($I25&gt;0%,IF(AND(CU$16&gt;=$F25,CU$16&lt;$F25+($G25*$I25)),"➤",""),"")</f>
        <v/>
      </c>
      <c r="CV25" s="76" t="str">
        <f aca="false">IF($I25&gt;0%,IF(AND(CV$16&gt;=$F25,CV$16&lt;$F25+($G25*$I25)),"➤",""),"")</f>
        <v/>
      </c>
      <c r="CW25" s="76" t="str">
        <f aca="false">IF($I25&gt;0%,IF(AND(CW$16&gt;=$F25,CW$16&lt;$F25+($G25*$I25)),"➤",""),"")</f>
        <v/>
      </c>
      <c r="CX25" s="76" t="str">
        <f aca="false">IF($I25&gt;0%,IF(AND(CX$16&gt;=$F25,CX$16&lt;$F25+($G25*$I25)),"➤",""),"")</f>
        <v/>
      </c>
      <c r="CY25" s="76" t="str">
        <f aca="false">IF($I25&gt;0%,IF(AND(CY$16&gt;=$F25,CY$16&lt;$F25+($G25*$I25)),"➤",""),"")</f>
        <v/>
      </c>
      <c r="CZ25" s="76" t="str">
        <f aca="false">IF($I25&gt;0%,IF(AND(CZ$16&gt;=$F25,CZ$16&lt;$F25+($G25*$I25)),"➤",""),"")</f>
        <v/>
      </c>
      <c r="DA25" s="76" t="str">
        <f aca="false">IF($I25&gt;0%,IF(AND(DA$16&gt;=$F25,DA$16&lt;$F25+($G25*$I25)),"➤",""),"")</f>
        <v/>
      </c>
      <c r="DB25" s="76" t="str">
        <f aca="false">IF($I25&gt;0%,IF(AND(DB$16&gt;=$F25,DB$16&lt;$F25+($G25*$I25)),"➤",""),"")</f>
        <v/>
      </c>
      <c r="DC25" s="76" t="str">
        <f aca="false">IF($I25&gt;0%,IF(AND(DC$16&gt;=$F25,DC$16&lt;$F25+($G25*$I25)),"➤",""),"")</f>
        <v/>
      </c>
      <c r="DD25" s="76" t="str">
        <f aca="false">IF($I25&gt;0%,IF(AND(DD$16&gt;=$F25,DD$16&lt;$F25+($G25*$I25)),"➤",""),"")</f>
        <v/>
      </c>
      <c r="DE25" s="76" t="str">
        <f aca="false">IF($I25&gt;0%,IF(AND(DE$16&gt;=$F25,DE$16&lt;$F25+($G25*$I25)),"➤",""),"")</f>
        <v/>
      </c>
      <c r="DF25" s="76" t="str">
        <f aca="false">IF($I25&gt;0%,IF(AND(DF$16&gt;=$F25,DF$16&lt;$F25+($G25*$I25)),"➤",""),"")</f>
        <v/>
      </c>
      <c r="DG25" s="76" t="str">
        <f aca="false">IF($I25&gt;0%,IF(AND(DG$16&gt;=$F25,DG$16&lt;$F25+($G25*$I25)),"➤",""),"")</f>
        <v/>
      </c>
      <c r="DH25" s="76" t="str">
        <f aca="false">IF($I25&gt;0%,IF(AND(DH$16&gt;=$F25,DH$16&lt;$F25+($G25*$I25)),"➤",""),"")</f>
        <v/>
      </c>
      <c r="DI25" s="76" t="str">
        <f aca="false">IF($I25&gt;0%,IF(AND(DI$16&gt;=$F25,DI$16&lt;$F25+($G25*$I25)),"➤",""),"")</f>
        <v/>
      </c>
      <c r="DJ25" s="76" t="str">
        <f aca="false">IF($I25&gt;0%,IF(AND(DJ$16&gt;=$F25,DJ$16&lt;$F25+($G25*$I25)),"➤",""),"")</f>
        <v/>
      </c>
      <c r="DK25" s="76" t="str">
        <f aca="false">IF($I25&gt;0%,IF(AND(DK$16&gt;=$F25,DK$16&lt;$F25+($G25*$I25)),"➤",""),"")</f>
        <v/>
      </c>
      <c r="DL25" s="76" t="str">
        <f aca="false">IF($I25&gt;0%,IF(AND(DL$16&gt;=$F25,DL$16&lt;$F25+($G25*$I25)),"➤",""),"")</f>
        <v/>
      </c>
      <c r="DM25" s="76" t="str">
        <f aca="false">IF($I25&gt;0%,IF(AND(DM$16&gt;=$F25,DM$16&lt;$F25+($G25*$I25)),"➤",""),"")</f>
        <v/>
      </c>
      <c r="DN25" s="76" t="str">
        <f aca="false">IF($I25&gt;0%,IF(AND(DN$16&gt;=$F25,DN$16&lt;$F25+($G25*$I25)),"➤",""),"")</f>
        <v/>
      </c>
      <c r="DO25" s="76" t="str">
        <f aca="false">IF($I25&gt;0%,IF(AND(DO$16&gt;=$F25,DO$16&lt;$F25+($G25*$I25)),"➤",""),"")</f>
        <v/>
      </c>
      <c r="DP25" s="76" t="str">
        <f aca="false">IF($I25&gt;0%,IF(AND(DP$16&gt;=$F25,DP$16&lt;$F25+($G25*$I25)),"➤",""),"")</f>
        <v/>
      </c>
      <c r="DQ25" s="76" t="str">
        <f aca="false">IF($I25&gt;0%,IF(AND(DQ$16&gt;=$F25,DQ$16&lt;$F25+($G25*$I25)),"➤",""),"")</f>
        <v/>
      </c>
      <c r="DR25" s="76" t="str">
        <f aca="false">IF($I25&gt;0%,IF(AND(DR$16&gt;=$F25,DR$16&lt;$F25+($G25*$I25)),"➤",""),"")</f>
        <v/>
      </c>
      <c r="DS25" s="76" t="str">
        <f aca="false">IF($I25&gt;0%,IF(AND(DS$16&gt;=$F25,DS$16&lt;$F25+($G25*$I25)),"➤",""),"")</f>
        <v/>
      </c>
      <c r="DT25" s="76" t="str">
        <f aca="false">IF($I25&gt;0%,IF(AND(DT$16&gt;=$F25,DT$16&lt;$F25+($G25*$I25)),"➤",""),"")</f>
        <v/>
      </c>
      <c r="DU25" s="76" t="str">
        <f aca="false">IF($I25&gt;0%,IF(AND(DU$16&gt;=$F25,DU$16&lt;$F25+($G25*$I25)),"➤",""),"")</f>
        <v/>
      </c>
      <c r="DV25" s="76" t="str">
        <f aca="false">IF($I25&gt;0%,IF(AND(DV$16&gt;=$F25,DV$16&lt;$F25+($G25*$I25)),"➤",""),"")</f>
        <v/>
      </c>
      <c r="DW25" s="76" t="str">
        <f aca="false">IF($I25&gt;0%,IF(AND(DW$16&gt;=$F25,DW$16&lt;$F25+($G25*$I25)),"➤",""),"")</f>
        <v/>
      </c>
      <c r="DX25" s="76" t="str">
        <f aca="false">IF($I25&gt;0%,IF(AND(DX$16&gt;=$F25,DX$16&lt;$F25+($G25*$I25)),"➤",""),"")</f>
        <v/>
      </c>
      <c r="DY25" s="76" t="str">
        <f aca="false">IF($I25&gt;0%,IF(AND(DY$16&gt;=$F25,DY$16&lt;$F25+($G25*$I25)),"➤",""),"")</f>
        <v/>
      </c>
      <c r="DZ25" s="76" t="str">
        <f aca="false">IF($I25&gt;0%,IF(AND(DZ$16&gt;=$F25,DZ$16&lt;$F25+($G25*$I25)),"➤",""),"")</f>
        <v/>
      </c>
      <c r="EA25" s="76" t="str">
        <f aca="false">IF($I25&gt;0%,IF(AND(EA$16&gt;=$F25,EA$16&lt;$F25+($G25*$I25)),"➤",""),"")</f>
        <v/>
      </c>
      <c r="EB25" s="76" t="str">
        <f aca="false">IF($I25&gt;0%,IF(AND(EB$16&gt;=$F25,EB$16&lt;$F25+($G25*$I25)),"➤",""),"")</f>
        <v/>
      </c>
      <c r="EC25" s="76" t="str">
        <f aca="false">IF($I25&gt;0%,IF(AND(EC$16&gt;=$F25,EC$16&lt;$F25+($G25*$I25)),"➤",""),"")</f>
        <v/>
      </c>
      <c r="ED25" s="76" t="str">
        <f aca="false">IF($I25&gt;0%,IF(AND(ED$16&gt;=$F25,ED$16&lt;$F25+($G25*$I25)),"➤",""),"")</f>
        <v/>
      </c>
      <c r="EE25" s="76" t="str">
        <f aca="false">IF($I25&gt;0%,IF(AND(EE$16&gt;=$F25,EE$16&lt;$F25+($G25*$I25)),"➤",""),"")</f>
        <v/>
      </c>
      <c r="EF25" s="76" t="str">
        <f aca="false">IF($I25&gt;0%,IF(AND(EF$16&gt;=$F25,EF$16&lt;$F25+($G25*$I25)),"➤",""),"")</f>
        <v/>
      </c>
      <c r="EG25" s="76" t="str">
        <f aca="false">IF($I25&gt;0%,IF(AND(EG$16&gt;=$F25,EG$16&lt;$F25+($G25*$I25)),"➤",""),"")</f>
        <v/>
      </c>
      <c r="EH25" s="76" t="str">
        <f aca="false">IF($I25&gt;0%,IF(AND(EH$16&gt;=$F25,EH$16&lt;$F25+($G25*$I25)),"➤",""),"")</f>
        <v/>
      </c>
      <c r="EI25" s="76" t="str">
        <f aca="false">IF($I25&gt;0%,IF(AND(EI$16&gt;=$F25,EI$16&lt;$F25+($G25*$I25)),"➤",""),"")</f>
        <v/>
      </c>
      <c r="EJ25" s="76" t="str">
        <f aca="false">IF($I25&gt;0%,IF(AND(EJ$16&gt;=$F25,EJ$16&lt;$F25+($G25*$I25)),"➤",""),"")</f>
        <v/>
      </c>
      <c r="EK25" s="76" t="str">
        <f aca="false">IF($I25&gt;0%,IF(AND(EK$16&gt;=$F25,EK$16&lt;$F25+($G25*$I25)),"➤",""),"")</f>
        <v/>
      </c>
      <c r="EL25" s="76" t="str">
        <f aca="false">IF($I25&gt;0%,IF(AND(EL$16&gt;=$F25,EL$16&lt;$F25+($G25*$I25)),"➤",""),"")</f>
        <v/>
      </c>
      <c r="EM25" s="76" t="str">
        <f aca="false">IF($I25&gt;0%,IF(AND(EM$16&gt;=$F25,EM$16&lt;$F25+($G25*$I25)),"➤",""),"")</f>
        <v/>
      </c>
      <c r="EN25" s="76" t="str">
        <f aca="false">IF($I25&gt;0%,IF(AND(EN$16&gt;=$F25,EN$16&lt;$F25+($G25*$I25)),"➤",""),"")</f>
        <v/>
      </c>
      <c r="EO25" s="76" t="str">
        <f aca="false">IF($I25&gt;0%,IF(AND(EO$16&gt;=$F25,EO$16&lt;$F25+($G25*$I25)),"➤",""),"")</f>
        <v/>
      </c>
      <c r="EP25" s="76" t="str">
        <f aca="false">IF($I25&gt;0%,IF(AND(EP$16&gt;=$F25,EP$16&lt;$F25+($G25*$I25)),"➤",""),"")</f>
        <v/>
      </c>
      <c r="EQ25" s="76" t="str">
        <f aca="false">IF($I25&gt;0%,IF(AND(EQ$16&gt;=$F25,EQ$16&lt;$F25+($G25*$I25)),"➤",""),"")</f>
        <v/>
      </c>
      <c r="ER25" s="76" t="str">
        <f aca="false">IF($I25&gt;0%,IF(AND(ER$16&gt;=$F25,ER$16&lt;$F25+($G25*$I25)),"➤",""),"")</f>
        <v/>
      </c>
      <c r="ES25" s="76" t="str">
        <f aca="false">IF($I25&gt;0%,IF(AND(ES$16&gt;=$F25,ES$16&lt;$F25+($G25*$I25)),"➤",""),"")</f>
        <v/>
      </c>
      <c r="ET25" s="76" t="str">
        <f aca="false">IF($I25&gt;0%,IF(AND(ET$16&gt;=$F25,ET$16&lt;$F25+($G25*$I25)),"➤",""),"")</f>
        <v/>
      </c>
      <c r="EU25" s="76" t="str">
        <f aca="false">IF($I25&gt;0%,IF(AND(EU$16&gt;=$F25,EU$16&lt;$F25+($G25*$I25)),"➤",""),"")</f>
        <v/>
      </c>
      <c r="EV25" s="76" t="str">
        <f aca="false">IF($I25&gt;0%,IF(AND(EV$16&gt;=$F25,EV$16&lt;$F25+($G25*$I25)),"➤",""),"")</f>
        <v/>
      </c>
      <c r="EW25" s="76" t="str">
        <f aca="false">IF($I25&gt;0%,IF(AND(EW$16&gt;=$F25,EW$16&lt;$F25+($G25*$I25)),"➤",""),"")</f>
        <v/>
      </c>
      <c r="EX25" s="76" t="str">
        <f aca="false">IF($I25&gt;0%,IF(AND(EX$16&gt;=$F25,EX$16&lt;$F25+($G25*$I25)),"➤",""),"")</f>
        <v/>
      </c>
      <c r="EY25" s="76" t="str">
        <f aca="false">IF($I25&gt;0%,IF(AND(EY$16&gt;=$F25,EY$16&lt;$F25+($G25*$I25)),"➤",""),"")</f>
        <v/>
      </c>
      <c r="EZ25" s="76" t="str">
        <f aca="false">IF($I25&gt;0%,IF(AND(EZ$16&gt;=$F25,EZ$16&lt;$F25+($G25*$I25)),"➤",""),"")</f>
        <v/>
      </c>
      <c r="FA25" s="76" t="str">
        <f aca="false">IF($I25&gt;0%,IF(AND(FA$16&gt;=$F25,FA$16&lt;$F25+($G25*$I25)),"➤",""),"")</f>
        <v/>
      </c>
      <c r="FB25" s="76" t="str">
        <f aca="false">IF($I25&gt;0%,IF(AND(FB$16&gt;=$F25,FB$16&lt;$F25+($G25*$I25)),"➤",""),"")</f>
        <v/>
      </c>
      <c r="FC25" s="76" t="str">
        <f aca="false">IF($I25&gt;0%,IF(AND(FC$16&gt;=$F25,FC$16&lt;$F25+($G25*$I25)),"➤",""),"")</f>
        <v/>
      </c>
      <c r="FD25" s="76" t="str">
        <f aca="false">IF($I25&gt;0%,IF(AND(FD$16&gt;=$F25,FD$16&lt;$F25+($G25*$I25)),"➤",""),"")</f>
        <v/>
      </c>
      <c r="FE25" s="76" t="str">
        <f aca="false">IF($I25&gt;0%,IF(AND(FE$16&gt;=$F25,FE$16&lt;$F25+($G25*$I25)),"➤",""),"")</f>
        <v/>
      </c>
      <c r="FF25" s="76" t="str">
        <f aca="false">IF($I25&gt;0%,IF(AND(FF$16&gt;=$F25,FF$16&lt;$F25+($G25*$I25)),"➤",""),"")</f>
        <v/>
      </c>
      <c r="FG25" s="76" t="str">
        <f aca="false">IF($I25&gt;0%,IF(AND(FG$16&gt;=$F25,FG$16&lt;$F25+($G25*$I25)),"➤",""),"")</f>
        <v/>
      </c>
      <c r="FH25" s="76" t="str">
        <f aca="false">IF($I25&gt;0%,IF(AND(FH$16&gt;=$F25,FH$16&lt;$F25+($G25*$I25)),"➤",""),"")</f>
        <v/>
      </c>
      <c r="FI25" s="76" t="str">
        <f aca="false">IF($I25&gt;0%,IF(AND(FI$16&gt;=$F25,FI$16&lt;$F25+($G25*$I25)),"➤",""),"")</f>
        <v/>
      </c>
      <c r="FJ25" s="76" t="str">
        <f aca="false">IF($I25&gt;0%,IF(AND(FJ$16&gt;=$F25,FJ$16&lt;$F25+($G25*$I25)),"➤",""),"")</f>
        <v/>
      </c>
      <c r="FK25" s="76" t="str">
        <f aca="false">IF($I25&gt;0%,IF(AND(FK$16&gt;=$F25,FK$16&lt;$F25+($G25*$I25)),"➤",""),"")</f>
        <v/>
      </c>
      <c r="FL25" s="76" t="str">
        <f aca="false">IF($I25&gt;0%,IF(AND(FL$16&gt;=$F25,FL$16&lt;$F25+($G25*$I25)),"➤",""),"")</f>
        <v/>
      </c>
      <c r="FM25" s="76" t="str">
        <f aca="false">IF($I25&gt;0%,IF(AND(FM$16&gt;=$F25,FM$16&lt;$F25+($G25*$I25)),"➤",""),"")</f>
        <v/>
      </c>
      <c r="FN25" s="76" t="str">
        <f aca="false">IF($I25&gt;0%,IF(AND(FN$16&gt;=$F25,FN$16&lt;$F25+($G25*$I25)),"➤",""),"")</f>
        <v/>
      </c>
      <c r="FO25" s="76" t="str">
        <f aca="false">IF($I25&gt;0%,IF(AND(FO$16&gt;=$F25,FO$16&lt;$F25+($G25*$I25)),"➤",""),"")</f>
        <v/>
      </c>
      <c r="FP25" s="76" t="str">
        <f aca="false">IF($I25&gt;0%,IF(AND(FP$16&gt;=$F25,FP$16&lt;$F25+($G25*$I25)),"➤",""),"")</f>
        <v/>
      </c>
      <c r="FQ25" s="76" t="str">
        <f aca="false">IF($I25&gt;0%,IF(AND(FQ$16&gt;=$F25,FQ$16&lt;$F25+($G25*$I25)),"➤",""),"")</f>
        <v/>
      </c>
      <c r="FR25" s="76" t="str">
        <f aca="false">IF($I25&gt;0%,IF(AND(FR$16&gt;=$F25,FR$16&lt;$F25+($G25*$I25)),"➤",""),"")</f>
        <v/>
      </c>
      <c r="FS25" s="76" t="str">
        <f aca="false">IF($I25&gt;0%,IF(AND(FS$16&gt;=$F25,FS$16&lt;$F25+($G25*$I25)),"➤",""),"")</f>
        <v/>
      </c>
      <c r="FT25" s="76" t="str">
        <f aca="false">IF($I25&gt;0%,IF(AND(FT$16&gt;=$F25,FT$16&lt;$F25+($G25*$I25)),"➤",""),"")</f>
        <v/>
      </c>
      <c r="FU25" s="76" t="str">
        <f aca="false">IF($I25&gt;0%,IF(AND(FU$16&gt;=$F25,FU$16&lt;$F25+($G25*$I25)),"➤",""),"")</f>
        <v/>
      </c>
      <c r="FV25" s="76" t="str">
        <f aca="false">IF($I25&gt;0%,IF(AND(FV$16&gt;=$F25,FV$16&lt;$F25+($G25*$I25)),"➤",""),"")</f>
        <v/>
      </c>
      <c r="FW25" s="76" t="str">
        <f aca="false">IF($I25&gt;0%,IF(AND(FW$16&gt;=$F25,FW$16&lt;$F25+($G25*$I25)),"➤",""),"")</f>
        <v/>
      </c>
      <c r="FX25" s="76" t="str">
        <f aca="false">IF($I25&gt;0%,IF(AND(FX$16&gt;=$F25,FX$16&lt;$F25+($G25*$I25)),"➤",""),"")</f>
        <v/>
      </c>
      <c r="FY25" s="76" t="str">
        <f aca="false">IF($I25&gt;0%,IF(AND(FY$16&gt;=$F25,FY$16&lt;$F25+($G25*$I25)),"➤",""),"")</f>
        <v/>
      </c>
      <c r="FZ25" s="76" t="str">
        <f aca="false">IF($I25&gt;0%,IF(AND(FZ$16&gt;=$F25,FZ$16&lt;$F25+($G25*$I25)),"➤",""),"")</f>
        <v/>
      </c>
      <c r="GA25" s="76" t="str">
        <f aca="false">IF($I25&gt;0%,IF(AND(GA$16&gt;=$F25,GA$16&lt;$F25+($G25*$I25)),"➤",""),"")</f>
        <v/>
      </c>
      <c r="GB25" s="76" t="str">
        <f aca="false">IF($I25&gt;0%,IF(AND(GB$16&gt;=$F25,GB$16&lt;$F25+($G25*$I25)),"➤",""),"")</f>
        <v/>
      </c>
      <c r="GC25" s="76" t="str">
        <f aca="false">IF($I25&gt;0%,IF(AND(GC$16&gt;=$F25,GC$16&lt;$F25+($G25*$I25)),"➤",""),"")</f>
        <v/>
      </c>
      <c r="GD25" s="76" t="str">
        <f aca="false">IF($I25&gt;0%,IF(AND(GD$16&gt;=$F25,GD$16&lt;$F25+($G25*$I25)),"➤",""),"")</f>
        <v/>
      </c>
      <c r="GE25" s="76" t="str">
        <f aca="false">IF($I25&gt;0%,IF(AND(GE$16&gt;=$F25,GE$16&lt;$F25+($G25*$I25)),"➤",""),"")</f>
        <v/>
      </c>
      <c r="GF25" s="76" t="str">
        <f aca="false">IF($I25&gt;0%,IF(AND(GF$16&gt;=$F25,GF$16&lt;$F25+($G25*$I25)),"➤",""),"")</f>
        <v/>
      </c>
      <c r="GG25" s="76" t="str">
        <f aca="false">IF($I25&gt;0%,IF(AND(GG$16&gt;=$F25,GG$16&lt;$F25+($G25*$I25)),"➤",""),"")</f>
        <v/>
      </c>
      <c r="GH25" s="76" t="str">
        <f aca="false">IF($I25&gt;0%,IF(AND(GH$16&gt;=$F25,GH$16&lt;$F25+($G25*$I25)),"➤",""),"")</f>
        <v/>
      </c>
      <c r="GI25" s="76" t="str">
        <f aca="false">IF($I25&gt;0%,IF(AND(GI$16&gt;=$F25,GI$16&lt;$F25+($G25*$I25)),"➤",""),"")</f>
        <v/>
      </c>
      <c r="GJ25" s="76" t="str">
        <f aca="false">IF($I25&gt;0%,IF(AND(GJ$16&gt;=$F25,GJ$16&lt;$F25+($G25*$I25)),"➤",""),"")</f>
        <v/>
      </c>
      <c r="GK25" s="76" t="str">
        <f aca="false">IF($I25&gt;0%,IF(AND(GK$16&gt;=$F25,GK$16&lt;$F25+($G25*$I25)),"➤",""),"")</f>
        <v/>
      </c>
      <c r="GL25" s="76" t="str">
        <f aca="false">IF($I25&gt;0%,IF(AND(GL$16&gt;=$F25,GL$16&lt;$F25+($G25*$I25)),"➤",""),"")</f>
        <v/>
      </c>
      <c r="GM25" s="76" t="str">
        <f aca="false">IF($I25&gt;0%,IF(AND(GM$16&gt;=$F25,GM$16&lt;$F25+($G25*$I25)),"➤",""),"")</f>
        <v/>
      </c>
      <c r="GN25" s="76" t="str">
        <f aca="false">IF($I25&gt;0%,IF(AND(GN$16&gt;=$F25,GN$16&lt;$F25+($G25*$I25)),"➤",""),"")</f>
        <v/>
      </c>
      <c r="GO25" s="76" t="str">
        <f aca="false">IF($I25&gt;0%,IF(AND(GO$16&gt;=$F25,GO$16&lt;$F25+($G25*$I25)),"➤",""),"")</f>
        <v/>
      </c>
      <c r="GP25" s="76" t="str">
        <f aca="false">IF($I25&gt;0%,IF(AND(GP$16&gt;=$F25,GP$16&lt;$F25+($G25*$I25)),"➤",""),"")</f>
        <v/>
      </c>
      <c r="GQ25" s="76" t="str">
        <f aca="false">IF($I25&gt;0%,IF(AND(GQ$16&gt;=$F25,GQ$16&lt;$F25+($G25*$I25)),"➤",""),"")</f>
        <v/>
      </c>
      <c r="GR25" s="76" t="str">
        <f aca="false">IF($I25&gt;0%,IF(AND(GR$16&gt;=$F25,GR$16&lt;$F25+($G25*$I25)),"➤",""),"")</f>
        <v/>
      </c>
      <c r="GS25" s="76" t="str">
        <f aca="false">IF($I25&gt;0%,IF(AND(GS$16&gt;=$F25,GS$16&lt;$F25+($G25*$I25)),"➤",""),"")</f>
        <v/>
      </c>
      <c r="GT25" s="76" t="str">
        <f aca="false">IF($I25&gt;0%,IF(AND(GT$16&gt;=$F25,GT$16&lt;$F25+($G25*$I25)),"➤",""),"")</f>
        <v/>
      </c>
      <c r="GU25" s="76" t="str">
        <f aca="false">IF($I25&gt;0%,IF(AND(GU$16&gt;=$F25,GU$16&lt;$F25+($G25*$I25)),"➤",""),"")</f>
        <v/>
      </c>
      <c r="GV25" s="76" t="str">
        <f aca="false">IF($I25&gt;0%,IF(AND(GV$16&gt;=$F25,GV$16&lt;$F25+($G25*$I25)),"➤",""),"")</f>
        <v/>
      </c>
      <c r="GW25" s="76" t="str">
        <f aca="false">IF($I25&gt;0%,IF(AND(GW$16&gt;=$F25,GW$16&lt;$F25+($G25*$I25)),"➤",""),"")</f>
        <v/>
      </c>
      <c r="GX25" s="76" t="str">
        <f aca="false">IF($I25&gt;0%,IF(AND(GX$16&gt;=$F25,GX$16&lt;$F25+($G25*$I25)),"➤",""),"")</f>
        <v/>
      </c>
      <c r="GY25" s="76" t="str">
        <f aca="false">IF($I25&gt;0%,IF(AND(GY$16&gt;=$F25,GY$16&lt;$F25+($G25*$I25)),"➤",""),"")</f>
        <v/>
      </c>
      <c r="GZ25" s="76" t="str">
        <f aca="false">IF($I25&gt;0%,IF(AND(GZ$16&gt;=$F25,GZ$16&lt;$F25+($G25*$I25)),"➤",""),"")</f>
        <v/>
      </c>
      <c r="HA25" s="76" t="str">
        <f aca="false">IF($I25&gt;0%,IF(AND(HA$16&gt;=$F25,HA$16&lt;$F25+($G25*$I25)),"➤",""),"")</f>
        <v/>
      </c>
      <c r="HB25" s="76" t="str">
        <f aca="false">IF($I25&gt;0%,IF(AND(HB$16&gt;=$F25,HB$16&lt;$F25+($G25*$I25)),"➤",""),"")</f>
        <v/>
      </c>
      <c r="HC25" s="76" t="str">
        <f aca="false">IF($I25&gt;0%,IF(AND(HC$16&gt;=$F25,HC$16&lt;$F25+($G25*$I25)),"➤",""),"")</f>
        <v/>
      </c>
      <c r="HD25" s="76" t="str">
        <f aca="false">IF($I25&gt;0%,IF(AND(HD$16&gt;=$F25,HD$16&lt;$F25+($G25*$I25)),"➤",""),"")</f>
        <v/>
      </c>
      <c r="HE25" s="76" t="str">
        <f aca="false">IF($I25&gt;0%,IF(AND(HE$16&gt;=$F25,HE$16&lt;$F25+($G25*$I25)),"➤",""),"")</f>
        <v/>
      </c>
      <c r="HF25" s="76" t="str">
        <f aca="false">IF($I25&gt;0%,IF(AND(HF$16&gt;=$F25,HF$16&lt;$F25+($G25*$I25)),"➤",""),"")</f>
        <v/>
      </c>
      <c r="HG25" s="76" t="str">
        <f aca="false">IF($I25&gt;0%,IF(AND(HG$16&gt;=$F25,HG$16&lt;$F25+($G25*$I25)),"➤",""),"")</f>
        <v/>
      </c>
      <c r="HH25" s="76" t="str">
        <f aca="false">IF($I25&gt;0%,IF(AND(HH$16&gt;=$F25,HH$16&lt;$F25+($G25*$I25)),"➤",""),"")</f>
        <v/>
      </c>
      <c r="HI25" s="76" t="str">
        <f aca="false">IF($I25&gt;0%,IF(AND(HI$16&gt;=$F25,HI$16&lt;$F25+($G25*$I25)),"➤",""),"")</f>
        <v/>
      </c>
      <c r="HJ25" s="76" t="str">
        <f aca="false">IF($I25&gt;0%,IF(AND(HJ$16&gt;=$F25,HJ$16&lt;$F25+($G25*$I25)),"➤",""),"")</f>
        <v/>
      </c>
      <c r="HK25" s="76" t="str">
        <f aca="false">IF($I25&gt;0%,IF(AND(HK$16&gt;=$F25,HK$16&lt;$F25+($G25*$I25)),"➤",""),"")</f>
        <v/>
      </c>
      <c r="HL25" s="76" t="str">
        <f aca="false">IF($I25&gt;0%,IF(AND(HL$16&gt;=$F25,HL$16&lt;$F25+($G25*$I25)),"➤",""),"")</f>
        <v/>
      </c>
      <c r="HM25" s="76" t="str">
        <f aca="false">IF($I25&gt;0%,IF(AND(HM$16&gt;=$F25,HM$16&lt;$F25+($G25*$I25)),"➤",""),"")</f>
        <v/>
      </c>
      <c r="HN25" s="76" t="str">
        <f aca="false">IF($I25&gt;0%,IF(AND(HN$16&gt;=$F25,HN$16&lt;$F25+($G25*$I25)),"➤",""),"")</f>
        <v/>
      </c>
      <c r="HO25" s="76" t="str">
        <f aca="false">IF($I25&gt;0%,IF(AND(HO$16&gt;=$F25,HO$16&lt;$F25+($G25*$I25)),"➤",""),"")</f>
        <v/>
      </c>
      <c r="HP25" s="76" t="str">
        <f aca="false">IF($I25&gt;0%,IF(AND(HP$16&gt;=$F25,HP$16&lt;$F25+($G25*$I25)),"➤",""),"")</f>
        <v/>
      </c>
      <c r="HQ25" s="76" t="str">
        <f aca="false">IF($I25&gt;0%,IF(AND(HQ$16&gt;=$F25,HQ$16&lt;$F25+($G25*$I25)),"➤",""),"")</f>
        <v/>
      </c>
      <c r="HR25" s="76" t="str">
        <f aca="false">IF($I25&gt;0%,IF(AND(HR$16&gt;=$F25,HR$16&lt;$F25+($G25*$I25)),"➤",""),"")</f>
        <v/>
      </c>
      <c r="HS25" s="76" t="str">
        <f aca="false">IF($I25&gt;0%,IF(AND(HS$16&gt;=$F25,HS$16&lt;$F25+($G25*$I25)),"➤",""),"")</f>
        <v/>
      </c>
      <c r="HT25" s="76" t="str">
        <f aca="false">IF($I25&gt;0%,IF(AND(HT$16&gt;=$F25,HT$16&lt;$F25+($G25*$I25)),"➤",""),"")</f>
        <v/>
      </c>
      <c r="HU25" s="76" t="str">
        <f aca="false">IF($I25&gt;0%,IF(AND(HU$16&gt;=$F25,HU$16&lt;$F25+($G25*$I25)),"➤",""),"")</f>
        <v/>
      </c>
      <c r="HV25" s="76" t="str">
        <f aca="false">IF($I25&gt;0%,IF(AND(HV$16&gt;=$F25,HV$16&lt;$F25+($G25*$I25)),"➤",""),"")</f>
        <v/>
      </c>
      <c r="HW25" s="76" t="str">
        <f aca="false">IF($I25&gt;0%,IF(AND(HW$16&gt;=$F25,HW$16&lt;$F25+($G25*$I25)),"➤",""),"")</f>
        <v/>
      </c>
      <c r="HX25" s="76" t="str">
        <f aca="false">IF($I25&gt;0%,IF(AND(HX$16&gt;=$F25,HX$16&lt;$F25+($G25*$I25)),"➤",""),"")</f>
        <v/>
      </c>
      <c r="HY25" s="76" t="str">
        <f aca="false">IF($I25&gt;0%,IF(AND(HY$16&gt;=$F25,HY$16&lt;$F25+($G25*$I25)),"➤",""),"")</f>
        <v/>
      </c>
      <c r="HZ25" s="76" t="str">
        <f aca="false">IF($I25&gt;0%,IF(AND(HZ$16&gt;=$F25,HZ$16&lt;$F25+($G25*$I25)),"➤",""),"")</f>
        <v/>
      </c>
      <c r="IA25" s="76" t="str">
        <f aca="false">IF($I25&gt;0%,IF(AND(IA$16&gt;=$F25,IA$16&lt;$F25+($G25*$I25)),"➤",""),"")</f>
        <v/>
      </c>
      <c r="IB25" s="76" t="str">
        <f aca="false">IF($I25&gt;0%,IF(AND(IB$16&gt;=$F25,IB$16&lt;$F25+($G25*$I25)),"➤",""),"")</f>
        <v/>
      </c>
      <c r="IC25" s="76" t="str">
        <f aca="false">IF($I25&gt;0%,IF(AND(IC$16&gt;=$F25,IC$16&lt;$F25+($G25*$I25)),"➤",""),"")</f>
        <v/>
      </c>
      <c r="ID25" s="76" t="str">
        <f aca="false">IF($I25&gt;0%,IF(AND(ID$16&gt;=$F25,ID$16&lt;$F25+($G25*$I25)),"➤",""),"")</f>
        <v/>
      </c>
      <c r="IE25" s="76" t="str">
        <f aca="false">IF($I25&gt;0%,IF(AND(IE$16&gt;=$F25,IE$16&lt;$F25+($G25*$I25)),"➤",""),"")</f>
        <v/>
      </c>
      <c r="IF25" s="76" t="str">
        <f aca="false">IF($I25&gt;0%,IF(AND(IF$16&gt;=$F25,IF$16&lt;$F25+($G25*$I25)),"➤",""),"")</f>
        <v/>
      </c>
      <c r="IG25" s="76" t="str">
        <f aca="false">IF($I25&gt;0%,IF(AND(IG$16&gt;=$F25,IG$16&lt;$F25+($G25*$I25)),"➤",""),"")</f>
        <v/>
      </c>
      <c r="IH25" s="76" t="str">
        <f aca="false">IF($I25&gt;0%,IF(AND(IH$16&gt;=$F25,IH$16&lt;$F25+($G25*$I25)),"➤",""),"")</f>
        <v/>
      </c>
      <c r="II25" s="76" t="str">
        <f aca="false">IF($I25&gt;0%,IF(AND(II$16&gt;=$F25,II$16&lt;$F25+($G25*$I25)),"➤",""),"")</f>
        <v/>
      </c>
      <c r="IJ25" s="76" t="str">
        <f aca="false">IF($I25&gt;0%,IF(AND(IJ$16&gt;=$F25,IJ$16&lt;$F25+($G25*$I25)),"➤",""),"")</f>
        <v/>
      </c>
      <c r="IK25" s="76" t="str">
        <f aca="false">IF($I25&gt;0%,IF(AND(IK$16&gt;=$F25,IK$16&lt;$F25+($G25*$I25)),"➤",""),"")</f>
        <v/>
      </c>
      <c r="IL25" s="76" t="str">
        <f aca="false">IF($I25&gt;0%,IF(AND(IL$16&gt;=$F25,IL$16&lt;$F25+($G25*$I25)),"➤",""),"")</f>
        <v/>
      </c>
      <c r="IM25" s="76" t="str">
        <f aca="false">IF($I25&gt;0%,IF(AND(IM$16&gt;=$F25,IM$16&lt;$F25+($G25*$I25)),"➤",""),"")</f>
        <v/>
      </c>
      <c r="IN25" s="76" t="str">
        <f aca="false">IF($I25&gt;0%,IF(AND(IN$16&gt;=$F25,IN$16&lt;$F25+($G25*$I25)),"➤",""),"")</f>
        <v/>
      </c>
      <c r="IO25" s="76" t="str">
        <f aca="false">IF($I25&gt;0%,IF(AND(IO$16&gt;=$F25,IO$16&lt;$F25+($G25*$I25)),"➤",""),"")</f>
        <v/>
      </c>
      <c r="IP25" s="76" t="str">
        <f aca="false">IF($I25&gt;0%,IF(AND(IP$16&gt;=$F25,IP$16&lt;$F25+($G25*$I25)),"➤",""),"")</f>
        <v/>
      </c>
      <c r="IQ25" s="76" t="str">
        <f aca="false">IF($I25&gt;0%,IF(AND(IQ$16&gt;=$F25,IQ$16&lt;$F25+($G25*$I25)),"➤",""),"")</f>
        <v/>
      </c>
      <c r="IR25" s="76" t="str">
        <f aca="false">IF($I25&gt;0%,IF(AND(IR$16&gt;=$F25,IR$16&lt;$F25+($G25*$I25)),"➤",""),"")</f>
        <v/>
      </c>
      <c r="IS25" s="76" t="str">
        <f aca="false">IF($I25&gt;0%,IF(AND(IS$16&gt;=$F25,IS$16&lt;$F25+($G25*$I25)),"➤",""),"")</f>
        <v/>
      </c>
      <c r="IT25" s="76" t="str">
        <f aca="false">IF($I25&gt;0%,IF(AND(IT$16&gt;=$F25,IT$16&lt;$F25+($G25*$I25)),"➤",""),"")</f>
        <v/>
      </c>
      <c r="IU25" s="76" t="str">
        <f aca="false">IF($I25&gt;0%,IF(AND(IU$16&gt;=$F25,IU$16&lt;$F25+($G25*$I25)),"➤",""),"")</f>
        <v/>
      </c>
      <c r="IV25" s="76" t="str">
        <f aca="false">IF($I25&gt;0%,IF(AND(IV$16&gt;=$F25,IV$16&lt;$F25+($G25*$I25)),"➤",""),"")</f>
        <v/>
      </c>
      <c r="IW25" s="76" t="str">
        <f aca="false">IF($I25&gt;0%,IF(AND(IW$16&gt;=$F25,IW$16&lt;$F25+($G25*$I25)),"➤",""),"")</f>
        <v/>
      </c>
      <c r="IX25" s="76" t="str">
        <f aca="false">IF($I25&gt;0%,IF(AND(IX$16&gt;=$F25,IX$16&lt;$F25+($G25*$I25)),"➤",""),"")</f>
        <v/>
      </c>
      <c r="IY25" s="76" t="str">
        <f aca="false">IF($I25&gt;0%,IF(AND(IY$16&gt;=$F25,IY$16&lt;$F25+($G25*$I25)),"➤",""),"")</f>
        <v/>
      </c>
      <c r="IZ25" s="76" t="str">
        <f aca="false">IF($I25&gt;0%,IF(AND(IZ$16&gt;=$F25,IZ$16&lt;$F25+($G25*$I25)),"➤",""),"")</f>
        <v/>
      </c>
      <c r="JA25" s="76" t="str">
        <f aca="false">IF($I25&gt;0%,IF(AND(JA$16&gt;=$F25,JA$16&lt;$F25+($G25*$I25)),"➤",""),"")</f>
        <v/>
      </c>
      <c r="JB25" s="76" t="str">
        <f aca="false">IF($I25&gt;0%,IF(AND(JB$16&gt;=$F25,JB$16&lt;$F25+($G25*$I25)),"➤",""),"")</f>
        <v/>
      </c>
      <c r="JC25" s="76" t="str">
        <f aca="false">IF($I25&gt;0%,IF(AND(JC$16&gt;=$F25,JC$16&lt;$F25+($G25*$I25)),"➤",""),"")</f>
        <v/>
      </c>
      <c r="JD25" s="76" t="str">
        <f aca="false">IF($I25&gt;0%,IF(AND(JD$16&gt;=$F25,JD$16&lt;$F25+($G25*$I25)),"➤",""),"")</f>
        <v/>
      </c>
      <c r="JE25" s="76" t="str">
        <f aca="false">IF($I25&gt;0%,IF(AND(JE$16&gt;=$F25,JE$16&lt;$F25+($G25*$I25)),"➤",""),"")</f>
        <v/>
      </c>
      <c r="JF25" s="76" t="str">
        <f aca="false">IF($I25&gt;0%,IF(AND(JF$16&gt;=$F25,JF$16&lt;$F25+($G25*$I25)),"➤",""),"")</f>
        <v/>
      </c>
      <c r="JG25" s="76" t="str">
        <f aca="false">IF($I25&gt;0%,IF(AND(JG$16&gt;=$F25,JG$16&lt;$F25+($G25*$I25)),"➤",""),"")</f>
        <v/>
      </c>
      <c r="JH25" s="76" t="str">
        <f aca="false">IF($I25&gt;0%,IF(AND(JH$16&gt;=$F25,JH$16&lt;$F25+($G25*$I25)),"➤",""),"")</f>
        <v/>
      </c>
      <c r="JI25" s="76" t="str">
        <f aca="false">IF($I25&gt;0%,IF(AND(JI$16&gt;=$F25,JI$16&lt;$F25+($G25*$I25)),"➤",""),"")</f>
        <v/>
      </c>
      <c r="JJ25" s="76" t="str">
        <f aca="false">IF($I25&gt;0%,IF(AND(JJ$16&gt;=$F25,JJ$16&lt;$F25+($G25*$I25)),"➤",""),"")</f>
        <v/>
      </c>
      <c r="JK25" s="76" t="str">
        <f aca="false">IF($I25&gt;0%,IF(AND(JK$16&gt;=$F25,JK$16&lt;$F25+($G25*$I25)),"➤",""),"")</f>
        <v/>
      </c>
      <c r="JL25" s="76" t="str">
        <f aca="false">IF($I25&gt;0%,IF(AND(JL$16&gt;=$F25,JL$16&lt;$F25+($G25*$I25)),"➤",""),"")</f>
        <v/>
      </c>
      <c r="JM25" s="76" t="str">
        <f aca="false">IF($I25&gt;0%,IF(AND(JM$16&gt;=$F25,JM$16&lt;$F25+($G25*$I25)),"➤",""),"")</f>
        <v/>
      </c>
      <c r="JN25" s="76" t="str">
        <f aca="false">IF($I25&gt;0%,IF(AND(JN$16&gt;=$F25,JN$16&lt;$F25+($G25*$I25)),"➤",""),"")</f>
        <v/>
      </c>
      <c r="JO25" s="76" t="str">
        <f aca="false">IF($I25&gt;0%,IF(AND(JO$16&gt;=$F25,JO$16&lt;$F25+($G25*$I25)),"➤",""),"")</f>
        <v/>
      </c>
      <c r="JP25" s="76" t="str">
        <f aca="false">IF($I25&gt;0%,IF(AND(JP$16&gt;=$F25,JP$16&lt;$F25+($G25*$I25)),"➤",""),"")</f>
        <v/>
      </c>
      <c r="JQ25" s="76" t="str">
        <f aca="false">IF($I25&gt;0%,IF(AND(JQ$16&gt;=$F25,JQ$16&lt;$F25+($G25*$I25)),"➤",""),"")</f>
        <v/>
      </c>
      <c r="JR25" s="76" t="str">
        <f aca="false">IF($I25&gt;0%,IF(AND(JR$16&gt;=$F25,JR$16&lt;$F25+($G25*$I25)),"➤",""),"")</f>
        <v/>
      </c>
      <c r="JS25" s="76" t="str">
        <f aca="false">IF($I25&gt;0%,IF(AND(JS$16&gt;=$F25,JS$16&lt;$F25+($G25*$I25)),"➤",""),"")</f>
        <v/>
      </c>
      <c r="JT25" s="76" t="str">
        <f aca="false">IF($I25&gt;0%,IF(AND(JT$16&gt;=$F25,JT$16&lt;$F25+($G25*$I25)),"➤",""),"")</f>
        <v/>
      </c>
      <c r="JU25" s="76" t="str">
        <f aca="false">IF($I25&gt;0%,IF(AND(JU$16&gt;=$F25,JU$16&lt;$F25+($G25*$I25)),"➤",""),"")</f>
        <v/>
      </c>
      <c r="JV25" s="76" t="str">
        <f aca="false">IF($I25&gt;0%,IF(AND(JV$16&gt;=$F25,JV$16&lt;$F25+($G25*$I25)),"➤",""),"")</f>
        <v/>
      </c>
      <c r="JW25" s="76" t="str">
        <f aca="false">IF($I25&gt;0%,IF(AND(JW$16&gt;=$F25,JW$16&lt;$F25+($G25*$I25)),"➤",""),"")</f>
        <v/>
      </c>
      <c r="JX25" s="76" t="str">
        <f aca="false">IF($I25&gt;0%,IF(AND(JX$16&gt;=$F25,JX$16&lt;$F25+($G25*$I25)),"➤",""),"")</f>
        <v/>
      </c>
      <c r="JY25" s="76" t="str">
        <f aca="false">IF($I25&gt;0%,IF(AND(JY$16&gt;=$F25,JY$16&lt;$F25+($G25*$I25)),"➤",""),"")</f>
        <v/>
      </c>
      <c r="JZ25" s="76" t="str">
        <f aca="false">IF($I25&gt;0%,IF(AND(JZ$16&gt;=$F25,JZ$16&lt;$F25+($G25*$I25)),"➤",""),"")</f>
        <v/>
      </c>
      <c r="KA25" s="76" t="str">
        <f aca="false">IF($I25&gt;0%,IF(AND(KA$16&gt;=$F25,KA$16&lt;$F25+($G25*$I25)),"➤",""),"")</f>
        <v/>
      </c>
      <c r="KB25" s="76" t="str">
        <f aca="false">IF($I25&gt;0%,IF(AND(KB$16&gt;=$F25,KB$16&lt;$F25+($G25*$I25)),"➤",""),"")</f>
        <v/>
      </c>
      <c r="KC25" s="76" t="str">
        <f aca="false">IF($I25&gt;0%,IF(AND(KC$16&gt;=$F25,KC$16&lt;$F25+($G25*$I25)),"➤",""),"")</f>
        <v/>
      </c>
      <c r="KD25" s="76" t="str">
        <f aca="false">IF($I25&gt;0%,IF(AND(KD$16&gt;=$F25,KD$16&lt;$F25+($G25*$I25)),"➤",""),"")</f>
        <v/>
      </c>
      <c r="KE25" s="76" t="str">
        <f aca="false">IF($I25&gt;0%,IF(AND(KE$16&gt;=$F25,KE$16&lt;$F25+($G25*$I25)),"➤",""),"")</f>
        <v/>
      </c>
      <c r="KF25" s="76" t="str">
        <f aca="false">IF($I25&gt;0%,IF(AND(KF$16&gt;=$F25,KF$16&lt;$F25+($G25*$I25)),"➤",""),"")</f>
        <v/>
      </c>
      <c r="KG25" s="76" t="str">
        <f aca="false">IF($I25&gt;0%,IF(AND(KG$16&gt;=$F25,KG$16&lt;$F25+($G25*$I25)),"➤",""),"")</f>
        <v/>
      </c>
      <c r="KH25" s="76" t="str">
        <f aca="false">IF($I25&gt;0%,IF(AND(KH$16&gt;=$F25,KH$16&lt;$F25+($G25*$I25)),"➤",""),"")</f>
        <v/>
      </c>
      <c r="KI25" s="76" t="str">
        <f aca="false">IF($I25&gt;0%,IF(AND(KI$16&gt;=$F25,KI$16&lt;$F25+($G25*$I25)),"➤",""),"")</f>
        <v/>
      </c>
      <c r="KJ25" s="76" t="str">
        <f aca="false">IF($I25&gt;0%,IF(AND(KJ$16&gt;=$F25,KJ$16&lt;$F25+($G25*$I25)),"➤",""),"")</f>
        <v/>
      </c>
      <c r="KK25" s="76" t="str">
        <f aca="false">IF($I25&gt;0%,IF(AND(KK$16&gt;=$F25,KK$16&lt;$F25+($G25*$I25)),"➤",""),"")</f>
        <v/>
      </c>
      <c r="KL25" s="76" t="str">
        <f aca="false">IF($I25&gt;0%,IF(AND(KL$16&gt;=$F25,KL$16&lt;$F25+($G25*$I25)),"➤",""),"")</f>
        <v/>
      </c>
      <c r="KM25" s="76" t="str">
        <f aca="false">IF($I25&gt;0%,IF(AND(KM$16&gt;=$F25,KM$16&lt;$F25+($G25*$I25)),"➤",""),"")</f>
        <v/>
      </c>
      <c r="KN25" s="76" t="str">
        <f aca="false">IF($I25&gt;0%,IF(AND(KN$16&gt;=$F25,KN$16&lt;$F25+($G25*$I25)),"➤",""),"")</f>
        <v/>
      </c>
      <c r="KO25" s="76" t="str">
        <f aca="false">IF($I25&gt;0%,IF(AND(KO$16&gt;=$F25,KO$16&lt;$F25+($G25*$I25)),"➤",""),"")</f>
        <v/>
      </c>
      <c r="KP25" s="76" t="str">
        <f aca="false">IF($I25&gt;0%,IF(AND(KP$16&gt;=$F25,KP$16&lt;$F25+($G25*$I25)),"➤",""),"")</f>
        <v/>
      </c>
      <c r="KQ25" s="76" t="str">
        <f aca="false">IF($I25&gt;0%,IF(AND(KQ$16&gt;=$F25,KQ$16&lt;$F25+($G25*$I25)),"➤",""),"")</f>
        <v/>
      </c>
      <c r="KR25" s="76" t="str">
        <f aca="false">IF($I25&gt;0%,IF(AND(KR$16&gt;=$F25,KR$16&lt;$F25+($G25*$I25)),"➤",""),"")</f>
        <v/>
      </c>
      <c r="KS25" s="76" t="str">
        <f aca="false">IF($I25&gt;0%,IF(AND(KS$16&gt;=$F25,KS$16&lt;$F25+($G25*$I25)),"➤",""),"")</f>
        <v/>
      </c>
      <c r="KT25" s="76" t="str">
        <f aca="false">IF($I25&gt;0%,IF(AND(KT$16&gt;=$F25,KT$16&lt;$F25+($G25*$I25)),"➤",""),"")</f>
        <v/>
      </c>
      <c r="KU25" s="76" t="str">
        <f aca="false">IF($I25&gt;0%,IF(AND(KU$16&gt;=$F25,KU$16&lt;$F25+($G25*$I25)),"➤",""),"")</f>
        <v/>
      </c>
      <c r="KV25" s="76" t="str">
        <f aca="false">IF($I25&gt;0%,IF(AND(KV$16&gt;=$F25,KV$16&lt;$F25+($G25*$I25)),"➤",""),"")</f>
        <v/>
      </c>
      <c r="KW25" s="76" t="str">
        <f aca="false">IF($I25&gt;0%,IF(AND(KW$16&gt;=$F25,KW$16&lt;$F25+($G25*$I25)),"➤",""),"")</f>
        <v/>
      </c>
      <c r="KX25" s="76" t="str">
        <f aca="false">IF($I25&gt;0%,IF(AND(KX$16&gt;=$F25,KX$16&lt;$F25+($G25*$I25)),"➤",""),"")</f>
        <v/>
      </c>
      <c r="KY25" s="76" t="str">
        <f aca="false">IF($I25&gt;0%,IF(AND(KY$16&gt;=$F25,KY$16&lt;$F25+($G25*$I25)),"➤",""),"")</f>
        <v/>
      </c>
      <c r="KZ25" s="76" t="str">
        <f aca="false">IF($I25&gt;0%,IF(AND(KZ$16&gt;=$F25,KZ$16&lt;$F25+($G25*$I25)),"➤",""),"")</f>
        <v/>
      </c>
      <c r="LA25" s="76" t="str">
        <f aca="false">IF($I25&gt;0%,IF(AND(LA$16&gt;=$F25,LA$16&lt;$F25+($G25*$I25)),"➤",""),"")</f>
        <v/>
      </c>
      <c r="LB25" s="76" t="str">
        <f aca="false">IF($I25&gt;0%,IF(AND(LB$16&gt;=$F25,LB$16&lt;$F25+($G25*$I25)),"➤",""),"")</f>
        <v/>
      </c>
      <c r="LC25" s="76" t="str">
        <f aca="false">IF($I25&gt;0%,IF(AND(LC$16&gt;=$F25,LC$16&lt;$F25+($G25*$I25)),"➤",""),"")</f>
        <v/>
      </c>
      <c r="LD25" s="76" t="str">
        <f aca="false">IF($I25&gt;0%,IF(AND(LD$16&gt;=$F25,LD$16&lt;$F25+($G25*$I25)),"➤",""),"")</f>
        <v/>
      </c>
      <c r="LE25" s="76" t="str">
        <f aca="false">IF($I25&gt;0%,IF(AND(LE$16&gt;=$F25,LE$16&lt;$F25+($G25*$I25)),"➤",""),"")</f>
        <v/>
      </c>
      <c r="LF25" s="76" t="str">
        <f aca="false">IF($I25&gt;0%,IF(AND(LF$16&gt;=$F25,LF$16&lt;$F25+($G25*$I25)),"➤",""),"")</f>
        <v/>
      </c>
      <c r="LG25" s="76" t="str">
        <f aca="false">IF($I25&gt;0%,IF(AND(LG$16&gt;=$F25,LG$16&lt;$F25+($G25*$I25)),"➤",""),"")</f>
        <v/>
      </c>
      <c r="LH25" s="76" t="str">
        <f aca="false">IF($I25&gt;0%,IF(AND(LH$16&gt;=$F25,LH$16&lt;$F25+($G25*$I25)),"➤",""),"")</f>
        <v/>
      </c>
      <c r="LI25" s="76" t="str">
        <f aca="false">IF($I25&gt;0%,IF(AND(LI$16&gt;=$F25,LI$16&lt;$F25+($G25*$I25)),"➤",""),"")</f>
        <v/>
      </c>
      <c r="LJ25" s="76" t="str">
        <f aca="false">IF($I25&gt;0%,IF(AND(LJ$16&gt;=$F25,LJ$16&lt;$F25+($G25*$I25)),"➤",""),"")</f>
        <v/>
      </c>
      <c r="LK25" s="76" t="str">
        <f aca="false">IF($I25&gt;0%,IF(AND(LK$16&gt;=$F25,LK$16&lt;$F25+($G25*$I25)),"➤",""),"")</f>
        <v/>
      </c>
      <c r="LL25" s="76" t="str">
        <f aca="false">IF($I25&gt;0%,IF(AND(LL$16&gt;=$F25,LL$16&lt;$F25+($G25*$I25)),"➤",""),"")</f>
        <v/>
      </c>
      <c r="LM25" s="76" t="str">
        <f aca="false">IF($I25&gt;0%,IF(AND(LM$16&gt;=$F25,LM$16&lt;$F25+($G25*$I25)),"➤",""),"")</f>
        <v/>
      </c>
      <c r="LN25" s="76" t="str">
        <f aca="false">IF($I25&gt;0%,IF(AND(LN$16&gt;=$F25,LN$16&lt;$F25+($G25*$I25)),"➤",""),"")</f>
        <v/>
      </c>
      <c r="LO25" s="76" t="str">
        <f aca="false">IF($I25&gt;0%,IF(AND(LO$16&gt;=$F25,LO$16&lt;$F25+($G25*$I25)),"➤",""),"")</f>
        <v/>
      </c>
      <c r="LP25" s="76" t="str">
        <f aca="false">IF($I25&gt;0%,IF(AND(LP$16&gt;=$F25,LP$16&lt;$F25+($G25*$I25)),"➤",""),"")</f>
        <v/>
      </c>
      <c r="LQ25" s="76" t="str">
        <f aca="false">IF($I25&gt;0%,IF(AND(LQ$16&gt;=$F25,LQ$16&lt;$F25+($G25*$I25)),"➤",""),"")</f>
        <v/>
      </c>
      <c r="LR25" s="76" t="str">
        <f aca="false">IF($I25&gt;0%,IF(AND(LR$16&gt;=$F25,LR$16&lt;$F25+($G25*$I25)),"➤",""),"")</f>
        <v/>
      </c>
      <c r="LS25" s="76" t="str">
        <f aca="false">IF($I25&gt;0%,IF(AND(LS$16&gt;=$F25,LS$16&lt;$F25+($G25*$I25)),"➤",""),"")</f>
        <v/>
      </c>
      <c r="LT25" s="76" t="str">
        <f aca="false">IF($I25&gt;0%,IF(AND(LT$16&gt;=$F25,LT$16&lt;$F25+($G25*$I25)),"➤",""),"")</f>
        <v/>
      </c>
      <c r="LU25" s="76" t="str">
        <f aca="false">IF($I25&gt;0%,IF(AND(LU$16&gt;=$F25,LU$16&lt;$F25+($G25*$I25)),"➤",""),"")</f>
        <v/>
      </c>
      <c r="LV25" s="76" t="str">
        <f aca="false">IF($I25&gt;0%,IF(AND(LV$16&gt;=$F25,LV$16&lt;$F25+($G25*$I25)),"➤",""),"")</f>
        <v/>
      </c>
      <c r="LW25" s="76" t="str">
        <f aca="false">IF($I25&gt;0%,IF(AND(LW$16&gt;=$F25,LW$16&lt;$F25+($G25*$I25)),"➤",""),"")</f>
        <v/>
      </c>
      <c r="LX25" s="76" t="str">
        <f aca="false">IF($I25&gt;0%,IF(AND(LX$16&gt;=$F25,LX$16&lt;$F25+($G25*$I25)),"➤",""),"")</f>
        <v/>
      </c>
      <c r="LY25" s="76" t="str">
        <f aca="false">IF($I25&gt;0%,IF(AND(LY$16&gt;=$F25,LY$16&lt;$F25+($G25*$I25)),"➤",""),"")</f>
        <v/>
      </c>
      <c r="LZ25" s="76" t="str">
        <f aca="false">IF($I25&gt;0%,IF(AND(LZ$16&gt;=$F25,LZ$16&lt;$F25+($G25*$I25)),"➤",""),"")</f>
        <v/>
      </c>
      <c r="MA25" s="76" t="str">
        <f aca="false">IF($I25&gt;0%,IF(AND(MA$16&gt;=$F25,MA$16&lt;$F25+($G25*$I25)),"➤",""),"")</f>
        <v/>
      </c>
      <c r="MB25" s="76" t="str">
        <f aca="false">IF($I25&gt;0%,IF(AND(MB$16&gt;=$F25,MB$16&lt;$F25+($G25*$I25)),"➤",""),"")</f>
        <v/>
      </c>
      <c r="MC25" s="76" t="str">
        <f aca="false">IF($I25&gt;0%,IF(AND(MC$16&gt;=$F25,MC$16&lt;$F25+($G25*$I25)),"➤",""),"")</f>
        <v/>
      </c>
      <c r="MD25" s="76" t="str">
        <f aca="false">IF($I25&gt;0%,IF(AND(MD$16&gt;=$F25,MD$16&lt;$F25+($G25*$I25)),"➤",""),"")</f>
        <v/>
      </c>
      <c r="ME25" s="76" t="str">
        <f aca="false">IF($I25&gt;0%,IF(AND(ME$16&gt;=$F25,ME$16&lt;$F25+($G25*$I25)),"➤",""),"")</f>
        <v/>
      </c>
      <c r="MF25" s="76" t="str">
        <f aca="false">IF($I25&gt;0%,IF(AND(MF$16&gt;=$F25,MF$16&lt;$F25+($G25*$I25)),"➤",""),"")</f>
        <v/>
      </c>
      <c r="MG25" s="76" t="str">
        <f aca="false">IF($I25&gt;0%,IF(AND(MG$16&gt;=$F25,MG$16&lt;$F25+($G25*$I25)),"➤",""),"")</f>
        <v/>
      </c>
      <c r="MH25" s="76" t="str">
        <f aca="false">IF($I25&gt;0%,IF(AND(MH$16&gt;=$F25,MH$16&lt;$F25+($G25*$I25)),"➤",""),"")</f>
        <v/>
      </c>
      <c r="MI25" s="76" t="str">
        <f aca="false">IF($I25&gt;0%,IF(AND(MI$16&gt;=$F25,MI$16&lt;$F25+($G25*$I25)),"➤",""),"")</f>
        <v/>
      </c>
      <c r="MJ25" s="76" t="str">
        <f aca="false">IF($I25&gt;0%,IF(AND(MJ$16&gt;=$F25,MJ$16&lt;$F25+($G25*$I25)),"➤",""),"")</f>
        <v/>
      </c>
      <c r="MK25" s="76" t="str">
        <f aca="false">IF($I25&gt;0%,IF(AND(MK$16&gt;=$F25,MK$16&lt;$F25+($G25*$I25)),"➤",""),"")</f>
        <v/>
      </c>
      <c r="ML25" s="76" t="str">
        <f aca="false">IF($I25&gt;0%,IF(AND(ML$16&gt;=$F25,ML$16&lt;$F25+($G25*$I25)),"➤",""),"")</f>
        <v/>
      </c>
      <c r="MM25" s="76" t="str">
        <f aca="false">IF($I25&gt;0%,IF(AND(MM$16&gt;=$F25,MM$16&lt;$F25+($G25*$I25)),"➤",""),"")</f>
        <v/>
      </c>
      <c r="MN25" s="76" t="str">
        <f aca="false">IF($I25&gt;0%,IF(AND(MN$16&gt;=$F25,MN$16&lt;$F25+($G25*$I25)),"➤",""),"")</f>
        <v/>
      </c>
      <c r="MO25" s="76" t="str">
        <f aca="false">IF($I25&gt;0%,IF(AND(MO$16&gt;=$F25,MO$16&lt;$F25+($G25*$I25)),"➤",""),"")</f>
        <v/>
      </c>
      <c r="MP25" s="76" t="str">
        <f aca="false">IF($I25&gt;0%,IF(AND(MP$16&gt;=$F25,MP$16&lt;$F25+($G25*$I25)),"➤",""),"")</f>
        <v/>
      </c>
      <c r="MQ25" s="76" t="str">
        <f aca="false">IF($I25&gt;0%,IF(AND(MQ$16&gt;=$F25,MQ$16&lt;$F25+($G25*$I25)),"➤",""),"")</f>
        <v/>
      </c>
      <c r="MR25" s="76" t="str">
        <f aca="false">IF($I25&gt;0%,IF(AND(MR$16&gt;=$F25,MR$16&lt;$F25+($G25*$I25)),"➤",""),"")</f>
        <v/>
      </c>
      <c r="MS25" s="76" t="str">
        <f aca="false">IF($I25&gt;0%,IF(AND(MS$16&gt;=$F25,MS$16&lt;$F25+($G25*$I25)),"➤",""),"")</f>
        <v/>
      </c>
      <c r="MT25" s="76" t="str">
        <f aca="false">IF($I25&gt;0%,IF(AND(MT$16&gt;=$F25,MT$16&lt;$F25+($G25*$I25)),"➤",""),"")</f>
        <v/>
      </c>
      <c r="MU25" s="76" t="str">
        <f aca="false">IF($I25&gt;0%,IF(AND(MU$16&gt;=$F25,MU$16&lt;$F25+($G25*$I25)),"➤",""),"")</f>
        <v/>
      </c>
      <c r="MV25" s="76" t="str">
        <f aca="false">IF($I25&gt;0%,IF(AND(MV$16&gt;=$F25,MV$16&lt;$F25+($G25*$I25)),"➤",""),"")</f>
        <v/>
      </c>
      <c r="MW25" s="76" t="str">
        <f aca="false">IF($I25&gt;0%,IF(AND(MW$16&gt;=$F25,MW$16&lt;$F25+($G25*$I25)),"➤",""),"")</f>
        <v/>
      </c>
      <c r="MX25" s="76" t="str">
        <f aca="false">IF($I25&gt;0%,IF(AND(MX$16&gt;=$F25,MX$16&lt;$F25+($G25*$I25)),"➤",""),"")</f>
        <v/>
      </c>
      <c r="MY25" s="76" t="str">
        <f aca="false">IF($I25&gt;0%,IF(AND(MY$16&gt;=$F25,MY$16&lt;$F25+($G25*$I25)),"➤",""),"")</f>
        <v/>
      </c>
      <c r="MZ25" s="76" t="str">
        <f aca="false">IF($I25&gt;0%,IF(AND(MZ$16&gt;=$F25,MZ$16&lt;$F25+($G25*$I25)),"➤",""),"")</f>
        <v/>
      </c>
      <c r="NA25" s="76" t="str">
        <f aca="false">IF($I25&gt;0%,IF(AND(NA$16&gt;=$F25,NA$16&lt;$F25+($G25*$I25)),"➤",""),"")</f>
        <v/>
      </c>
      <c r="NB25" s="76" t="str">
        <f aca="false">IF($I25&gt;0%,IF(AND(NB$16&gt;=$F25,NB$16&lt;$F25+($G25*$I25)),"➤",""),"")</f>
        <v/>
      </c>
      <c r="NC25" s="76" t="str">
        <f aca="false">IF($I25&gt;0%,IF(AND(NC$16&gt;=$F25,NC$16&lt;$F25+($G25*$I25)),"➤",""),"")</f>
        <v/>
      </c>
      <c r="ND25" s="76" t="str">
        <f aca="false">IF($I25&gt;0%,IF(AND(ND$16&gt;=$F25,ND$16&lt;$F25+($G25*$I25)),"➤",""),"")</f>
        <v/>
      </c>
      <c r="NE25" s="76" t="str">
        <f aca="false">IF($I25&gt;0%,IF(AND(NE$16&gt;=$F25,NE$16&lt;$F25+($G25*$I25)),"➤",""),"")</f>
        <v/>
      </c>
      <c r="NF25" s="76" t="str">
        <f aca="false">IF($I25&gt;0%,IF(AND(NF$16&gt;=$F25,NF$16&lt;$F25+($G25*$I25)),"➤",""),"")</f>
        <v/>
      </c>
      <c r="NG25" s="76" t="str">
        <f aca="false">IF($I25&gt;0%,IF(AND(NG$16&gt;=$F25,NG$16&lt;$F25+($G25*$I25)),"➤",""),"")</f>
        <v/>
      </c>
      <c r="NH25" s="76" t="str">
        <f aca="false">IF($I25&gt;0%,IF(AND(NH$16&gt;=$F25,NH$16&lt;$F25+($G25*$I25)),"➤",""),"")</f>
        <v/>
      </c>
      <c r="NI25" s="76" t="str">
        <f aca="false">IF($I25&gt;0%,IF(AND(NI$16&gt;=$F25,NI$16&lt;$F25+($G25*$I25)),"➤",""),"")</f>
        <v/>
      </c>
      <c r="NJ25" s="76" t="str">
        <f aca="false">IF($I25&gt;0%,IF(AND(NJ$16&gt;=$F25,NJ$16&lt;$F25+($G25*$I25)),"➤",""),"")</f>
        <v/>
      </c>
      <c r="NK25" s="76" t="str">
        <f aca="false">IF($I25&gt;0%,IF(AND(NK$16&gt;=$F25,NK$16&lt;$F25+($G25*$I25)),"➤",""),"")</f>
        <v/>
      </c>
      <c r="NL25" s="76" t="str">
        <f aca="false">IF($I25&gt;0%,IF(AND(NL$16&gt;=$F25,NL$16&lt;$F25+($G25*$I25)),"➤",""),"")</f>
        <v/>
      </c>
      <c r="NM25" s="76" t="str">
        <f aca="false">IF($I25&gt;0%,IF(AND(NM$16&gt;=$F25,NM$16&lt;$F25+($G25*$I25)),"➤",""),"")</f>
        <v/>
      </c>
      <c r="NN25" s="76" t="str">
        <f aca="false">IF($I25&gt;0%,IF(AND(NN$16&gt;=$F25,NN$16&lt;$F25+($G25*$I25)),"➤",""),"")</f>
        <v/>
      </c>
      <c r="NO25" s="76" t="str">
        <f aca="false">IF($I25&gt;0%,IF(AND(NO$16&gt;=$F25,NO$16&lt;$F25+($G25*$I25)),"➤",""),"")</f>
        <v/>
      </c>
      <c r="NP25" s="76" t="str">
        <f aca="false">IF($I25&gt;0%,IF(AND(NP$16&gt;=$F25,NP$16&lt;$F25+($G25*$I25)),"➤",""),"")</f>
        <v/>
      </c>
      <c r="NQ25" s="76" t="str">
        <f aca="false">IF($I25&gt;0%,IF(AND(NQ$16&gt;=$F25,NQ$16&lt;$F25+($G25*$I25)),"➤",""),"")</f>
        <v/>
      </c>
      <c r="NR25" s="76" t="str">
        <f aca="false">IF($I25&gt;0%,IF(AND(NR$16&gt;=$F25,NR$16&lt;$F25+($G25*$I25)),"➤",""),"")</f>
        <v/>
      </c>
      <c r="NS25" s="76" t="str">
        <f aca="false">IF($I25&gt;0%,IF(AND(NS$16&gt;=$F25,NS$16&lt;$F25+($G25*$I25)),"➤",""),"")</f>
        <v/>
      </c>
      <c r="NT25" s="76" t="str">
        <f aca="false">IF($I25&gt;0%,IF(AND(NT$16&gt;=$F25,NT$16&lt;$F25+($G25*$I25)),"➤",""),"")</f>
        <v/>
      </c>
      <c r="NU25" s="76" t="str">
        <f aca="false">IF($I25&gt;0%,IF(AND(NU$16&gt;=$F25,NU$16&lt;$F25+($G25*$I25)),"➤",""),"")</f>
        <v/>
      </c>
      <c r="NV25" s="76" t="str">
        <f aca="false">IF($I25&gt;0%,IF(AND(NV$16&gt;=$F25,NV$16&lt;$F25+($G25*$I25)),"➤",""),"")</f>
        <v/>
      </c>
      <c r="NW25" s="76" t="str">
        <f aca="false">IF($I25&gt;0%,IF(AND(NW$16&gt;=$F25,NW$16&lt;$F25+($G25*$I25)),"➤",""),"")</f>
        <v/>
      </c>
      <c r="NX25" s="76" t="str">
        <f aca="false">IF($I25&gt;0%,IF(AND(NX$16&gt;=$F25,NX$16&lt;$F25+($G25*$I25)),"➤",""),"")</f>
        <v/>
      </c>
      <c r="NY25" s="76" t="str">
        <f aca="false">IF($I25&gt;0%,IF(AND(NY$16&gt;=$F25,NY$16&lt;$F25+($G25*$I25)),"➤",""),"")</f>
        <v/>
      </c>
      <c r="NZ25" s="76" t="str">
        <f aca="false">IF($I25&gt;0%,IF(AND(NZ$16&gt;=$F25,NZ$16&lt;$F25+($G25*$I25)),"➤",""),"")</f>
        <v/>
      </c>
      <c r="OA25" s="76" t="str">
        <f aca="false">IF($I25&gt;0%,IF(AND(OA$16&gt;=$F25,OA$16&lt;$F25+($G25*$I25)),"➤",""),"")</f>
        <v/>
      </c>
      <c r="OB25" s="76" t="str">
        <f aca="false">IF($I25&gt;0%,IF(AND(OB$16&gt;=$F25,OB$16&lt;$F25+($G25*$I25)),"➤",""),"")</f>
        <v/>
      </c>
      <c r="OC25" s="76" t="str">
        <f aca="false">IF($I25&gt;0%,IF(AND(OC$16&gt;=$F25,OC$16&lt;$F25+($G25*$I25)),"➤",""),"")</f>
        <v/>
      </c>
      <c r="OD25" s="76" t="str">
        <f aca="false">IF($I25&gt;0%,IF(AND(OD$16&gt;=$F25,OD$16&lt;$F25+($G25*$I25)),"➤",""),"")</f>
        <v/>
      </c>
      <c r="OE25" s="76" t="str">
        <f aca="false">IF($I25&gt;0%,IF(AND(OE$16&gt;=$F25,OE$16&lt;$F25+($G25*$I25)),"➤",""),"")</f>
        <v/>
      </c>
      <c r="OF25" s="76" t="str">
        <f aca="false">IF($I25&gt;0%,IF(AND(OF$16&gt;=$F25,OF$16&lt;$F25+($G25*$I25)),"➤",""),"")</f>
        <v/>
      </c>
      <c r="OG25" s="76" t="str">
        <f aca="false">IF($I25&gt;0%,IF(AND(OG$16&gt;=$F25,OG$16&lt;$F25+($G25*$I25)),"➤",""),"")</f>
        <v/>
      </c>
      <c r="OH25" s="76" t="str">
        <f aca="false">IF($I25&gt;0%,IF(AND(OH$16&gt;=$F25,OH$16&lt;$F25+($G25*$I25)),"➤",""),"")</f>
        <v/>
      </c>
      <c r="OI25" s="76" t="str">
        <f aca="false">IF($I25&gt;0%,IF(AND(OI$16&gt;=$F25,OI$16&lt;$F25+($G25*$I25)),"➤",""),"")</f>
        <v/>
      </c>
      <c r="OJ25" s="76" t="str">
        <f aca="false">IF($I25&gt;0%,IF(AND(OJ$16&gt;=$F25,OJ$16&lt;$F25+($G25*$I25)),"➤",""),"")</f>
        <v/>
      </c>
      <c r="OK25" s="76" t="str">
        <f aca="false">IF($I25&gt;0%,IF(AND(OK$16&gt;=$F25,OK$16&lt;$F25+($G25*$I25)),"➤",""),"")</f>
        <v/>
      </c>
      <c r="OL25" s="76" t="str">
        <f aca="false">IF($I25&gt;0%,IF(AND(OL$16&gt;=$F25,OL$16&lt;$F25+($G25*$I25)),"➤",""),"")</f>
        <v/>
      </c>
      <c r="OM25" s="76" t="str">
        <f aca="false">IF($I25&gt;0%,IF(AND(OM$16&gt;=$F25,OM$16&lt;$F25+($G25*$I25)),"➤",""),"")</f>
        <v/>
      </c>
      <c r="ON25" s="76" t="str">
        <f aca="false">IF($I25&gt;0%,IF(AND(ON$16&gt;=$F25,ON$16&lt;$F25+($G25*$I25)),"➤",""),"")</f>
        <v/>
      </c>
      <c r="OO25" s="76" t="str">
        <f aca="false">IF($I25&gt;0%,IF(AND(OO$16&gt;=$F25,OO$16&lt;$F25+($G25*$I25)),"➤",""),"")</f>
        <v/>
      </c>
      <c r="OP25" s="76" t="str">
        <f aca="false">IF($I25&gt;0%,IF(AND(OP$16&gt;=$F25,OP$16&lt;$F25+($G25*$I25)),"➤",""),"")</f>
        <v/>
      </c>
      <c r="OQ25" s="76" t="str">
        <f aca="false">IF($I25&gt;0%,IF(AND(OQ$16&gt;=$F25,OQ$16&lt;$F25+($G25*$I25)),"➤",""),"")</f>
        <v/>
      </c>
      <c r="OR25" s="76" t="str">
        <f aca="false">IF($I25&gt;0%,IF(AND(OR$16&gt;=$F25,OR$16&lt;$F25+($G25*$I25)),"➤",""),"")</f>
        <v/>
      </c>
      <c r="OS25" s="76" t="str">
        <f aca="false">IF($I25&gt;0%,IF(AND(OS$16&gt;=$F25,OS$16&lt;$F25+($G25*$I25)),"➤",""),"")</f>
        <v/>
      </c>
      <c r="OT25" s="76" t="str">
        <f aca="false">IF($I25&gt;0%,IF(AND(OT$16&gt;=$F25,OT$16&lt;$F25+($G25*$I25)),"➤",""),"")</f>
        <v/>
      </c>
      <c r="OU25" s="76" t="str">
        <f aca="false">IF($I25&gt;0%,IF(AND(OU$16&gt;=$F25,OU$16&lt;$F25+($G25*$I25)),"➤",""),"")</f>
        <v/>
      </c>
      <c r="OV25" s="76" t="str">
        <f aca="false">IF($I25&gt;0%,IF(AND(OV$16&gt;=$F25,OV$16&lt;$F25+($G25*$I25)),"➤",""),"")</f>
        <v/>
      </c>
      <c r="OW25" s="76" t="str">
        <f aca="false">IF($I25&gt;0%,IF(AND(OW$16&gt;=$F25,OW$16&lt;$F25+($G25*$I25)),"➤",""),"")</f>
        <v/>
      </c>
      <c r="OX25" s="76" t="str">
        <f aca="false">IF($I25&gt;0%,IF(AND(OX$16&gt;=$F25,OX$16&lt;$F25+($G25*$I25)),"➤",""),"")</f>
        <v/>
      </c>
      <c r="OY25" s="76" t="str">
        <f aca="false">IF($I25&gt;0%,IF(AND(OY$16&gt;=$F25,OY$16&lt;$F25+($G25*$I25)),"➤",""),"")</f>
        <v/>
      </c>
      <c r="OZ25" s="76" t="str">
        <f aca="false">IF($I25&gt;0%,IF(AND(OZ$16&gt;=$F25,OZ$16&lt;$F25+($G25*$I25)),"➤",""),"")</f>
        <v/>
      </c>
      <c r="PA25" s="76" t="str">
        <f aca="false">IF($I25&gt;0%,IF(AND(PA$16&gt;=$F25,PA$16&lt;$F25+($G25*$I25)),"➤",""),"")</f>
        <v/>
      </c>
      <c r="PB25" s="76" t="str">
        <f aca="false">IF($I25&gt;0%,IF(AND(PB$16&gt;=$F25,PB$16&lt;$F25+($G25*$I25)),"➤",""),"")</f>
        <v/>
      </c>
      <c r="PC25" s="76" t="str">
        <f aca="false">IF($I25&gt;0%,IF(AND(PC$16&gt;=$F25,PC$16&lt;$F25+($G25*$I25)),"➤",""),"")</f>
        <v/>
      </c>
      <c r="PD25" s="76" t="str">
        <f aca="false">IF($I25&gt;0%,IF(AND(PD$16&gt;=$F25,PD$16&lt;$F25+($G25*$I25)),"➤",""),"")</f>
        <v/>
      </c>
      <c r="PE25" s="76" t="str">
        <f aca="false">IF($I25&gt;0%,IF(AND(PE$16&gt;=$F25,PE$16&lt;$F25+($G25*$I25)),"➤",""),"")</f>
        <v/>
      </c>
      <c r="PF25" s="76" t="str">
        <f aca="false">IF($I25&gt;0%,IF(AND(PF$16&gt;=$F25,PF$16&lt;$F25+($G25*$I25)),"➤",""),"")</f>
        <v/>
      </c>
      <c r="PG25" s="76" t="str">
        <f aca="false">IF($I25&gt;0%,IF(AND(PG$16&gt;=$F25,PG$16&lt;$F25+($G25*$I25)),"➤",""),"")</f>
        <v/>
      </c>
      <c r="PH25" s="76" t="str">
        <f aca="false">IF($I25&gt;0%,IF(AND(PH$16&gt;=$F25,PH$16&lt;$F25+($G25*$I25)),"➤",""),"")</f>
        <v/>
      </c>
      <c r="PI25" s="76" t="str">
        <f aca="false">IF($I25&gt;0%,IF(AND(PI$16&gt;=$F25,PI$16&lt;$F25+($G25*$I25)),"➤",""),"")</f>
        <v/>
      </c>
      <c r="PJ25" s="76" t="str">
        <f aca="false">IF($I25&gt;0%,IF(AND(PJ$16&gt;=$F25,PJ$16&lt;$F25+($G25*$I25)),"➤",""),"")</f>
        <v/>
      </c>
      <c r="PK25" s="76" t="str">
        <f aca="false">IF($I25&gt;0%,IF(AND(PK$16&gt;=$F25,PK$16&lt;$F25+($G25*$I25)),"➤",""),"")</f>
        <v/>
      </c>
      <c r="PL25" s="76" t="str">
        <f aca="false">IF($I25&gt;0%,IF(AND(PL$16&gt;=$F25,PL$16&lt;$F25+($G25*$I25)),"➤",""),"")</f>
        <v/>
      </c>
      <c r="PM25" s="76" t="str">
        <f aca="false">IF($I25&gt;0%,IF(AND(PM$16&gt;=$F25,PM$16&lt;$F25+($G25*$I25)),"➤",""),"")</f>
        <v/>
      </c>
      <c r="PN25" s="76" t="str">
        <f aca="false">IF($I25&gt;0%,IF(AND(PN$16&gt;=$F25,PN$16&lt;$F25+($G25*$I25)),"➤",""),"")</f>
        <v/>
      </c>
      <c r="PO25" s="76" t="str">
        <f aca="false">IF($I25&gt;0%,IF(AND(PO$16&gt;=$F25,PO$16&lt;$F25+($G25*$I25)),"➤",""),"")</f>
        <v/>
      </c>
      <c r="PP25" s="76" t="str">
        <f aca="false">IF($I25&gt;0%,IF(AND(PP$16&gt;=$F25,PP$16&lt;$F25+($G25*$I25)),"➤",""),"")</f>
        <v/>
      </c>
      <c r="PQ25" s="76" t="str">
        <f aca="false">IF($I25&gt;0%,IF(AND(PQ$16&gt;=$F25,PQ$16&lt;$F25+($G25*$I25)),"➤",""),"")</f>
        <v/>
      </c>
      <c r="PR25" s="76" t="str">
        <f aca="false">IF($I25&gt;0%,IF(AND(PR$16&gt;=$F25,PR$16&lt;$F25+($G25*$I25)),"➤",""),"")</f>
        <v/>
      </c>
      <c r="PS25" s="76" t="str">
        <f aca="false">IF($I25&gt;0%,IF(AND(PS$16&gt;=$F25,PS$16&lt;$F25+($G25*$I25)),"➤",""),"")</f>
        <v/>
      </c>
      <c r="PT25" s="76" t="str">
        <f aca="false">IF($I25&gt;0%,IF(AND(PT$16&gt;=$F25,PT$16&lt;$F25+($G25*$I25)),"➤",""),"")</f>
        <v/>
      </c>
      <c r="PU25" s="76" t="str">
        <f aca="false">IF($I25&gt;0%,IF(AND(PU$16&gt;=$F25,PU$16&lt;$F25+($G25*$I25)),"➤",""),"")</f>
        <v/>
      </c>
      <c r="PV25" s="76" t="str">
        <f aca="false">IF($I25&gt;0%,IF(AND(PV$16&gt;=$F25,PV$16&lt;$F25+($G25*$I25)),"➤",""),"")</f>
        <v/>
      </c>
      <c r="PW25" s="76" t="str">
        <f aca="false">IF($I25&gt;0%,IF(AND(PW$16&gt;=$F25,PW$16&lt;$F25+($G25*$I25)),"➤",""),"")</f>
        <v/>
      </c>
      <c r="PX25" s="76" t="str">
        <f aca="false">IF($I25&gt;0%,IF(AND(PX$16&gt;=$F25,PX$16&lt;$F25+($G25*$I25)),"➤",""),"")</f>
        <v/>
      </c>
      <c r="PY25" s="76" t="str">
        <f aca="false">IF($I25&gt;0%,IF(AND(PY$16&gt;=$F25,PY$16&lt;$F25+($G25*$I25)),"➤",""),"")</f>
        <v/>
      </c>
      <c r="PZ25" s="76" t="str">
        <f aca="false">IF($I25&gt;0%,IF(AND(PZ$16&gt;=$F25,PZ$16&lt;$F25+($G25*$I25)),"➤",""),"")</f>
        <v/>
      </c>
      <c r="QA25" s="76" t="str">
        <f aca="false">IF($I25&gt;0%,IF(AND(QA$16&gt;=$F25,QA$16&lt;$F25+($G25*$I25)),"➤",""),"")</f>
        <v/>
      </c>
      <c r="QB25" s="76" t="str">
        <f aca="false">IF($I25&gt;0%,IF(AND(QB$16&gt;=$F25,QB$16&lt;$F25+($G25*$I25)),"➤",""),"")</f>
        <v/>
      </c>
      <c r="QC25" s="76" t="str">
        <f aca="false">IF($I25&gt;0%,IF(AND(QC$16&gt;=$F25,QC$16&lt;$F25+($G25*$I25)),"➤",""),"")</f>
        <v/>
      </c>
      <c r="QD25" s="76" t="str">
        <f aca="false">IF($I25&gt;0%,IF(AND(QD$16&gt;=$F25,QD$16&lt;$F25+($G25*$I25)),"➤",""),"")</f>
        <v/>
      </c>
      <c r="QE25" s="76" t="str">
        <f aca="false">IF($I25&gt;0%,IF(AND(QE$16&gt;=$F25,QE$16&lt;$F25+($G25*$I25)),"➤",""),"")</f>
        <v/>
      </c>
      <c r="QF25" s="76" t="str">
        <f aca="false">IF($I25&gt;0%,IF(AND(QF$16&gt;=$F25,QF$16&lt;$F25+($G25*$I25)),"➤",""),"")</f>
        <v/>
      </c>
      <c r="QG25" s="76" t="str">
        <f aca="false">IF($I25&gt;0%,IF(AND(QG$16&gt;=$F25,QG$16&lt;$F25+($G25*$I25)),"➤",""),"")</f>
        <v/>
      </c>
      <c r="QH25" s="76" t="str">
        <f aca="false">IF($I25&gt;0%,IF(AND(QH$16&gt;=$F25,QH$16&lt;$F25+($G25*$I25)),"➤",""),"")</f>
        <v/>
      </c>
      <c r="QI25" s="76" t="str">
        <f aca="false">IF($I25&gt;0%,IF(AND(QI$16&gt;=$F25,QI$16&lt;$F25+($G25*$I25)),"➤",""),"")</f>
        <v/>
      </c>
      <c r="QJ25" s="76" t="str">
        <f aca="false">IF($I25&gt;0%,IF(AND(QJ$16&gt;=$F25,QJ$16&lt;$F25+($G25*$I25)),"➤",""),"")</f>
        <v/>
      </c>
      <c r="QK25" s="76" t="str">
        <f aca="false">IF($I25&gt;0%,IF(AND(QK$16&gt;=$F25,QK$16&lt;$F25+($G25*$I25)),"➤",""),"")</f>
        <v/>
      </c>
      <c r="QL25" s="76" t="str">
        <f aca="false">IF($I25&gt;0%,IF(AND(QL$16&gt;=$F25,QL$16&lt;$F25+($G25*$I25)),"➤",""),"")</f>
        <v/>
      </c>
      <c r="QM25" s="76" t="str">
        <f aca="false">IF($I25&gt;0%,IF(AND(QM$16&gt;=$F25,QM$16&lt;$F25+($G25*$I25)),"➤",""),"")</f>
        <v/>
      </c>
      <c r="QN25" s="76" t="str">
        <f aca="false">IF($I25&gt;0%,IF(AND(QN$16&gt;=$F25,QN$16&lt;$F25+($G25*$I25)),"➤",""),"")</f>
        <v/>
      </c>
      <c r="QO25" s="76" t="str">
        <f aca="false">IF($I25&gt;0%,IF(AND(QO$16&gt;=$F25,QO$16&lt;$F25+($G25*$I25)),"➤",""),"")</f>
        <v/>
      </c>
      <c r="QP25" s="76" t="str">
        <f aca="false">IF($I25&gt;0%,IF(AND(QP$16&gt;=$F25,QP$16&lt;$F25+($G25*$I25)),"➤",""),"")</f>
        <v/>
      </c>
      <c r="QQ25" s="76" t="str">
        <f aca="false">IF($I25&gt;0%,IF(AND(QQ$16&gt;=$F25,QQ$16&lt;$F25+($G25*$I25)),"➤",""),"")</f>
        <v/>
      </c>
      <c r="QR25" s="76" t="str">
        <f aca="false">IF($I25&gt;0%,IF(AND(QR$16&gt;=$F25,QR$16&lt;$F25+($G25*$I25)),"➤",""),"")</f>
        <v/>
      </c>
      <c r="QS25" s="76" t="str">
        <f aca="false">IF($I25&gt;0%,IF(AND(QS$16&gt;=$F25,QS$16&lt;$F25+($G25*$I25)),"➤",""),"")</f>
        <v/>
      </c>
      <c r="QT25" s="76" t="str">
        <f aca="false">IF($I25&gt;0%,IF(AND(QT$16&gt;=$F25,QT$16&lt;$F25+($G25*$I25)),"➤",""),"")</f>
        <v/>
      </c>
      <c r="QU25" s="76" t="str">
        <f aca="false">IF($I25&gt;0%,IF(AND(QU$16&gt;=$F25,QU$16&lt;$F25+($G25*$I25)),"➤",""),"")</f>
        <v/>
      </c>
      <c r="QV25" s="76" t="str">
        <f aca="false">IF($I25&gt;0%,IF(AND(QV$16&gt;=$F25,QV$16&lt;$F25+($G25*$I25)),"➤",""),"")</f>
        <v/>
      </c>
      <c r="QW25" s="76" t="str">
        <f aca="false">IF($I25&gt;0%,IF(AND(QW$16&gt;=$F25,QW$16&lt;$F25+($G25*$I25)),"➤",""),"")</f>
        <v/>
      </c>
      <c r="QX25" s="76" t="str">
        <f aca="false">IF($I25&gt;0%,IF(AND(QX$16&gt;=$F25,QX$16&lt;$F25+($G25*$I25)),"➤",""),"")</f>
        <v/>
      </c>
      <c r="QY25" s="76" t="str">
        <f aca="false">IF($I25&gt;0%,IF(AND(QY$16&gt;=$F25,QY$16&lt;$F25+($G25*$I25)),"➤",""),"")</f>
        <v/>
      </c>
      <c r="QZ25" s="76" t="str">
        <f aca="false">IF($I25&gt;0%,IF(AND(QZ$16&gt;=$F25,QZ$16&lt;$F25+($G25*$I25)),"➤",""),"")</f>
        <v/>
      </c>
      <c r="RA25" s="76" t="str">
        <f aca="false">IF($I25&gt;0%,IF(AND(RA$16&gt;=$F25,RA$16&lt;$F25+($G25*$I25)),"➤",""),"")</f>
        <v/>
      </c>
      <c r="RB25" s="76" t="str">
        <f aca="false">IF($I25&gt;0%,IF(AND(RB$16&gt;=$F25,RB$16&lt;$F25+($G25*$I25)),"➤",""),"")</f>
        <v/>
      </c>
      <c r="RC25" s="76" t="str">
        <f aca="false">IF($I25&gt;0%,IF(AND(RC$16&gt;=$F25,RC$16&lt;$F25+($G25*$I25)),"➤",""),"")</f>
        <v/>
      </c>
      <c r="RD25" s="76" t="str">
        <f aca="false">IF($I25&gt;0%,IF(AND(RD$16&gt;=$F25,RD$16&lt;$F25+($G25*$I25)),"➤",""),"")</f>
        <v/>
      </c>
      <c r="RE25" s="76" t="str">
        <f aca="false">IF($I25&gt;0%,IF(AND(RE$16&gt;=$F25,RE$16&lt;$F25+($G25*$I25)),"➤",""),"")</f>
        <v/>
      </c>
      <c r="RF25" s="76" t="str">
        <f aca="false">IF($I25&gt;0%,IF(AND(RF$16&gt;=$F25,RF$16&lt;$F25+($G25*$I25)),"➤",""),"")</f>
        <v/>
      </c>
      <c r="RG25" s="76" t="str">
        <f aca="false">IF($I25&gt;0%,IF(AND(RG$16&gt;=$F25,RG$16&lt;$F25+($G25*$I25)),"➤",""),"")</f>
        <v/>
      </c>
      <c r="RH25" s="76" t="str">
        <f aca="false">IF($I25&gt;0%,IF(AND(RH$16&gt;=$F25,RH$16&lt;$F25+($G25*$I25)),"➤",""),"")</f>
        <v/>
      </c>
      <c r="RI25" s="76" t="str">
        <f aca="false">IF($I25&gt;0%,IF(AND(RI$16&gt;=$F25,RI$16&lt;$F25+($G25*$I25)),"➤",""),"")</f>
        <v/>
      </c>
      <c r="RJ25" s="76" t="str">
        <f aca="false">IF($I25&gt;0%,IF(AND(RJ$16&gt;=$F25,RJ$16&lt;$F25+($G25*$I25)),"➤",""),"")</f>
        <v/>
      </c>
      <c r="RK25" s="76" t="str">
        <f aca="false">IF($I25&gt;0%,IF(AND(RK$16&gt;=$F25,RK$16&lt;$F25+($G25*$I25)),"➤",""),"")</f>
        <v/>
      </c>
      <c r="RL25" s="76" t="str">
        <f aca="false">IF($I25&gt;0%,IF(AND(RL$16&gt;=$F25,RL$16&lt;$F25+($G25*$I25)),"➤",""),"")</f>
        <v/>
      </c>
      <c r="RM25" s="76" t="str">
        <f aca="false">IF($I25&gt;0%,IF(AND(RM$16&gt;=$F25,RM$16&lt;$F25+($G25*$I25)),"➤",""),"")</f>
        <v/>
      </c>
      <c r="RN25" s="76" t="str">
        <f aca="false">IF($I25&gt;0%,IF(AND(RN$16&gt;=$F25,RN$16&lt;$F25+($G25*$I25)),"➤",""),"")</f>
        <v/>
      </c>
      <c r="RO25" s="76" t="str">
        <f aca="false">IF($I25&gt;0%,IF(AND(RO$16&gt;=$F25,RO$16&lt;$F25+($G25*$I25)),"➤",""),"")</f>
        <v/>
      </c>
      <c r="RP25" s="76" t="str">
        <f aca="false">IF($I25&gt;0%,IF(AND(RP$16&gt;=$F25,RP$16&lt;$F25+($G25*$I25)),"➤",""),"")</f>
        <v/>
      </c>
      <c r="RQ25" s="76" t="str">
        <f aca="false">IF($I25&gt;0%,IF(AND(RQ$16&gt;=$F25,RQ$16&lt;$F25+($G25*$I25)),"➤",""),"")</f>
        <v/>
      </c>
      <c r="RR25" s="76" t="str">
        <f aca="false">IF($I25&gt;0%,IF(AND(RR$16&gt;=$F25,RR$16&lt;$F25+($G25*$I25)),"➤",""),"")</f>
        <v/>
      </c>
      <c r="RS25" s="76" t="str">
        <f aca="false">IF($I25&gt;0%,IF(AND(RS$16&gt;=$F25,RS$16&lt;$F25+($G25*$I25)),"➤",""),"")</f>
        <v/>
      </c>
      <c r="RT25" s="76" t="str">
        <f aca="false">IF($I25&gt;0%,IF(AND(RT$16&gt;=$F25,RT$16&lt;$F25+($G25*$I25)),"➤",""),"")</f>
        <v/>
      </c>
      <c r="RU25" s="76" t="str">
        <f aca="false">IF($I25&gt;0%,IF(AND(RU$16&gt;=$F25,RU$16&lt;$F25+($G25*$I25)),"➤",""),"")</f>
        <v/>
      </c>
      <c r="RV25" s="76" t="str">
        <f aca="false">IF($I25&gt;0%,IF(AND(RV$16&gt;=$F25,RV$16&lt;$F25+($G25*$I25)),"➤",""),"")</f>
        <v/>
      </c>
      <c r="RW25" s="76" t="str">
        <f aca="false">IF($I25&gt;0%,IF(AND(RW$16&gt;=$F25,RW$16&lt;$F25+($G25*$I25)),"➤",""),"")</f>
        <v/>
      </c>
      <c r="RX25" s="76" t="str">
        <f aca="false">IF($I25&gt;0%,IF(AND(RX$16&gt;=$F25,RX$16&lt;$F25+($G25*$I25)),"➤",""),"")</f>
        <v/>
      </c>
      <c r="RY25" s="76" t="str">
        <f aca="false">IF($I25&gt;0%,IF(AND(RY$16&gt;=$F25,RY$16&lt;$F25+($G25*$I25)),"➤",""),"")</f>
        <v/>
      </c>
      <c r="RZ25" s="76" t="str">
        <f aca="false">IF($I25&gt;0%,IF(AND(RZ$16&gt;=$F25,RZ$16&lt;$F25+($G25*$I25)),"➤",""),"")</f>
        <v/>
      </c>
      <c r="SA25" s="76" t="str">
        <f aca="false">IF($I25&gt;0%,IF(AND(SA$16&gt;=$F25,SA$16&lt;$F25+($G25*$I25)),"➤",""),"")</f>
        <v/>
      </c>
      <c r="SB25" s="76" t="str">
        <f aca="false">IF($I25&gt;0%,IF(AND(SB$16&gt;=$F25,SB$16&lt;$F25+($G25*$I25)),"➤",""),"")</f>
        <v/>
      </c>
      <c r="SC25" s="76" t="str">
        <f aca="false">IF($I25&gt;0%,IF(AND(SC$16&gt;=$F25,SC$16&lt;$F25+($G25*$I25)),"➤",""),"")</f>
        <v/>
      </c>
      <c r="SD25" s="76" t="str">
        <f aca="false">IF($I25&gt;0%,IF(AND(SD$16&gt;=$F25,SD$16&lt;$F25+($G25*$I25)),"➤",""),"")</f>
        <v/>
      </c>
      <c r="SE25" s="76" t="str">
        <f aca="false">IF($I25&gt;0%,IF(AND(SE$16&gt;=$F25,SE$16&lt;$F25+($G25*$I25)),"➤",""),"")</f>
        <v/>
      </c>
      <c r="SF25" s="76" t="str">
        <f aca="false">IF($I25&gt;0%,IF(AND(SF$16&gt;=$F25,SF$16&lt;$F25+($G25*$I25)),"➤",""),"")</f>
        <v/>
      </c>
      <c r="SG25" s="76" t="str">
        <f aca="false">IF($I25&gt;0%,IF(AND(SG$16&gt;=$F25,SG$16&lt;$F25+($G25*$I25)),"➤",""),"")</f>
        <v/>
      </c>
      <c r="SH25" s="76" t="str">
        <f aca="false">IF($I25&gt;0%,IF(AND(SH$16&gt;=$F25,SH$16&lt;$F25+($G25*$I25)),"➤",""),"")</f>
        <v/>
      </c>
      <c r="SI25" s="76" t="str">
        <f aca="false">IF($I25&gt;0%,IF(AND(SI$16&gt;=$F25,SI$16&lt;$F25+($G25*$I25)),"➤",""),"")</f>
        <v/>
      </c>
      <c r="SJ25" s="76" t="str">
        <f aca="false">IF($I25&gt;0%,IF(AND(SJ$16&gt;=$F25,SJ$16&lt;$F25+($G25*$I25)),"➤",""),"")</f>
        <v/>
      </c>
      <c r="SK25" s="76" t="str">
        <f aca="false">IF($I25&gt;0%,IF(AND(SK$16&gt;=$F25,SK$16&lt;$F25+($G25*$I25)),"➤",""),"")</f>
        <v/>
      </c>
      <c r="SL25" s="76" t="str">
        <f aca="false">IF($I25&gt;0%,IF(AND(SL$16&gt;=$F25,SL$16&lt;$F25+($G25*$I25)),"➤",""),"")</f>
        <v/>
      </c>
      <c r="SM25" s="76" t="str">
        <f aca="false">IF($I25&gt;0%,IF(AND(SM$16&gt;=$F25,SM$16&lt;$F25+($G25*$I25)),"➤",""),"")</f>
        <v/>
      </c>
      <c r="SN25" s="76" t="str">
        <f aca="false">IF($I25&gt;0%,IF(AND(SN$16&gt;=$F25,SN$16&lt;$F25+($G25*$I25)),"➤",""),"")</f>
        <v/>
      </c>
      <c r="SO25" s="76" t="str">
        <f aca="false">IF($I25&gt;0%,IF(AND(SO$16&gt;=$F25,SO$16&lt;$F25+($G25*$I25)),"➤",""),"")</f>
        <v/>
      </c>
      <c r="SP25" s="76" t="str">
        <f aca="false">IF($I25&gt;0%,IF(AND(SP$16&gt;=$F25,SP$16&lt;$F25+($G25*$I25)),"➤",""),"")</f>
        <v/>
      </c>
      <c r="SQ25" s="76" t="str">
        <f aca="false">IF($I25&gt;0%,IF(AND(SQ$16&gt;=$F25,SQ$16&lt;$F25+($G25*$I25)),"➤",""),"")</f>
        <v/>
      </c>
      <c r="SR25" s="76" t="str">
        <f aca="false">IF($I25&gt;0%,IF(AND(SR$16&gt;=$F25,SR$16&lt;$F25+($G25*$I25)),"➤",""),"")</f>
        <v/>
      </c>
      <c r="SS25" s="76" t="str">
        <f aca="false">IF($I25&gt;0%,IF(AND(SS$16&gt;=$F25,SS$16&lt;$F25+($G25*$I25)),"➤",""),"")</f>
        <v/>
      </c>
      <c r="ST25" s="76" t="str">
        <f aca="false">IF($I25&gt;0%,IF(AND(ST$16&gt;=$F25,ST$16&lt;$F25+($G25*$I25)),"➤",""),"")</f>
        <v/>
      </c>
      <c r="SU25" s="76" t="str">
        <f aca="false">IF($I25&gt;0%,IF(AND(SU$16&gt;=$F25,SU$16&lt;$F25+($G25*$I25)),"➤",""),"")</f>
        <v/>
      </c>
      <c r="SV25" s="76" t="str">
        <f aca="false">IF($I25&gt;0%,IF(AND(SV$16&gt;=$F25,SV$16&lt;$F25+($G25*$I25)),"➤",""),"")</f>
        <v/>
      </c>
      <c r="SW25" s="77" t="str">
        <f aca="false">IF($I25&gt;0%,IF(AND(SW$16&gt;=$F25,SW$16&lt;$F25+($G25*$I25)),"➤",""),"")</f>
        <v/>
      </c>
    </row>
    <row r="26" customFormat="false" ht="22.35" hidden="false" customHeight="false" outlineLevel="1" collapsed="false">
      <c r="C26" s="10"/>
      <c r="D26" s="78" t="s">
        <v>26</v>
      </c>
      <c r="E26" s="79" t="s">
        <v>21</v>
      </c>
      <c r="F26" s="80" t="n">
        <v>46140</v>
      </c>
      <c r="G26" s="81" t="n">
        <v>1</v>
      </c>
      <c r="H26" s="82" t="n">
        <f aca="false">(F26+G26)-1</f>
        <v>46140</v>
      </c>
      <c r="I26" s="83" t="n">
        <v>1</v>
      </c>
      <c r="J26" s="84" t="s">
        <v>16</v>
      </c>
      <c r="K26" s="85"/>
      <c r="L26" s="75" t="str">
        <f aca="false">IF($I26&gt;0%,IF(AND(L$16&gt;=$F26,L$16&lt;$F26+($G26*$I26)),"➤",""),"")</f>
        <v/>
      </c>
      <c r="M26" s="76" t="str">
        <f aca="false">IF($I26&gt;0%,IF(AND(M$16&gt;=$F26,M$16&lt;$F26+($G26*$I26)),"➤",""),"")</f>
        <v/>
      </c>
      <c r="N26" s="76" t="str">
        <f aca="false">IF($I26&gt;0%,IF(AND(N$16&gt;=$F26,N$16&lt;$F26+($G26*$I26)),"➤",""),"")</f>
        <v/>
      </c>
      <c r="O26" s="76" t="str">
        <f aca="false">IF($I26&gt;0%,IF(AND(O$16&gt;=$F26,O$16&lt;$F26+($G26*$I26)),"➤",""),"")</f>
        <v/>
      </c>
      <c r="P26" s="76" t="str">
        <f aca="false">IF($I26&gt;0%,IF(AND(P$16&gt;=$F26,P$16&lt;$F26+($G26*$I26)),"➤",""),"")</f>
        <v>➤</v>
      </c>
      <c r="Q26" s="76" t="str">
        <f aca="false">IF($I26&gt;0%,IF(AND(Q$16&gt;=$F26,Q$16&lt;$F26+($G26*$I26)),"➤",""),"")</f>
        <v/>
      </c>
      <c r="R26" s="76" t="str">
        <f aca="false">IF($I26&gt;0%,IF(AND(R$16&gt;=$F26,R$16&lt;$F26+($G26*$I26)),"➤",""),"")</f>
        <v/>
      </c>
      <c r="S26" s="76" t="str">
        <f aca="false">IF($I26&gt;0%,IF(AND(S$16&gt;=$F26,S$16&lt;$F26+($G26*$I26)),"➤",""),"")</f>
        <v/>
      </c>
      <c r="T26" s="76" t="str">
        <f aca="false">IF($I26&gt;0%,IF(AND(T$16&gt;=$F26,T$16&lt;$F26+($G26*$I26)),"➤",""),"")</f>
        <v/>
      </c>
      <c r="U26" s="76" t="str">
        <f aca="false">IF($I26&gt;0%,IF(AND(U$16&gt;=$F26,U$16&lt;$F26+($G26*$I26)),"➤",""),"")</f>
        <v/>
      </c>
      <c r="V26" s="76" t="str">
        <f aca="false">IF($I26&gt;0%,IF(AND(V$16&gt;=$F26,V$16&lt;$F26+($G26*$I26)),"➤",""),"")</f>
        <v/>
      </c>
      <c r="W26" s="76" t="str">
        <f aca="false">IF($I26&gt;0%,IF(AND(W$16&gt;=$F26,W$16&lt;$F26+($G26*$I26)),"➤",""),"")</f>
        <v/>
      </c>
      <c r="X26" s="76" t="str">
        <f aca="false">IF($I26&gt;0%,IF(AND(X$16&gt;=$F26,X$16&lt;$F26+($G26*$I26)),"➤",""),"")</f>
        <v/>
      </c>
      <c r="Y26" s="76" t="str">
        <f aca="false">IF($I26&gt;0%,IF(AND(Y$16&gt;=$F26,Y$16&lt;$F26+($G26*$I26)),"➤",""),"")</f>
        <v/>
      </c>
      <c r="Z26" s="76" t="str">
        <f aca="false">IF($I26&gt;0%,IF(AND(Z$16&gt;=$F26,Z$16&lt;$F26+($G26*$I26)),"➤",""),"")</f>
        <v/>
      </c>
      <c r="AA26" s="76" t="str">
        <f aca="false">IF($I26&gt;0%,IF(AND(AA$16&gt;=$F26,AA$16&lt;$F26+($G26*$I26)),"➤",""),"")</f>
        <v/>
      </c>
      <c r="AB26" s="76" t="str">
        <f aca="false">IF($I26&gt;0%,IF(AND(AB$16&gt;=$F26,AB$16&lt;$F26+($G26*$I26)),"➤",""),"")</f>
        <v/>
      </c>
      <c r="AC26" s="76" t="str">
        <f aca="false">IF($I26&gt;0%,IF(AND(AC$16&gt;=$F26,AC$16&lt;$F26+($G26*$I26)),"➤",""),"")</f>
        <v/>
      </c>
      <c r="AD26" s="76" t="str">
        <f aca="false">IF($I26&gt;0%,IF(AND(AD$16&gt;=$F26,AD$16&lt;$F26+($G26*$I26)),"➤",""),"")</f>
        <v/>
      </c>
      <c r="AE26" s="76" t="str">
        <f aca="false">IF($I26&gt;0%,IF(AND(AE$16&gt;=$F26,AE$16&lt;$F26+($G26*$I26)),"➤",""),"")</f>
        <v/>
      </c>
      <c r="AF26" s="76" t="str">
        <f aca="false">IF($I26&gt;0%,IF(AND(AF$16&gt;=$F26,AF$16&lt;$F26+($G26*$I26)),"➤",""),"")</f>
        <v/>
      </c>
      <c r="AG26" s="76" t="str">
        <f aca="false">IF($I26&gt;0%,IF(AND(AG$16&gt;=$F26,AG$16&lt;$F26+($G26*$I26)),"➤",""),"")</f>
        <v/>
      </c>
      <c r="AH26" s="76" t="str">
        <f aca="false">IF($I26&gt;0%,IF(AND(AH$16&gt;=$F26,AH$16&lt;$F26+($G26*$I26)),"➤",""),"")</f>
        <v/>
      </c>
      <c r="AI26" s="76" t="str">
        <f aca="false">IF($I26&gt;0%,IF(AND(AI$16&gt;=$F26,AI$16&lt;$F26+($G26*$I26)),"➤",""),"")</f>
        <v/>
      </c>
      <c r="AJ26" s="76" t="str">
        <f aca="false">IF($I26&gt;0%,IF(AND(AJ$16&gt;=$F26,AJ$16&lt;$F26+($G26*$I26)),"➤",""),"")</f>
        <v/>
      </c>
      <c r="AK26" s="76" t="str">
        <f aca="false">IF($I26&gt;0%,IF(AND(AK$16&gt;=$F26,AK$16&lt;$F26+($G26*$I26)),"➤",""),"")</f>
        <v/>
      </c>
      <c r="AL26" s="76" t="str">
        <f aca="false">IF($I26&gt;0%,IF(AND(AL$16&gt;=$F26,AL$16&lt;$F26+($G26*$I26)),"➤",""),"")</f>
        <v/>
      </c>
      <c r="AM26" s="76" t="str">
        <f aca="false">IF($I26&gt;0%,IF(AND(AM$16&gt;=$F26,AM$16&lt;$F26+($G26*$I26)),"➤",""),"")</f>
        <v/>
      </c>
      <c r="AN26" s="76" t="str">
        <f aca="false">IF($I26&gt;0%,IF(AND(AN$16&gt;=$F26,AN$16&lt;$F26+($G26*$I26)),"➤",""),"")</f>
        <v/>
      </c>
      <c r="AO26" s="76" t="str">
        <f aca="false">IF($I26&gt;0%,IF(AND(AO$16&gt;=$F26,AO$16&lt;$F26+($G26*$I26)),"➤",""),"")</f>
        <v/>
      </c>
      <c r="AP26" s="76" t="str">
        <f aca="false">IF($I26&gt;0%,IF(AND(AP$16&gt;=$F26,AP$16&lt;$F26+($G26*$I26)),"➤",""),"")</f>
        <v/>
      </c>
      <c r="AQ26" s="76" t="str">
        <f aca="false">IF($I26&gt;0%,IF(AND(AQ$16&gt;=$F26,AQ$16&lt;$F26+($G26*$I26)),"➤",""),"")</f>
        <v/>
      </c>
      <c r="AR26" s="76" t="str">
        <f aca="false">IF($I26&gt;0%,IF(AND(AR$16&gt;=$F26,AR$16&lt;$F26+($G26*$I26)),"➤",""),"")</f>
        <v/>
      </c>
      <c r="AS26" s="76" t="str">
        <f aca="false">IF($I26&gt;0%,IF(AND(AS$16&gt;=$F26,AS$16&lt;$F26+($G26*$I26)),"➤",""),"")</f>
        <v/>
      </c>
      <c r="AT26" s="76" t="str">
        <f aca="false">IF($I26&gt;0%,IF(AND(AT$16&gt;=$F26,AT$16&lt;$F26+($G26*$I26)),"➤",""),"")</f>
        <v/>
      </c>
      <c r="AU26" s="76" t="str">
        <f aca="false">IF($I26&gt;0%,IF(AND(AU$16&gt;=$F26,AU$16&lt;$F26+($G26*$I26)),"➤",""),"")</f>
        <v/>
      </c>
      <c r="AV26" s="76" t="str">
        <f aca="false">IF($I26&gt;0%,IF(AND(AV$16&gt;=$F26,AV$16&lt;$F26+($G26*$I26)),"➤",""),"")</f>
        <v/>
      </c>
      <c r="AW26" s="76" t="str">
        <f aca="false">IF($I26&gt;0%,IF(AND(AW$16&gt;=$F26,AW$16&lt;$F26+($G26*$I26)),"➤",""),"")</f>
        <v/>
      </c>
      <c r="AX26" s="76" t="str">
        <f aca="false">IF($I26&gt;0%,IF(AND(AX$16&gt;=$F26,AX$16&lt;$F26+($G26*$I26)),"➤",""),"")</f>
        <v/>
      </c>
      <c r="AY26" s="76" t="str">
        <f aca="false">IF($I26&gt;0%,IF(AND(AY$16&gt;=$F26,AY$16&lt;$F26+($G26*$I26)),"➤",""),"")</f>
        <v/>
      </c>
      <c r="AZ26" s="76" t="str">
        <f aca="false">IF($I26&gt;0%,IF(AND(AZ$16&gt;=$F26,AZ$16&lt;$F26+($G26*$I26)),"➤",""),"")</f>
        <v/>
      </c>
      <c r="BA26" s="76" t="str">
        <f aca="false">IF($I26&gt;0%,IF(AND(BA$16&gt;=$F26,BA$16&lt;$F26+($G26*$I26)),"➤",""),"")</f>
        <v/>
      </c>
      <c r="BB26" s="76" t="str">
        <f aca="false">IF($I26&gt;0%,IF(AND(BB$16&gt;=$F26,BB$16&lt;$F26+($G26*$I26)),"➤",""),"")</f>
        <v/>
      </c>
      <c r="BC26" s="76" t="str">
        <f aca="false">IF($I26&gt;0%,IF(AND(BC$16&gt;=$F26,BC$16&lt;$F26+($G26*$I26)),"➤",""),"")</f>
        <v/>
      </c>
      <c r="BD26" s="76" t="str">
        <f aca="false">IF($I26&gt;0%,IF(AND(BD$16&gt;=$F26,BD$16&lt;$F26+($G26*$I26)),"➤",""),"")</f>
        <v/>
      </c>
      <c r="BE26" s="76" t="str">
        <f aca="false">IF($I26&gt;0%,IF(AND(BE$16&gt;=$F26,BE$16&lt;$F26+($G26*$I26)),"➤",""),"")</f>
        <v/>
      </c>
      <c r="BF26" s="76" t="str">
        <f aca="false">IF($I26&gt;0%,IF(AND(BF$16&gt;=$F26,BF$16&lt;$F26+($G26*$I26)),"➤",""),"")</f>
        <v/>
      </c>
      <c r="BG26" s="76" t="str">
        <f aca="false">IF($I26&gt;0%,IF(AND(BG$16&gt;=$F26,BG$16&lt;$F26+($G26*$I26)),"➤",""),"")</f>
        <v/>
      </c>
      <c r="BH26" s="76" t="str">
        <f aca="false">IF($I26&gt;0%,IF(AND(BH$16&gt;=$F26,BH$16&lt;$F26+($G26*$I26)),"➤",""),"")</f>
        <v/>
      </c>
      <c r="BI26" s="76" t="str">
        <f aca="false">IF($I26&gt;0%,IF(AND(BI$16&gt;=$F26,BI$16&lt;$F26+($G26*$I26)),"➤",""),"")</f>
        <v/>
      </c>
      <c r="BJ26" s="76" t="str">
        <f aca="false">IF($I26&gt;0%,IF(AND(BJ$16&gt;=$F26,BJ$16&lt;$F26+($G26*$I26)),"➤",""),"")</f>
        <v/>
      </c>
      <c r="BK26" s="76" t="str">
        <f aca="false">IF($I26&gt;0%,IF(AND(BK$16&gt;=$F26,BK$16&lt;$F26+($G26*$I26)),"➤",""),"")</f>
        <v/>
      </c>
      <c r="BL26" s="76" t="str">
        <f aca="false">IF($I26&gt;0%,IF(AND(BL$16&gt;=$F26,BL$16&lt;$F26+($G26*$I26)),"➤",""),"")</f>
        <v/>
      </c>
      <c r="BM26" s="76" t="str">
        <f aca="false">IF($I26&gt;0%,IF(AND(BM$16&gt;=$F26,BM$16&lt;$F26+($G26*$I26)),"➤",""),"")</f>
        <v/>
      </c>
      <c r="BN26" s="76" t="str">
        <f aca="false">IF($I26&gt;0%,IF(AND(BN$16&gt;=$F26,BN$16&lt;$F26+($G26*$I26)),"➤",""),"")</f>
        <v/>
      </c>
      <c r="BO26" s="76" t="str">
        <f aca="false">IF($I26&gt;0%,IF(AND(BO$16&gt;=$F26,BO$16&lt;$F26+($G26*$I26)),"➤",""),"")</f>
        <v/>
      </c>
      <c r="BP26" s="76" t="str">
        <f aca="false">IF($I26&gt;0%,IF(AND(BP$16&gt;=$F26,BP$16&lt;$F26+($G26*$I26)),"➤",""),"")</f>
        <v/>
      </c>
      <c r="BQ26" s="76" t="str">
        <f aca="false">IF($I26&gt;0%,IF(AND(BQ$16&gt;=$F26,BQ$16&lt;$F26+($G26*$I26)),"➤",""),"")</f>
        <v/>
      </c>
      <c r="BR26" s="76" t="str">
        <f aca="false">IF($I26&gt;0%,IF(AND(BR$16&gt;=$F26,BR$16&lt;$F26+($G26*$I26)),"➤",""),"")</f>
        <v/>
      </c>
      <c r="BS26" s="76" t="str">
        <f aca="false">IF($I26&gt;0%,IF(AND(BS$16&gt;=$F26,BS$16&lt;$F26+($G26*$I26)),"➤",""),"")</f>
        <v/>
      </c>
      <c r="BT26" s="76" t="str">
        <f aca="false">IF($I26&gt;0%,IF(AND(BT$16&gt;=$F26,BT$16&lt;$F26+($G26*$I26)),"➤",""),"")</f>
        <v/>
      </c>
      <c r="BU26" s="76" t="str">
        <f aca="false">IF($I26&gt;0%,IF(AND(BU$16&gt;=$F26,BU$16&lt;$F26+($G26*$I26)),"➤",""),"")</f>
        <v/>
      </c>
      <c r="BV26" s="76" t="str">
        <f aca="false">IF($I26&gt;0%,IF(AND(BV$16&gt;=$F26,BV$16&lt;$F26+($G26*$I26)),"➤",""),"")</f>
        <v/>
      </c>
      <c r="BW26" s="76" t="str">
        <f aca="false">IF($I26&gt;0%,IF(AND(BW$16&gt;=$F26,BW$16&lt;$F26+($G26*$I26)),"➤",""),"")</f>
        <v/>
      </c>
      <c r="BX26" s="76" t="str">
        <f aca="false">IF($I26&gt;0%,IF(AND(BX$16&gt;=$F26,BX$16&lt;$F26+($G26*$I26)),"➤",""),"")</f>
        <v/>
      </c>
      <c r="BY26" s="76" t="str">
        <f aca="false">IF($I26&gt;0%,IF(AND(BY$16&gt;=$F26,BY$16&lt;$F26+($G26*$I26)),"➤",""),"")</f>
        <v/>
      </c>
      <c r="BZ26" s="76" t="str">
        <f aca="false">IF($I26&gt;0%,IF(AND(BZ$16&gt;=$F26,BZ$16&lt;$F26+($G26*$I26)),"➤",""),"")</f>
        <v/>
      </c>
      <c r="CA26" s="76" t="str">
        <f aca="false">IF($I26&gt;0%,IF(AND(CA$16&gt;=$F26,CA$16&lt;$F26+($G26*$I26)),"➤",""),"")</f>
        <v/>
      </c>
      <c r="CB26" s="76" t="str">
        <f aca="false">IF($I26&gt;0%,IF(AND(CB$16&gt;=$F26,CB$16&lt;$F26+($G26*$I26)),"➤",""),"")</f>
        <v/>
      </c>
      <c r="CC26" s="76" t="str">
        <f aca="false">IF($I26&gt;0%,IF(AND(CC$16&gt;=$F26,CC$16&lt;$F26+($G26*$I26)),"➤",""),"")</f>
        <v/>
      </c>
      <c r="CD26" s="76" t="str">
        <f aca="false">IF($I26&gt;0%,IF(AND(CD$16&gt;=$F26,CD$16&lt;$F26+($G26*$I26)),"➤",""),"")</f>
        <v/>
      </c>
      <c r="CE26" s="76" t="str">
        <f aca="false">IF($I26&gt;0%,IF(AND(CE$16&gt;=$F26,CE$16&lt;$F26+($G26*$I26)),"➤",""),"")</f>
        <v/>
      </c>
      <c r="CF26" s="76" t="str">
        <f aca="false">IF($I26&gt;0%,IF(AND(CF$16&gt;=$F26,CF$16&lt;$F26+($G26*$I26)),"➤",""),"")</f>
        <v/>
      </c>
      <c r="CG26" s="76" t="str">
        <f aca="false">IF($I26&gt;0%,IF(AND(CG$16&gt;=$F26,CG$16&lt;$F26+($G26*$I26)),"➤",""),"")</f>
        <v/>
      </c>
      <c r="CH26" s="76" t="str">
        <f aca="false">IF($I26&gt;0%,IF(AND(CH$16&gt;=$F26,CH$16&lt;$F26+($G26*$I26)),"➤",""),"")</f>
        <v/>
      </c>
      <c r="CI26" s="76" t="str">
        <f aca="false">IF($I26&gt;0%,IF(AND(CI$16&gt;=$F26,CI$16&lt;$F26+($G26*$I26)),"➤",""),"")</f>
        <v/>
      </c>
      <c r="CJ26" s="76" t="str">
        <f aca="false">IF($I26&gt;0%,IF(AND(CJ$16&gt;=$F26,CJ$16&lt;$F26+($G26*$I26)),"➤",""),"")</f>
        <v/>
      </c>
      <c r="CK26" s="76" t="str">
        <f aca="false">IF($I26&gt;0%,IF(AND(CK$16&gt;=$F26,CK$16&lt;$F26+($G26*$I26)),"➤",""),"")</f>
        <v/>
      </c>
      <c r="CL26" s="76" t="str">
        <f aca="false">IF($I26&gt;0%,IF(AND(CL$16&gt;=$F26,CL$16&lt;$F26+($G26*$I26)),"➤",""),"")</f>
        <v/>
      </c>
      <c r="CM26" s="76" t="str">
        <f aca="false">IF($I26&gt;0%,IF(AND(CM$16&gt;=$F26,CM$16&lt;$F26+($G26*$I26)),"➤",""),"")</f>
        <v/>
      </c>
      <c r="CN26" s="76" t="str">
        <f aca="false">IF($I26&gt;0%,IF(AND(CN$16&gt;=$F26,CN$16&lt;$F26+($G26*$I26)),"➤",""),"")</f>
        <v/>
      </c>
      <c r="CO26" s="76" t="str">
        <f aca="false">IF($I26&gt;0%,IF(AND(CO$16&gt;=$F26,CO$16&lt;$F26+($G26*$I26)),"➤",""),"")</f>
        <v/>
      </c>
      <c r="CP26" s="76" t="str">
        <f aca="false">IF($I26&gt;0%,IF(AND(CP$16&gt;=$F26,CP$16&lt;$F26+($G26*$I26)),"➤",""),"")</f>
        <v/>
      </c>
      <c r="CQ26" s="76" t="str">
        <f aca="false">IF($I26&gt;0%,IF(AND(CQ$16&gt;=$F26,CQ$16&lt;$F26+($G26*$I26)),"➤",""),"")</f>
        <v/>
      </c>
      <c r="CR26" s="76" t="str">
        <f aca="false">IF($I26&gt;0%,IF(AND(CR$16&gt;=$F26,CR$16&lt;$F26+($G26*$I26)),"➤",""),"")</f>
        <v/>
      </c>
      <c r="CS26" s="76" t="str">
        <f aca="false">IF($I26&gt;0%,IF(AND(CS$16&gt;=$F26,CS$16&lt;$F26+($G26*$I26)),"➤",""),"")</f>
        <v/>
      </c>
      <c r="CT26" s="76" t="str">
        <f aca="false">IF($I26&gt;0%,IF(AND(CT$16&gt;=$F26,CT$16&lt;$F26+($G26*$I26)),"➤",""),"")</f>
        <v/>
      </c>
      <c r="CU26" s="76" t="str">
        <f aca="false">IF($I26&gt;0%,IF(AND(CU$16&gt;=$F26,CU$16&lt;$F26+($G26*$I26)),"➤",""),"")</f>
        <v/>
      </c>
      <c r="CV26" s="76" t="str">
        <f aca="false">IF($I26&gt;0%,IF(AND(CV$16&gt;=$F26,CV$16&lt;$F26+($G26*$I26)),"➤",""),"")</f>
        <v/>
      </c>
      <c r="CW26" s="76" t="str">
        <f aca="false">IF($I26&gt;0%,IF(AND(CW$16&gt;=$F26,CW$16&lt;$F26+($G26*$I26)),"➤",""),"")</f>
        <v/>
      </c>
      <c r="CX26" s="76" t="str">
        <f aca="false">IF($I26&gt;0%,IF(AND(CX$16&gt;=$F26,CX$16&lt;$F26+($G26*$I26)),"➤",""),"")</f>
        <v/>
      </c>
      <c r="CY26" s="76" t="str">
        <f aca="false">IF($I26&gt;0%,IF(AND(CY$16&gt;=$F26,CY$16&lt;$F26+($G26*$I26)),"➤",""),"")</f>
        <v/>
      </c>
      <c r="CZ26" s="76" t="str">
        <f aca="false">IF($I26&gt;0%,IF(AND(CZ$16&gt;=$F26,CZ$16&lt;$F26+($G26*$I26)),"➤",""),"")</f>
        <v/>
      </c>
      <c r="DA26" s="76" t="str">
        <f aca="false">IF($I26&gt;0%,IF(AND(DA$16&gt;=$F26,DA$16&lt;$F26+($G26*$I26)),"➤",""),"")</f>
        <v/>
      </c>
      <c r="DB26" s="76" t="str">
        <f aca="false">IF($I26&gt;0%,IF(AND(DB$16&gt;=$F26,DB$16&lt;$F26+($G26*$I26)),"➤",""),"")</f>
        <v/>
      </c>
      <c r="DC26" s="76" t="str">
        <f aca="false">IF($I26&gt;0%,IF(AND(DC$16&gt;=$F26,DC$16&lt;$F26+($G26*$I26)),"➤",""),"")</f>
        <v/>
      </c>
      <c r="DD26" s="76" t="str">
        <f aca="false">IF($I26&gt;0%,IF(AND(DD$16&gt;=$F26,DD$16&lt;$F26+($G26*$I26)),"➤",""),"")</f>
        <v/>
      </c>
      <c r="DE26" s="76" t="str">
        <f aca="false">IF($I26&gt;0%,IF(AND(DE$16&gt;=$F26,DE$16&lt;$F26+($G26*$I26)),"➤",""),"")</f>
        <v/>
      </c>
      <c r="DF26" s="76" t="str">
        <f aca="false">IF($I26&gt;0%,IF(AND(DF$16&gt;=$F26,DF$16&lt;$F26+($G26*$I26)),"➤",""),"")</f>
        <v/>
      </c>
      <c r="DG26" s="76" t="str">
        <f aca="false">IF($I26&gt;0%,IF(AND(DG$16&gt;=$F26,DG$16&lt;$F26+($G26*$I26)),"➤",""),"")</f>
        <v/>
      </c>
      <c r="DH26" s="76" t="str">
        <f aca="false">IF($I26&gt;0%,IF(AND(DH$16&gt;=$F26,DH$16&lt;$F26+($G26*$I26)),"➤",""),"")</f>
        <v/>
      </c>
      <c r="DI26" s="76" t="str">
        <f aca="false">IF($I26&gt;0%,IF(AND(DI$16&gt;=$F26,DI$16&lt;$F26+($G26*$I26)),"➤",""),"")</f>
        <v/>
      </c>
      <c r="DJ26" s="76" t="str">
        <f aca="false">IF($I26&gt;0%,IF(AND(DJ$16&gt;=$F26,DJ$16&lt;$F26+($G26*$I26)),"➤",""),"")</f>
        <v/>
      </c>
      <c r="DK26" s="76" t="str">
        <f aca="false">IF($I26&gt;0%,IF(AND(DK$16&gt;=$F26,DK$16&lt;$F26+($G26*$I26)),"➤",""),"")</f>
        <v/>
      </c>
      <c r="DL26" s="76" t="str">
        <f aca="false">IF($I26&gt;0%,IF(AND(DL$16&gt;=$F26,DL$16&lt;$F26+($G26*$I26)),"➤",""),"")</f>
        <v/>
      </c>
      <c r="DM26" s="76" t="str">
        <f aca="false">IF($I26&gt;0%,IF(AND(DM$16&gt;=$F26,DM$16&lt;$F26+($G26*$I26)),"➤",""),"")</f>
        <v/>
      </c>
      <c r="DN26" s="76" t="str">
        <f aca="false">IF($I26&gt;0%,IF(AND(DN$16&gt;=$F26,DN$16&lt;$F26+($G26*$I26)),"➤",""),"")</f>
        <v/>
      </c>
      <c r="DO26" s="76" t="str">
        <f aca="false">IF($I26&gt;0%,IF(AND(DO$16&gt;=$F26,DO$16&lt;$F26+($G26*$I26)),"➤",""),"")</f>
        <v/>
      </c>
      <c r="DP26" s="76" t="str">
        <f aca="false">IF($I26&gt;0%,IF(AND(DP$16&gt;=$F26,DP$16&lt;$F26+($G26*$I26)),"➤",""),"")</f>
        <v/>
      </c>
      <c r="DQ26" s="76" t="str">
        <f aca="false">IF($I26&gt;0%,IF(AND(DQ$16&gt;=$F26,DQ$16&lt;$F26+($G26*$I26)),"➤",""),"")</f>
        <v/>
      </c>
      <c r="DR26" s="76" t="str">
        <f aca="false">IF($I26&gt;0%,IF(AND(DR$16&gt;=$F26,DR$16&lt;$F26+($G26*$I26)),"➤",""),"")</f>
        <v/>
      </c>
      <c r="DS26" s="76" t="str">
        <f aca="false">IF($I26&gt;0%,IF(AND(DS$16&gt;=$F26,DS$16&lt;$F26+($G26*$I26)),"➤",""),"")</f>
        <v/>
      </c>
      <c r="DT26" s="76" t="str">
        <f aca="false">IF($I26&gt;0%,IF(AND(DT$16&gt;=$F26,DT$16&lt;$F26+($G26*$I26)),"➤",""),"")</f>
        <v/>
      </c>
      <c r="DU26" s="76" t="str">
        <f aca="false">IF($I26&gt;0%,IF(AND(DU$16&gt;=$F26,DU$16&lt;$F26+($G26*$I26)),"➤",""),"")</f>
        <v/>
      </c>
      <c r="DV26" s="76" t="str">
        <f aca="false">IF($I26&gt;0%,IF(AND(DV$16&gt;=$F26,DV$16&lt;$F26+($G26*$I26)),"➤",""),"")</f>
        <v/>
      </c>
      <c r="DW26" s="76" t="str">
        <f aca="false">IF($I26&gt;0%,IF(AND(DW$16&gt;=$F26,DW$16&lt;$F26+($G26*$I26)),"➤",""),"")</f>
        <v/>
      </c>
      <c r="DX26" s="76" t="str">
        <f aca="false">IF($I26&gt;0%,IF(AND(DX$16&gt;=$F26,DX$16&lt;$F26+($G26*$I26)),"➤",""),"")</f>
        <v/>
      </c>
      <c r="DY26" s="76" t="str">
        <f aca="false">IF($I26&gt;0%,IF(AND(DY$16&gt;=$F26,DY$16&lt;$F26+($G26*$I26)),"➤",""),"")</f>
        <v/>
      </c>
      <c r="DZ26" s="76" t="str">
        <f aca="false">IF($I26&gt;0%,IF(AND(DZ$16&gt;=$F26,DZ$16&lt;$F26+($G26*$I26)),"➤",""),"")</f>
        <v/>
      </c>
      <c r="EA26" s="76" t="str">
        <f aca="false">IF($I26&gt;0%,IF(AND(EA$16&gt;=$F26,EA$16&lt;$F26+($G26*$I26)),"➤",""),"")</f>
        <v/>
      </c>
      <c r="EB26" s="76" t="str">
        <f aca="false">IF($I26&gt;0%,IF(AND(EB$16&gt;=$F26,EB$16&lt;$F26+($G26*$I26)),"➤",""),"")</f>
        <v/>
      </c>
      <c r="EC26" s="76" t="str">
        <f aca="false">IF($I26&gt;0%,IF(AND(EC$16&gt;=$F26,EC$16&lt;$F26+($G26*$I26)),"➤",""),"")</f>
        <v/>
      </c>
      <c r="ED26" s="76" t="str">
        <f aca="false">IF($I26&gt;0%,IF(AND(ED$16&gt;=$F26,ED$16&lt;$F26+($G26*$I26)),"➤",""),"")</f>
        <v/>
      </c>
      <c r="EE26" s="76" t="str">
        <f aca="false">IF($I26&gt;0%,IF(AND(EE$16&gt;=$F26,EE$16&lt;$F26+($G26*$I26)),"➤",""),"")</f>
        <v/>
      </c>
      <c r="EF26" s="76" t="str">
        <f aca="false">IF($I26&gt;0%,IF(AND(EF$16&gt;=$F26,EF$16&lt;$F26+($G26*$I26)),"➤",""),"")</f>
        <v/>
      </c>
      <c r="EG26" s="76" t="str">
        <f aca="false">IF($I26&gt;0%,IF(AND(EG$16&gt;=$F26,EG$16&lt;$F26+($G26*$I26)),"➤",""),"")</f>
        <v/>
      </c>
      <c r="EH26" s="76" t="str">
        <f aca="false">IF($I26&gt;0%,IF(AND(EH$16&gt;=$F26,EH$16&lt;$F26+($G26*$I26)),"➤",""),"")</f>
        <v/>
      </c>
      <c r="EI26" s="76" t="str">
        <f aca="false">IF($I26&gt;0%,IF(AND(EI$16&gt;=$F26,EI$16&lt;$F26+($G26*$I26)),"➤",""),"")</f>
        <v/>
      </c>
      <c r="EJ26" s="76" t="str">
        <f aca="false">IF($I26&gt;0%,IF(AND(EJ$16&gt;=$F26,EJ$16&lt;$F26+($G26*$I26)),"➤",""),"")</f>
        <v/>
      </c>
      <c r="EK26" s="76" t="str">
        <f aca="false">IF($I26&gt;0%,IF(AND(EK$16&gt;=$F26,EK$16&lt;$F26+($G26*$I26)),"➤",""),"")</f>
        <v/>
      </c>
      <c r="EL26" s="76" t="str">
        <f aca="false">IF($I26&gt;0%,IF(AND(EL$16&gt;=$F26,EL$16&lt;$F26+($G26*$I26)),"➤",""),"")</f>
        <v/>
      </c>
      <c r="EM26" s="76" t="str">
        <f aca="false">IF($I26&gt;0%,IF(AND(EM$16&gt;=$F26,EM$16&lt;$F26+($G26*$I26)),"➤",""),"")</f>
        <v/>
      </c>
      <c r="EN26" s="76" t="str">
        <f aca="false">IF($I26&gt;0%,IF(AND(EN$16&gt;=$F26,EN$16&lt;$F26+($G26*$I26)),"➤",""),"")</f>
        <v/>
      </c>
      <c r="EO26" s="76" t="str">
        <f aca="false">IF($I26&gt;0%,IF(AND(EO$16&gt;=$F26,EO$16&lt;$F26+($G26*$I26)),"➤",""),"")</f>
        <v/>
      </c>
      <c r="EP26" s="76" t="str">
        <f aca="false">IF($I26&gt;0%,IF(AND(EP$16&gt;=$F26,EP$16&lt;$F26+($G26*$I26)),"➤",""),"")</f>
        <v/>
      </c>
      <c r="EQ26" s="76" t="str">
        <f aca="false">IF($I26&gt;0%,IF(AND(EQ$16&gt;=$F26,EQ$16&lt;$F26+($G26*$I26)),"➤",""),"")</f>
        <v/>
      </c>
      <c r="ER26" s="76" t="str">
        <f aca="false">IF($I26&gt;0%,IF(AND(ER$16&gt;=$F26,ER$16&lt;$F26+($G26*$I26)),"➤",""),"")</f>
        <v/>
      </c>
      <c r="ES26" s="76" t="str">
        <f aca="false">IF($I26&gt;0%,IF(AND(ES$16&gt;=$F26,ES$16&lt;$F26+($G26*$I26)),"➤",""),"")</f>
        <v/>
      </c>
      <c r="ET26" s="76" t="str">
        <f aca="false">IF($I26&gt;0%,IF(AND(ET$16&gt;=$F26,ET$16&lt;$F26+($G26*$I26)),"➤",""),"")</f>
        <v/>
      </c>
      <c r="EU26" s="76" t="str">
        <f aca="false">IF($I26&gt;0%,IF(AND(EU$16&gt;=$F26,EU$16&lt;$F26+($G26*$I26)),"➤",""),"")</f>
        <v/>
      </c>
      <c r="EV26" s="76" t="str">
        <f aca="false">IF($I26&gt;0%,IF(AND(EV$16&gt;=$F26,EV$16&lt;$F26+($G26*$I26)),"➤",""),"")</f>
        <v/>
      </c>
      <c r="EW26" s="76" t="str">
        <f aca="false">IF($I26&gt;0%,IF(AND(EW$16&gt;=$F26,EW$16&lt;$F26+($G26*$I26)),"➤",""),"")</f>
        <v/>
      </c>
      <c r="EX26" s="76" t="str">
        <f aca="false">IF($I26&gt;0%,IF(AND(EX$16&gt;=$F26,EX$16&lt;$F26+($G26*$I26)),"➤",""),"")</f>
        <v/>
      </c>
      <c r="EY26" s="76" t="str">
        <f aca="false">IF($I26&gt;0%,IF(AND(EY$16&gt;=$F26,EY$16&lt;$F26+($G26*$I26)),"➤",""),"")</f>
        <v/>
      </c>
      <c r="EZ26" s="76" t="str">
        <f aca="false">IF($I26&gt;0%,IF(AND(EZ$16&gt;=$F26,EZ$16&lt;$F26+($G26*$I26)),"➤",""),"")</f>
        <v/>
      </c>
      <c r="FA26" s="76" t="str">
        <f aca="false">IF($I26&gt;0%,IF(AND(FA$16&gt;=$F26,FA$16&lt;$F26+($G26*$I26)),"➤",""),"")</f>
        <v/>
      </c>
      <c r="FB26" s="76" t="str">
        <f aca="false">IF($I26&gt;0%,IF(AND(FB$16&gt;=$F26,FB$16&lt;$F26+($G26*$I26)),"➤",""),"")</f>
        <v/>
      </c>
      <c r="FC26" s="76" t="str">
        <f aca="false">IF($I26&gt;0%,IF(AND(FC$16&gt;=$F26,FC$16&lt;$F26+($G26*$I26)),"➤",""),"")</f>
        <v/>
      </c>
      <c r="FD26" s="76" t="str">
        <f aca="false">IF($I26&gt;0%,IF(AND(FD$16&gt;=$F26,FD$16&lt;$F26+($G26*$I26)),"➤",""),"")</f>
        <v/>
      </c>
      <c r="FE26" s="76" t="str">
        <f aca="false">IF($I26&gt;0%,IF(AND(FE$16&gt;=$F26,FE$16&lt;$F26+($G26*$I26)),"➤",""),"")</f>
        <v/>
      </c>
      <c r="FF26" s="76" t="str">
        <f aca="false">IF($I26&gt;0%,IF(AND(FF$16&gt;=$F26,FF$16&lt;$F26+($G26*$I26)),"➤",""),"")</f>
        <v/>
      </c>
      <c r="FG26" s="76" t="str">
        <f aca="false">IF($I26&gt;0%,IF(AND(FG$16&gt;=$F26,FG$16&lt;$F26+($G26*$I26)),"➤",""),"")</f>
        <v/>
      </c>
      <c r="FH26" s="76" t="str">
        <f aca="false">IF($I26&gt;0%,IF(AND(FH$16&gt;=$F26,FH$16&lt;$F26+($G26*$I26)),"➤",""),"")</f>
        <v/>
      </c>
      <c r="FI26" s="76" t="str">
        <f aca="false">IF($I26&gt;0%,IF(AND(FI$16&gt;=$F26,FI$16&lt;$F26+($G26*$I26)),"➤",""),"")</f>
        <v/>
      </c>
      <c r="FJ26" s="76" t="str">
        <f aca="false">IF($I26&gt;0%,IF(AND(FJ$16&gt;=$F26,FJ$16&lt;$F26+($G26*$I26)),"➤",""),"")</f>
        <v/>
      </c>
      <c r="FK26" s="76" t="str">
        <f aca="false">IF($I26&gt;0%,IF(AND(FK$16&gt;=$F26,FK$16&lt;$F26+($G26*$I26)),"➤",""),"")</f>
        <v/>
      </c>
      <c r="FL26" s="76" t="str">
        <f aca="false">IF($I26&gt;0%,IF(AND(FL$16&gt;=$F26,FL$16&lt;$F26+($G26*$I26)),"➤",""),"")</f>
        <v/>
      </c>
      <c r="FM26" s="76" t="str">
        <f aca="false">IF($I26&gt;0%,IF(AND(FM$16&gt;=$F26,FM$16&lt;$F26+($G26*$I26)),"➤",""),"")</f>
        <v/>
      </c>
      <c r="FN26" s="76" t="str">
        <f aca="false">IF($I26&gt;0%,IF(AND(FN$16&gt;=$F26,FN$16&lt;$F26+($G26*$I26)),"➤",""),"")</f>
        <v/>
      </c>
      <c r="FO26" s="76" t="str">
        <f aca="false">IF($I26&gt;0%,IF(AND(FO$16&gt;=$F26,FO$16&lt;$F26+($G26*$I26)),"➤",""),"")</f>
        <v/>
      </c>
      <c r="FP26" s="76" t="str">
        <f aca="false">IF($I26&gt;0%,IF(AND(FP$16&gt;=$F26,FP$16&lt;$F26+($G26*$I26)),"➤",""),"")</f>
        <v/>
      </c>
      <c r="FQ26" s="76" t="str">
        <f aca="false">IF($I26&gt;0%,IF(AND(FQ$16&gt;=$F26,FQ$16&lt;$F26+($G26*$I26)),"➤",""),"")</f>
        <v/>
      </c>
      <c r="FR26" s="76" t="str">
        <f aca="false">IF($I26&gt;0%,IF(AND(FR$16&gt;=$F26,FR$16&lt;$F26+($G26*$I26)),"➤",""),"")</f>
        <v/>
      </c>
      <c r="FS26" s="76" t="str">
        <f aca="false">IF($I26&gt;0%,IF(AND(FS$16&gt;=$F26,FS$16&lt;$F26+($G26*$I26)),"➤",""),"")</f>
        <v/>
      </c>
      <c r="FT26" s="76" t="str">
        <f aca="false">IF($I26&gt;0%,IF(AND(FT$16&gt;=$F26,FT$16&lt;$F26+($G26*$I26)),"➤",""),"")</f>
        <v/>
      </c>
      <c r="FU26" s="76" t="str">
        <f aca="false">IF($I26&gt;0%,IF(AND(FU$16&gt;=$F26,FU$16&lt;$F26+($G26*$I26)),"➤",""),"")</f>
        <v/>
      </c>
      <c r="FV26" s="76" t="str">
        <f aca="false">IF($I26&gt;0%,IF(AND(FV$16&gt;=$F26,FV$16&lt;$F26+($G26*$I26)),"➤",""),"")</f>
        <v/>
      </c>
      <c r="FW26" s="76" t="str">
        <f aca="false">IF($I26&gt;0%,IF(AND(FW$16&gt;=$F26,FW$16&lt;$F26+($G26*$I26)),"➤",""),"")</f>
        <v/>
      </c>
      <c r="FX26" s="76" t="str">
        <f aca="false">IF($I26&gt;0%,IF(AND(FX$16&gt;=$F26,FX$16&lt;$F26+($G26*$I26)),"➤",""),"")</f>
        <v/>
      </c>
      <c r="FY26" s="76" t="str">
        <f aca="false">IF($I26&gt;0%,IF(AND(FY$16&gt;=$F26,FY$16&lt;$F26+($G26*$I26)),"➤",""),"")</f>
        <v/>
      </c>
      <c r="FZ26" s="76" t="str">
        <f aca="false">IF($I26&gt;0%,IF(AND(FZ$16&gt;=$F26,FZ$16&lt;$F26+($G26*$I26)),"➤",""),"")</f>
        <v/>
      </c>
      <c r="GA26" s="76" t="str">
        <f aca="false">IF($I26&gt;0%,IF(AND(GA$16&gt;=$F26,GA$16&lt;$F26+($G26*$I26)),"➤",""),"")</f>
        <v/>
      </c>
      <c r="GB26" s="76" t="str">
        <f aca="false">IF($I26&gt;0%,IF(AND(GB$16&gt;=$F26,GB$16&lt;$F26+($G26*$I26)),"➤",""),"")</f>
        <v/>
      </c>
      <c r="GC26" s="76" t="str">
        <f aca="false">IF($I26&gt;0%,IF(AND(GC$16&gt;=$F26,GC$16&lt;$F26+($G26*$I26)),"➤",""),"")</f>
        <v/>
      </c>
      <c r="GD26" s="76" t="str">
        <f aca="false">IF($I26&gt;0%,IF(AND(GD$16&gt;=$F26,GD$16&lt;$F26+($G26*$I26)),"➤",""),"")</f>
        <v/>
      </c>
      <c r="GE26" s="76" t="str">
        <f aca="false">IF($I26&gt;0%,IF(AND(GE$16&gt;=$F26,GE$16&lt;$F26+($G26*$I26)),"➤",""),"")</f>
        <v/>
      </c>
      <c r="GF26" s="76" t="str">
        <f aca="false">IF($I26&gt;0%,IF(AND(GF$16&gt;=$F26,GF$16&lt;$F26+($G26*$I26)),"➤",""),"")</f>
        <v/>
      </c>
      <c r="GG26" s="76" t="str">
        <f aca="false">IF($I26&gt;0%,IF(AND(GG$16&gt;=$F26,GG$16&lt;$F26+($G26*$I26)),"➤",""),"")</f>
        <v/>
      </c>
      <c r="GH26" s="76" t="str">
        <f aca="false">IF($I26&gt;0%,IF(AND(GH$16&gt;=$F26,GH$16&lt;$F26+($G26*$I26)),"➤",""),"")</f>
        <v/>
      </c>
      <c r="GI26" s="76" t="str">
        <f aca="false">IF($I26&gt;0%,IF(AND(GI$16&gt;=$F26,GI$16&lt;$F26+($G26*$I26)),"➤",""),"")</f>
        <v/>
      </c>
      <c r="GJ26" s="76" t="str">
        <f aca="false">IF($I26&gt;0%,IF(AND(GJ$16&gt;=$F26,GJ$16&lt;$F26+($G26*$I26)),"➤",""),"")</f>
        <v/>
      </c>
      <c r="GK26" s="76" t="str">
        <f aca="false">IF($I26&gt;0%,IF(AND(GK$16&gt;=$F26,GK$16&lt;$F26+($G26*$I26)),"➤",""),"")</f>
        <v/>
      </c>
      <c r="GL26" s="76" t="str">
        <f aca="false">IF($I26&gt;0%,IF(AND(GL$16&gt;=$F26,GL$16&lt;$F26+($G26*$I26)),"➤",""),"")</f>
        <v/>
      </c>
      <c r="GM26" s="76" t="str">
        <f aca="false">IF($I26&gt;0%,IF(AND(GM$16&gt;=$F26,GM$16&lt;$F26+($G26*$I26)),"➤",""),"")</f>
        <v/>
      </c>
      <c r="GN26" s="76" t="str">
        <f aca="false">IF($I26&gt;0%,IF(AND(GN$16&gt;=$F26,GN$16&lt;$F26+($G26*$I26)),"➤",""),"")</f>
        <v/>
      </c>
      <c r="GO26" s="76" t="str">
        <f aca="false">IF($I26&gt;0%,IF(AND(GO$16&gt;=$F26,GO$16&lt;$F26+($G26*$I26)),"➤",""),"")</f>
        <v/>
      </c>
      <c r="GP26" s="76" t="str">
        <f aca="false">IF($I26&gt;0%,IF(AND(GP$16&gt;=$F26,GP$16&lt;$F26+($G26*$I26)),"➤",""),"")</f>
        <v/>
      </c>
      <c r="GQ26" s="76" t="str">
        <f aca="false">IF($I26&gt;0%,IF(AND(GQ$16&gt;=$F26,GQ$16&lt;$F26+($G26*$I26)),"➤",""),"")</f>
        <v/>
      </c>
      <c r="GR26" s="76" t="str">
        <f aca="false">IF($I26&gt;0%,IF(AND(GR$16&gt;=$F26,GR$16&lt;$F26+($G26*$I26)),"➤",""),"")</f>
        <v/>
      </c>
      <c r="GS26" s="76" t="str">
        <f aca="false">IF($I26&gt;0%,IF(AND(GS$16&gt;=$F26,GS$16&lt;$F26+($G26*$I26)),"➤",""),"")</f>
        <v/>
      </c>
      <c r="GT26" s="76" t="str">
        <f aca="false">IF($I26&gt;0%,IF(AND(GT$16&gt;=$F26,GT$16&lt;$F26+($G26*$I26)),"➤",""),"")</f>
        <v/>
      </c>
      <c r="GU26" s="76" t="str">
        <f aca="false">IF($I26&gt;0%,IF(AND(GU$16&gt;=$F26,GU$16&lt;$F26+($G26*$I26)),"➤",""),"")</f>
        <v/>
      </c>
      <c r="GV26" s="76" t="str">
        <f aca="false">IF($I26&gt;0%,IF(AND(GV$16&gt;=$F26,GV$16&lt;$F26+($G26*$I26)),"➤",""),"")</f>
        <v/>
      </c>
      <c r="GW26" s="76" t="str">
        <f aca="false">IF($I26&gt;0%,IF(AND(GW$16&gt;=$F26,GW$16&lt;$F26+($G26*$I26)),"➤",""),"")</f>
        <v/>
      </c>
      <c r="GX26" s="76" t="str">
        <f aca="false">IF($I26&gt;0%,IF(AND(GX$16&gt;=$F26,GX$16&lt;$F26+($G26*$I26)),"➤",""),"")</f>
        <v/>
      </c>
      <c r="GY26" s="76" t="str">
        <f aca="false">IF($I26&gt;0%,IF(AND(GY$16&gt;=$F26,GY$16&lt;$F26+($G26*$I26)),"➤",""),"")</f>
        <v/>
      </c>
      <c r="GZ26" s="76" t="str">
        <f aca="false">IF($I26&gt;0%,IF(AND(GZ$16&gt;=$F26,GZ$16&lt;$F26+($G26*$I26)),"➤",""),"")</f>
        <v/>
      </c>
      <c r="HA26" s="76" t="str">
        <f aca="false">IF($I26&gt;0%,IF(AND(HA$16&gt;=$F26,HA$16&lt;$F26+($G26*$I26)),"➤",""),"")</f>
        <v/>
      </c>
      <c r="HB26" s="76" t="str">
        <f aca="false">IF($I26&gt;0%,IF(AND(HB$16&gt;=$F26,HB$16&lt;$F26+($G26*$I26)),"➤",""),"")</f>
        <v/>
      </c>
      <c r="HC26" s="76" t="str">
        <f aca="false">IF($I26&gt;0%,IF(AND(HC$16&gt;=$F26,HC$16&lt;$F26+($G26*$I26)),"➤",""),"")</f>
        <v/>
      </c>
      <c r="HD26" s="76" t="str">
        <f aca="false">IF($I26&gt;0%,IF(AND(HD$16&gt;=$F26,HD$16&lt;$F26+($G26*$I26)),"➤",""),"")</f>
        <v/>
      </c>
      <c r="HE26" s="76" t="str">
        <f aca="false">IF($I26&gt;0%,IF(AND(HE$16&gt;=$F26,HE$16&lt;$F26+($G26*$I26)),"➤",""),"")</f>
        <v/>
      </c>
      <c r="HF26" s="76" t="str">
        <f aca="false">IF($I26&gt;0%,IF(AND(HF$16&gt;=$F26,HF$16&lt;$F26+($G26*$I26)),"➤",""),"")</f>
        <v/>
      </c>
      <c r="HG26" s="76" t="str">
        <f aca="false">IF($I26&gt;0%,IF(AND(HG$16&gt;=$F26,HG$16&lt;$F26+($G26*$I26)),"➤",""),"")</f>
        <v/>
      </c>
      <c r="HH26" s="76" t="str">
        <f aca="false">IF($I26&gt;0%,IF(AND(HH$16&gt;=$F26,HH$16&lt;$F26+($G26*$I26)),"➤",""),"")</f>
        <v/>
      </c>
      <c r="HI26" s="76" t="str">
        <f aca="false">IF($I26&gt;0%,IF(AND(HI$16&gt;=$F26,HI$16&lt;$F26+($G26*$I26)),"➤",""),"")</f>
        <v/>
      </c>
      <c r="HJ26" s="76" t="str">
        <f aca="false">IF($I26&gt;0%,IF(AND(HJ$16&gt;=$F26,HJ$16&lt;$F26+($G26*$I26)),"➤",""),"")</f>
        <v/>
      </c>
      <c r="HK26" s="76" t="str">
        <f aca="false">IF($I26&gt;0%,IF(AND(HK$16&gt;=$F26,HK$16&lt;$F26+($G26*$I26)),"➤",""),"")</f>
        <v/>
      </c>
      <c r="HL26" s="76" t="str">
        <f aca="false">IF($I26&gt;0%,IF(AND(HL$16&gt;=$F26,HL$16&lt;$F26+($G26*$I26)),"➤",""),"")</f>
        <v/>
      </c>
      <c r="HM26" s="76" t="str">
        <f aca="false">IF($I26&gt;0%,IF(AND(HM$16&gt;=$F26,HM$16&lt;$F26+($G26*$I26)),"➤",""),"")</f>
        <v/>
      </c>
      <c r="HN26" s="76" t="str">
        <f aca="false">IF($I26&gt;0%,IF(AND(HN$16&gt;=$F26,HN$16&lt;$F26+($G26*$I26)),"➤",""),"")</f>
        <v/>
      </c>
      <c r="HO26" s="76" t="str">
        <f aca="false">IF($I26&gt;0%,IF(AND(HO$16&gt;=$F26,HO$16&lt;$F26+($G26*$I26)),"➤",""),"")</f>
        <v/>
      </c>
      <c r="HP26" s="76" t="str">
        <f aca="false">IF($I26&gt;0%,IF(AND(HP$16&gt;=$F26,HP$16&lt;$F26+($G26*$I26)),"➤",""),"")</f>
        <v/>
      </c>
      <c r="HQ26" s="76" t="str">
        <f aca="false">IF($I26&gt;0%,IF(AND(HQ$16&gt;=$F26,HQ$16&lt;$F26+($G26*$I26)),"➤",""),"")</f>
        <v/>
      </c>
      <c r="HR26" s="76" t="str">
        <f aca="false">IF($I26&gt;0%,IF(AND(HR$16&gt;=$F26,HR$16&lt;$F26+($G26*$I26)),"➤",""),"")</f>
        <v/>
      </c>
      <c r="HS26" s="76" t="str">
        <f aca="false">IF($I26&gt;0%,IF(AND(HS$16&gt;=$F26,HS$16&lt;$F26+($G26*$I26)),"➤",""),"")</f>
        <v/>
      </c>
      <c r="HT26" s="76" t="str">
        <f aca="false">IF($I26&gt;0%,IF(AND(HT$16&gt;=$F26,HT$16&lt;$F26+($G26*$I26)),"➤",""),"")</f>
        <v/>
      </c>
      <c r="HU26" s="76" t="str">
        <f aca="false">IF($I26&gt;0%,IF(AND(HU$16&gt;=$F26,HU$16&lt;$F26+($G26*$I26)),"➤",""),"")</f>
        <v/>
      </c>
      <c r="HV26" s="76" t="str">
        <f aca="false">IF($I26&gt;0%,IF(AND(HV$16&gt;=$F26,HV$16&lt;$F26+($G26*$I26)),"➤",""),"")</f>
        <v/>
      </c>
      <c r="HW26" s="76" t="str">
        <f aca="false">IF($I26&gt;0%,IF(AND(HW$16&gt;=$F26,HW$16&lt;$F26+($G26*$I26)),"➤",""),"")</f>
        <v/>
      </c>
      <c r="HX26" s="76" t="str">
        <f aca="false">IF($I26&gt;0%,IF(AND(HX$16&gt;=$F26,HX$16&lt;$F26+($G26*$I26)),"➤",""),"")</f>
        <v/>
      </c>
      <c r="HY26" s="76" t="str">
        <f aca="false">IF($I26&gt;0%,IF(AND(HY$16&gt;=$F26,HY$16&lt;$F26+($G26*$I26)),"➤",""),"")</f>
        <v/>
      </c>
      <c r="HZ26" s="76" t="str">
        <f aca="false">IF($I26&gt;0%,IF(AND(HZ$16&gt;=$F26,HZ$16&lt;$F26+($G26*$I26)),"➤",""),"")</f>
        <v/>
      </c>
      <c r="IA26" s="76" t="str">
        <f aca="false">IF($I26&gt;0%,IF(AND(IA$16&gt;=$F26,IA$16&lt;$F26+($G26*$I26)),"➤",""),"")</f>
        <v/>
      </c>
      <c r="IB26" s="76" t="str">
        <f aca="false">IF($I26&gt;0%,IF(AND(IB$16&gt;=$F26,IB$16&lt;$F26+($G26*$I26)),"➤",""),"")</f>
        <v/>
      </c>
      <c r="IC26" s="76" t="str">
        <f aca="false">IF($I26&gt;0%,IF(AND(IC$16&gt;=$F26,IC$16&lt;$F26+($G26*$I26)),"➤",""),"")</f>
        <v/>
      </c>
      <c r="ID26" s="76" t="str">
        <f aca="false">IF($I26&gt;0%,IF(AND(ID$16&gt;=$F26,ID$16&lt;$F26+($G26*$I26)),"➤",""),"")</f>
        <v/>
      </c>
      <c r="IE26" s="76" t="str">
        <f aca="false">IF($I26&gt;0%,IF(AND(IE$16&gt;=$F26,IE$16&lt;$F26+($G26*$I26)),"➤",""),"")</f>
        <v/>
      </c>
      <c r="IF26" s="76" t="str">
        <f aca="false">IF($I26&gt;0%,IF(AND(IF$16&gt;=$F26,IF$16&lt;$F26+($G26*$I26)),"➤",""),"")</f>
        <v/>
      </c>
      <c r="IG26" s="76" t="str">
        <f aca="false">IF($I26&gt;0%,IF(AND(IG$16&gt;=$F26,IG$16&lt;$F26+($G26*$I26)),"➤",""),"")</f>
        <v/>
      </c>
      <c r="IH26" s="76" t="str">
        <f aca="false">IF($I26&gt;0%,IF(AND(IH$16&gt;=$F26,IH$16&lt;$F26+($G26*$I26)),"➤",""),"")</f>
        <v/>
      </c>
      <c r="II26" s="76" t="str">
        <f aca="false">IF($I26&gt;0%,IF(AND(II$16&gt;=$F26,II$16&lt;$F26+($G26*$I26)),"➤",""),"")</f>
        <v/>
      </c>
      <c r="IJ26" s="76" t="str">
        <f aca="false">IF($I26&gt;0%,IF(AND(IJ$16&gt;=$F26,IJ$16&lt;$F26+($G26*$I26)),"➤",""),"")</f>
        <v/>
      </c>
      <c r="IK26" s="76" t="str">
        <f aca="false">IF($I26&gt;0%,IF(AND(IK$16&gt;=$F26,IK$16&lt;$F26+($G26*$I26)),"➤",""),"")</f>
        <v/>
      </c>
      <c r="IL26" s="76" t="str">
        <f aca="false">IF($I26&gt;0%,IF(AND(IL$16&gt;=$F26,IL$16&lt;$F26+($G26*$I26)),"➤",""),"")</f>
        <v/>
      </c>
      <c r="IM26" s="76" t="str">
        <f aca="false">IF($I26&gt;0%,IF(AND(IM$16&gt;=$F26,IM$16&lt;$F26+($G26*$I26)),"➤",""),"")</f>
        <v/>
      </c>
      <c r="IN26" s="76" t="str">
        <f aca="false">IF($I26&gt;0%,IF(AND(IN$16&gt;=$F26,IN$16&lt;$F26+($G26*$I26)),"➤",""),"")</f>
        <v/>
      </c>
      <c r="IO26" s="76" t="str">
        <f aca="false">IF($I26&gt;0%,IF(AND(IO$16&gt;=$F26,IO$16&lt;$F26+($G26*$I26)),"➤",""),"")</f>
        <v/>
      </c>
      <c r="IP26" s="76" t="str">
        <f aca="false">IF($I26&gt;0%,IF(AND(IP$16&gt;=$F26,IP$16&lt;$F26+($G26*$I26)),"➤",""),"")</f>
        <v/>
      </c>
      <c r="IQ26" s="76" t="str">
        <f aca="false">IF($I26&gt;0%,IF(AND(IQ$16&gt;=$F26,IQ$16&lt;$F26+($G26*$I26)),"➤",""),"")</f>
        <v/>
      </c>
      <c r="IR26" s="76" t="str">
        <f aca="false">IF($I26&gt;0%,IF(AND(IR$16&gt;=$F26,IR$16&lt;$F26+($G26*$I26)),"➤",""),"")</f>
        <v/>
      </c>
      <c r="IS26" s="76" t="str">
        <f aca="false">IF($I26&gt;0%,IF(AND(IS$16&gt;=$F26,IS$16&lt;$F26+($G26*$I26)),"➤",""),"")</f>
        <v/>
      </c>
      <c r="IT26" s="76" t="str">
        <f aca="false">IF($I26&gt;0%,IF(AND(IT$16&gt;=$F26,IT$16&lt;$F26+($G26*$I26)),"➤",""),"")</f>
        <v/>
      </c>
      <c r="IU26" s="76" t="str">
        <f aca="false">IF($I26&gt;0%,IF(AND(IU$16&gt;=$F26,IU$16&lt;$F26+($G26*$I26)),"➤",""),"")</f>
        <v/>
      </c>
      <c r="IV26" s="76" t="str">
        <f aca="false">IF($I26&gt;0%,IF(AND(IV$16&gt;=$F26,IV$16&lt;$F26+($G26*$I26)),"➤",""),"")</f>
        <v/>
      </c>
      <c r="IW26" s="76" t="str">
        <f aca="false">IF($I26&gt;0%,IF(AND(IW$16&gt;=$F26,IW$16&lt;$F26+($G26*$I26)),"➤",""),"")</f>
        <v/>
      </c>
      <c r="IX26" s="76" t="str">
        <f aca="false">IF($I26&gt;0%,IF(AND(IX$16&gt;=$F26,IX$16&lt;$F26+($G26*$I26)),"➤",""),"")</f>
        <v/>
      </c>
      <c r="IY26" s="76" t="str">
        <f aca="false">IF($I26&gt;0%,IF(AND(IY$16&gt;=$F26,IY$16&lt;$F26+($G26*$I26)),"➤",""),"")</f>
        <v/>
      </c>
      <c r="IZ26" s="76" t="str">
        <f aca="false">IF($I26&gt;0%,IF(AND(IZ$16&gt;=$F26,IZ$16&lt;$F26+($G26*$I26)),"➤",""),"")</f>
        <v/>
      </c>
      <c r="JA26" s="76" t="str">
        <f aca="false">IF($I26&gt;0%,IF(AND(JA$16&gt;=$F26,JA$16&lt;$F26+($G26*$I26)),"➤",""),"")</f>
        <v/>
      </c>
      <c r="JB26" s="76" t="str">
        <f aca="false">IF($I26&gt;0%,IF(AND(JB$16&gt;=$F26,JB$16&lt;$F26+($G26*$I26)),"➤",""),"")</f>
        <v/>
      </c>
      <c r="JC26" s="76" t="str">
        <f aca="false">IF($I26&gt;0%,IF(AND(JC$16&gt;=$F26,JC$16&lt;$F26+($G26*$I26)),"➤",""),"")</f>
        <v/>
      </c>
      <c r="JD26" s="76" t="str">
        <f aca="false">IF($I26&gt;0%,IF(AND(JD$16&gt;=$F26,JD$16&lt;$F26+($G26*$I26)),"➤",""),"")</f>
        <v/>
      </c>
      <c r="JE26" s="76" t="str">
        <f aca="false">IF($I26&gt;0%,IF(AND(JE$16&gt;=$F26,JE$16&lt;$F26+($G26*$I26)),"➤",""),"")</f>
        <v/>
      </c>
      <c r="JF26" s="76" t="str">
        <f aca="false">IF($I26&gt;0%,IF(AND(JF$16&gt;=$F26,JF$16&lt;$F26+($G26*$I26)),"➤",""),"")</f>
        <v/>
      </c>
      <c r="JG26" s="76" t="str">
        <f aca="false">IF($I26&gt;0%,IF(AND(JG$16&gt;=$F26,JG$16&lt;$F26+($G26*$I26)),"➤",""),"")</f>
        <v/>
      </c>
      <c r="JH26" s="76" t="str">
        <f aca="false">IF($I26&gt;0%,IF(AND(JH$16&gt;=$F26,JH$16&lt;$F26+($G26*$I26)),"➤",""),"")</f>
        <v/>
      </c>
      <c r="JI26" s="76" t="str">
        <f aca="false">IF($I26&gt;0%,IF(AND(JI$16&gt;=$F26,JI$16&lt;$F26+($G26*$I26)),"➤",""),"")</f>
        <v/>
      </c>
      <c r="JJ26" s="76" t="str">
        <f aca="false">IF($I26&gt;0%,IF(AND(JJ$16&gt;=$F26,JJ$16&lt;$F26+($G26*$I26)),"➤",""),"")</f>
        <v/>
      </c>
      <c r="JK26" s="76" t="str">
        <f aca="false">IF($I26&gt;0%,IF(AND(JK$16&gt;=$F26,JK$16&lt;$F26+($G26*$I26)),"➤",""),"")</f>
        <v/>
      </c>
      <c r="JL26" s="76" t="str">
        <f aca="false">IF($I26&gt;0%,IF(AND(JL$16&gt;=$F26,JL$16&lt;$F26+($G26*$I26)),"➤",""),"")</f>
        <v/>
      </c>
      <c r="JM26" s="76" t="str">
        <f aca="false">IF($I26&gt;0%,IF(AND(JM$16&gt;=$F26,JM$16&lt;$F26+($G26*$I26)),"➤",""),"")</f>
        <v/>
      </c>
      <c r="JN26" s="76" t="str">
        <f aca="false">IF($I26&gt;0%,IF(AND(JN$16&gt;=$F26,JN$16&lt;$F26+($G26*$I26)),"➤",""),"")</f>
        <v/>
      </c>
      <c r="JO26" s="76" t="str">
        <f aca="false">IF($I26&gt;0%,IF(AND(JO$16&gt;=$F26,JO$16&lt;$F26+($G26*$I26)),"➤",""),"")</f>
        <v/>
      </c>
      <c r="JP26" s="76" t="str">
        <f aca="false">IF($I26&gt;0%,IF(AND(JP$16&gt;=$F26,JP$16&lt;$F26+($G26*$I26)),"➤",""),"")</f>
        <v/>
      </c>
      <c r="JQ26" s="76" t="str">
        <f aca="false">IF($I26&gt;0%,IF(AND(JQ$16&gt;=$F26,JQ$16&lt;$F26+($G26*$I26)),"➤",""),"")</f>
        <v/>
      </c>
      <c r="JR26" s="76" t="str">
        <f aca="false">IF($I26&gt;0%,IF(AND(JR$16&gt;=$F26,JR$16&lt;$F26+($G26*$I26)),"➤",""),"")</f>
        <v/>
      </c>
      <c r="JS26" s="76" t="str">
        <f aca="false">IF($I26&gt;0%,IF(AND(JS$16&gt;=$F26,JS$16&lt;$F26+($G26*$I26)),"➤",""),"")</f>
        <v/>
      </c>
      <c r="JT26" s="76" t="str">
        <f aca="false">IF($I26&gt;0%,IF(AND(JT$16&gt;=$F26,JT$16&lt;$F26+($G26*$I26)),"➤",""),"")</f>
        <v/>
      </c>
      <c r="JU26" s="76" t="str">
        <f aca="false">IF($I26&gt;0%,IF(AND(JU$16&gt;=$F26,JU$16&lt;$F26+($G26*$I26)),"➤",""),"")</f>
        <v/>
      </c>
      <c r="JV26" s="76" t="str">
        <f aca="false">IF($I26&gt;0%,IF(AND(JV$16&gt;=$F26,JV$16&lt;$F26+($G26*$I26)),"➤",""),"")</f>
        <v/>
      </c>
      <c r="JW26" s="76" t="str">
        <f aca="false">IF($I26&gt;0%,IF(AND(JW$16&gt;=$F26,JW$16&lt;$F26+($G26*$I26)),"➤",""),"")</f>
        <v/>
      </c>
      <c r="JX26" s="76" t="str">
        <f aca="false">IF($I26&gt;0%,IF(AND(JX$16&gt;=$F26,JX$16&lt;$F26+($G26*$I26)),"➤",""),"")</f>
        <v/>
      </c>
      <c r="JY26" s="76" t="str">
        <f aca="false">IF($I26&gt;0%,IF(AND(JY$16&gt;=$F26,JY$16&lt;$F26+($G26*$I26)),"➤",""),"")</f>
        <v/>
      </c>
      <c r="JZ26" s="76" t="str">
        <f aca="false">IF($I26&gt;0%,IF(AND(JZ$16&gt;=$F26,JZ$16&lt;$F26+($G26*$I26)),"➤",""),"")</f>
        <v/>
      </c>
      <c r="KA26" s="76" t="str">
        <f aca="false">IF($I26&gt;0%,IF(AND(KA$16&gt;=$F26,KA$16&lt;$F26+($G26*$I26)),"➤",""),"")</f>
        <v/>
      </c>
      <c r="KB26" s="76" t="str">
        <f aca="false">IF($I26&gt;0%,IF(AND(KB$16&gt;=$F26,KB$16&lt;$F26+($G26*$I26)),"➤",""),"")</f>
        <v/>
      </c>
      <c r="KC26" s="76" t="str">
        <f aca="false">IF($I26&gt;0%,IF(AND(KC$16&gt;=$F26,KC$16&lt;$F26+($G26*$I26)),"➤",""),"")</f>
        <v/>
      </c>
      <c r="KD26" s="76" t="str">
        <f aca="false">IF($I26&gt;0%,IF(AND(KD$16&gt;=$F26,KD$16&lt;$F26+($G26*$I26)),"➤",""),"")</f>
        <v/>
      </c>
      <c r="KE26" s="76" t="str">
        <f aca="false">IF($I26&gt;0%,IF(AND(KE$16&gt;=$F26,KE$16&lt;$F26+($G26*$I26)),"➤",""),"")</f>
        <v/>
      </c>
      <c r="KF26" s="76" t="str">
        <f aca="false">IF($I26&gt;0%,IF(AND(KF$16&gt;=$F26,KF$16&lt;$F26+($G26*$I26)),"➤",""),"")</f>
        <v/>
      </c>
      <c r="KG26" s="76" t="str">
        <f aca="false">IF($I26&gt;0%,IF(AND(KG$16&gt;=$F26,KG$16&lt;$F26+($G26*$I26)),"➤",""),"")</f>
        <v/>
      </c>
      <c r="KH26" s="76" t="str">
        <f aca="false">IF($I26&gt;0%,IF(AND(KH$16&gt;=$F26,KH$16&lt;$F26+($G26*$I26)),"➤",""),"")</f>
        <v/>
      </c>
      <c r="KI26" s="76" t="str">
        <f aca="false">IF($I26&gt;0%,IF(AND(KI$16&gt;=$F26,KI$16&lt;$F26+($G26*$I26)),"➤",""),"")</f>
        <v/>
      </c>
      <c r="KJ26" s="76" t="str">
        <f aca="false">IF($I26&gt;0%,IF(AND(KJ$16&gt;=$F26,KJ$16&lt;$F26+($G26*$I26)),"➤",""),"")</f>
        <v/>
      </c>
      <c r="KK26" s="76" t="str">
        <f aca="false">IF($I26&gt;0%,IF(AND(KK$16&gt;=$F26,KK$16&lt;$F26+($G26*$I26)),"➤",""),"")</f>
        <v/>
      </c>
      <c r="KL26" s="76" t="str">
        <f aca="false">IF($I26&gt;0%,IF(AND(KL$16&gt;=$F26,KL$16&lt;$F26+($G26*$I26)),"➤",""),"")</f>
        <v/>
      </c>
      <c r="KM26" s="76" t="str">
        <f aca="false">IF($I26&gt;0%,IF(AND(KM$16&gt;=$F26,KM$16&lt;$F26+($G26*$I26)),"➤",""),"")</f>
        <v/>
      </c>
      <c r="KN26" s="76" t="str">
        <f aca="false">IF($I26&gt;0%,IF(AND(KN$16&gt;=$F26,KN$16&lt;$F26+($G26*$I26)),"➤",""),"")</f>
        <v/>
      </c>
      <c r="KO26" s="76" t="str">
        <f aca="false">IF($I26&gt;0%,IF(AND(KO$16&gt;=$F26,KO$16&lt;$F26+($G26*$I26)),"➤",""),"")</f>
        <v/>
      </c>
      <c r="KP26" s="76" t="str">
        <f aca="false">IF($I26&gt;0%,IF(AND(KP$16&gt;=$F26,KP$16&lt;$F26+($G26*$I26)),"➤",""),"")</f>
        <v/>
      </c>
      <c r="KQ26" s="76" t="str">
        <f aca="false">IF($I26&gt;0%,IF(AND(KQ$16&gt;=$F26,KQ$16&lt;$F26+($G26*$I26)),"➤",""),"")</f>
        <v/>
      </c>
      <c r="KR26" s="76" t="str">
        <f aca="false">IF($I26&gt;0%,IF(AND(KR$16&gt;=$F26,KR$16&lt;$F26+($G26*$I26)),"➤",""),"")</f>
        <v/>
      </c>
      <c r="KS26" s="76" t="str">
        <f aca="false">IF($I26&gt;0%,IF(AND(KS$16&gt;=$F26,KS$16&lt;$F26+($G26*$I26)),"➤",""),"")</f>
        <v/>
      </c>
      <c r="KT26" s="76" t="str">
        <f aca="false">IF($I26&gt;0%,IF(AND(KT$16&gt;=$F26,KT$16&lt;$F26+($G26*$I26)),"➤",""),"")</f>
        <v/>
      </c>
      <c r="KU26" s="76" t="str">
        <f aca="false">IF($I26&gt;0%,IF(AND(KU$16&gt;=$F26,KU$16&lt;$F26+($G26*$I26)),"➤",""),"")</f>
        <v/>
      </c>
      <c r="KV26" s="76" t="str">
        <f aca="false">IF($I26&gt;0%,IF(AND(KV$16&gt;=$F26,KV$16&lt;$F26+($G26*$I26)),"➤",""),"")</f>
        <v/>
      </c>
      <c r="KW26" s="76" t="str">
        <f aca="false">IF($I26&gt;0%,IF(AND(KW$16&gt;=$F26,KW$16&lt;$F26+($G26*$I26)),"➤",""),"")</f>
        <v/>
      </c>
      <c r="KX26" s="76" t="str">
        <f aca="false">IF($I26&gt;0%,IF(AND(KX$16&gt;=$F26,KX$16&lt;$F26+($G26*$I26)),"➤",""),"")</f>
        <v/>
      </c>
      <c r="KY26" s="76" t="str">
        <f aca="false">IF($I26&gt;0%,IF(AND(KY$16&gt;=$F26,KY$16&lt;$F26+($G26*$I26)),"➤",""),"")</f>
        <v/>
      </c>
      <c r="KZ26" s="76" t="str">
        <f aca="false">IF($I26&gt;0%,IF(AND(KZ$16&gt;=$F26,KZ$16&lt;$F26+($G26*$I26)),"➤",""),"")</f>
        <v/>
      </c>
      <c r="LA26" s="76" t="str">
        <f aca="false">IF($I26&gt;0%,IF(AND(LA$16&gt;=$F26,LA$16&lt;$F26+($G26*$I26)),"➤",""),"")</f>
        <v/>
      </c>
      <c r="LB26" s="76" t="str">
        <f aca="false">IF($I26&gt;0%,IF(AND(LB$16&gt;=$F26,LB$16&lt;$F26+($G26*$I26)),"➤",""),"")</f>
        <v/>
      </c>
      <c r="LC26" s="76" t="str">
        <f aca="false">IF($I26&gt;0%,IF(AND(LC$16&gt;=$F26,LC$16&lt;$F26+($G26*$I26)),"➤",""),"")</f>
        <v/>
      </c>
      <c r="LD26" s="76" t="str">
        <f aca="false">IF($I26&gt;0%,IF(AND(LD$16&gt;=$F26,LD$16&lt;$F26+($G26*$I26)),"➤",""),"")</f>
        <v/>
      </c>
      <c r="LE26" s="76" t="str">
        <f aca="false">IF($I26&gt;0%,IF(AND(LE$16&gt;=$F26,LE$16&lt;$F26+($G26*$I26)),"➤",""),"")</f>
        <v/>
      </c>
      <c r="LF26" s="76" t="str">
        <f aca="false">IF($I26&gt;0%,IF(AND(LF$16&gt;=$F26,LF$16&lt;$F26+($G26*$I26)),"➤",""),"")</f>
        <v/>
      </c>
      <c r="LG26" s="76" t="str">
        <f aca="false">IF($I26&gt;0%,IF(AND(LG$16&gt;=$F26,LG$16&lt;$F26+($G26*$I26)),"➤",""),"")</f>
        <v/>
      </c>
      <c r="LH26" s="76" t="str">
        <f aca="false">IF($I26&gt;0%,IF(AND(LH$16&gt;=$F26,LH$16&lt;$F26+($G26*$I26)),"➤",""),"")</f>
        <v/>
      </c>
      <c r="LI26" s="76" t="str">
        <f aca="false">IF($I26&gt;0%,IF(AND(LI$16&gt;=$F26,LI$16&lt;$F26+($G26*$I26)),"➤",""),"")</f>
        <v/>
      </c>
      <c r="LJ26" s="76" t="str">
        <f aca="false">IF($I26&gt;0%,IF(AND(LJ$16&gt;=$F26,LJ$16&lt;$F26+($G26*$I26)),"➤",""),"")</f>
        <v/>
      </c>
      <c r="LK26" s="76" t="str">
        <f aca="false">IF($I26&gt;0%,IF(AND(LK$16&gt;=$F26,LK$16&lt;$F26+($G26*$I26)),"➤",""),"")</f>
        <v/>
      </c>
      <c r="LL26" s="76" t="str">
        <f aca="false">IF($I26&gt;0%,IF(AND(LL$16&gt;=$F26,LL$16&lt;$F26+($G26*$I26)),"➤",""),"")</f>
        <v/>
      </c>
      <c r="LM26" s="76" t="str">
        <f aca="false">IF($I26&gt;0%,IF(AND(LM$16&gt;=$F26,LM$16&lt;$F26+($G26*$I26)),"➤",""),"")</f>
        <v/>
      </c>
      <c r="LN26" s="76" t="str">
        <f aca="false">IF($I26&gt;0%,IF(AND(LN$16&gt;=$F26,LN$16&lt;$F26+($G26*$I26)),"➤",""),"")</f>
        <v/>
      </c>
      <c r="LO26" s="76" t="str">
        <f aca="false">IF($I26&gt;0%,IF(AND(LO$16&gt;=$F26,LO$16&lt;$F26+($G26*$I26)),"➤",""),"")</f>
        <v/>
      </c>
      <c r="LP26" s="76" t="str">
        <f aca="false">IF($I26&gt;0%,IF(AND(LP$16&gt;=$F26,LP$16&lt;$F26+($G26*$I26)),"➤",""),"")</f>
        <v/>
      </c>
      <c r="LQ26" s="76" t="str">
        <f aca="false">IF($I26&gt;0%,IF(AND(LQ$16&gt;=$F26,LQ$16&lt;$F26+($G26*$I26)),"➤",""),"")</f>
        <v/>
      </c>
      <c r="LR26" s="76" t="str">
        <f aca="false">IF($I26&gt;0%,IF(AND(LR$16&gt;=$F26,LR$16&lt;$F26+($G26*$I26)),"➤",""),"")</f>
        <v/>
      </c>
      <c r="LS26" s="76" t="str">
        <f aca="false">IF($I26&gt;0%,IF(AND(LS$16&gt;=$F26,LS$16&lt;$F26+($G26*$I26)),"➤",""),"")</f>
        <v/>
      </c>
      <c r="LT26" s="76" t="str">
        <f aca="false">IF($I26&gt;0%,IF(AND(LT$16&gt;=$F26,LT$16&lt;$F26+($G26*$I26)),"➤",""),"")</f>
        <v/>
      </c>
      <c r="LU26" s="76" t="str">
        <f aca="false">IF($I26&gt;0%,IF(AND(LU$16&gt;=$F26,LU$16&lt;$F26+($G26*$I26)),"➤",""),"")</f>
        <v/>
      </c>
      <c r="LV26" s="76" t="str">
        <f aca="false">IF($I26&gt;0%,IF(AND(LV$16&gt;=$F26,LV$16&lt;$F26+($G26*$I26)),"➤",""),"")</f>
        <v/>
      </c>
      <c r="LW26" s="76" t="str">
        <f aca="false">IF($I26&gt;0%,IF(AND(LW$16&gt;=$F26,LW$16&lt;$F26+($G26*$I26)),"➤",""),"")</f>
        <v/>
      </c>
      <c r="LX26" s="76" t="str">
        <f aca="false">IF($I26&gt;0%,IF(AND(LX$16&gt;=$F26,LX$16&lt;$F26+($G26*$I26)),"➤",""),"")</f>
        <v/>
      </c>
      <c r="LY26" s="76" t="str">
        <f aca="false">IF($I26&gt;0%,IF(AND(LY$16&gt;=$F26,LY$16&lt;$F26+($G26*$I26)),"➤",""),"")</f>
        <v/>
      </c>
      <c r="LZ26" s="76" t="str">
        <f aca="false">IF($I26&gt;0%,IF(AND(LZ$16&gt;=$F26,LZ$16&lt;$F26+($G26*$I26)),"➤",""),"")</f>
        <v/>
      </c>
      <c r="MA26" s="76" t="str">
        <f aca="false">IF($I26&gt;0%,IF(AND(MA$16&gt;=$F26,MA$16&lt;$F26+($G26*$I26)),"➤",""),"")</f>
        <v/>
      </c>
      <c r="MB26" s="76" t="str">
        <f aca="false">IF($I26&gt;0%,IF(AND(MB$16&gt;=$F26,MB$16&lt;$F26+($G26*$I26)),"➤",""),"")</f>
        <v/>
      </c>
      <c r="MC26" s="76" t="str">
        <f aca="false">IF($I26&gt;0%,IF(AND(MC$16&gt;=$F26,MC$16&lt;$F26+($G26*$I26)),"➤",""),"")</f>
        <v/>
      </c>
      <c r="MD26" s="76" t="str">
        <f aca="false">IF($I26&gt;0%,IF(AND(MD$16&gt;=$F26,MD$16&lt;$F26+($G26*$I26)),"➤",""),"")</f>
        <v/>
      </c>
      <c r="ME26" s="76" t="str">
        <f aca="false">IF($I26&gt;0%,IF(AND(ME$16&gt;=$F26,ME$16&lt;$F26+($G26*$I26)),"➤",""),"")</f>
        <v/>
      </c>
      <c r="MF26" s="76" t="str">
        <f aca="false">IF($I26&gt;0%,IF(AND(MF$16&gt;=$F26,MF$16&lt;$F26+($G26*$I26)),"➤",""),"")</f>
        <v/>
      </c>
      <c r="MG26" s="76" t="str">
        <f aca="false">IF($I26&gt;0%,IF(AND(MG$16&gt;=$F26,MG$16&lt;$F26+($G26*$I26)),"➤",""),"")</f>
        <v/>
      </c>
      <c r="MH26" s="76" t="str">
        <f aca="false">IF($I26&gt;0%,IF(AND(MH$16&gt;=$F26,MH$16&lt;$F26+($G26*$I26)),"➤",""),"")</f>
        <v/>
      </c>
      <c r="MI26" s="76" t="str">
        <f aca="false">IF($I26&gt;0%,IF(AND(MI$16&gt;=$F26,MI$16&lt;$F26+($G26*$I26)),"➤",""),"")</f>
        <v/>
      </c>
      <c r="MJ26" s="76" t="str">
        <f aca="false">IF($I26&gt;0%,IF(AND(MJ$16&gt;=$F26,MJ$16&lt;$F26+($G26*$I26)),"➤",""),"")</f>
        <v/>
      </c>
      <c r="MK26" s="76" t="str">
        <f aca="false">IF($I26&gt;0%,IF(AND(MK$16&gt;=$F26,MK$16&lt;$F26+($G26*$I26)),"➤",""),"")</f>
        <v/>
      </c>
      <c r="ML26" s="76" t="str">
        <f aca="false">IF($I26&gt;0%,IF(AND(ML$16&gt;=$F26,ML$16&lt;$F26+($G26*$I26)),"➤",""),"")</f>
        <v/>
      </c>
      <c r="MM26" s="76" t="str">
        <f aca="false">IF($I26&gt;0%,IF(AND(MM$16&gt;=$F26,MM$16&lt;$F26+($G26*$I26)),"➤",""),"")</f>
        <v/>
      </c>
      <c r="MN26" s="76" t="str">
        <f aca="false">IF($I26&gt;0%,IF(AND(MN$16&gt;=$F26,MN$16&lt;$F26+($G26*$I26)),"➤",""),"")</f>
        <v/>
      </c>
      <c r="MO26" s="76" t="str">
        <f aca="false">IF($I26&gt;0%,IF(AND(MO$16&gt;=$F26,MO$16&lt;$F26+($G26*$I26)),"➤",""),"")</f>
        <v/>
      </c>
      <c r="MP26" s="76" t="str">
        <f aca="false">IF($I26&gt;0%,IF(AND(MP$16&gt;=$F26,MP$16&lt;$F26+($G26*$I26)),"➤",""),"")</f>
        <v/>
      </c>
      <c r="MQ26" s="76" t="str">
        <f aca="false">IF($I26&gt;0%,IF(AND(MQ$16&gt;=$F26,MQ$16&lt;$F26+($G26*$I26)),"➤",""),"")</f>
        <v/>
      </c>
      <c r="MR26" s="76" t="str">
        <f aca="false">IF($I26&gt;0%,IF(AND(MR$16&gt;=$F26,MR$16&lt;$F26+($G26*$I26)),"➤",""),"")</f>
        <v/>
      </c>
      <c r="MS26" s="76" t="str">
        <f aca="false">IF($I26&gt;0%,IF(AND(MS$16&gt;=$F26,MS$16&lt;$F26+($G26*$I26)),"➤",""),"")</f>
        <v/>
      </c>
      <c r="MT26" s="76" t="str">
        <f aca="false">IF($I26&gt;0%,IF(AND(MT$16&gt;=$F26,MT$16&lt;$F26+($G26*$I26)),"➤",""),"")</f>
        <v/>
      </c>
      <c r="MU26" s="76" t="str">
        <f aca="false">IF($I26&gt;0%,IF(AND(MU$16&gt;=$F26,MU$16&lt;$F26+($G26*$I26)),"➤",""),"")</f>
        <v/>
      </c>
      <c r="MV26" s="76" t="str">
        <f aca="false">IF($I26&gt;0%,IF(AND(MV$16&gt;=$F26,MV$16&lt;$F26+($G26*$I26)),"➤",""),"")</f>
        <v/>
      </c>
      <c r="MW26" s="76" t="str">
        <f aca="false">IF($I26&gt;0%,IF(AND(MW$16&gt;=$F26,MW$16&lt;$F26+($G26*$I26)),"➤",""),"")</f>
        <v/>
      </c>
      <c r="MX26" s="76" t="str">
        <f aca="false">IF($I26&gt;0%,IF(AND(MX$16&gt;=$F26,MX$16&lt;$F26+($G26*$I26)),"➤",""),"")</f>
        <v/>
      </c>
      <c r="MY26" s="76" t="str">
        <f aca="false">IF($I26&gt;0%,IF(AND(MY$16&gt;=$F26,MY$16&lt;$F26+($G26*$I26)),"➤",""),"")</f>
        <v/>
      </c>
      <c r="MZ26" s="76" t="str">
        <f aca="false">IF($I26&gt;0%,IF(AND(MZ$16&gt;=$F26,MZ$16&lt;$F26+($G26*$I26)),"➤",""),"")</f>
        <v/>
      </c>
      <c r="NA26" s="76" t="str">
        <f aca="false">IF($I26&gt;0%,IF(AND(NA$16&gt;=$F26,NA$16&lt;$F26+($G26*$I26)),"➤",""),"")</f>
        <v/>
      </c>
      <c r="NB26" s="76" t="str">
        <f aca="false">IF($I26&gt;0%,IF(AND(NB$16&gt;=$F26,NB$16&lt;$F26+($G26*$I26)),"➤",""),"")</f>
        <v/>
      </c>
      <c r="NC26" s="76" t="str">
        <f aca="false">IF($I26&gt;0%,IF(AND(NC$16&gt;=$F26,NC$16&lt;$F26+($G26*$I26)),"➤",""),"")</f>
        <v/>
      </c>
      <c r="ND26" s="76" t="str">
        <f aca="false">IF($I26&gt;0%,IF(AND(ND$16&gt;=$F26,ND$16&lt;$F26+($G26*$I26)),"➤",""),"")</f>
        <v/>
      </c>
      <c r="NE26" s="76" t="str">
        <f aca="false">IF($I26&gt;0%,IF(AND(NE$16&gt;=$F26,NE$16&lt;$F26+($G26*$I26)),"➤",""),"")</f>
        <v/>
      </c>
      <c r="NF26" s="76" t="str">
        <f aca="false">IF($I26&gt;0%,IF(AND(NF$16&gt;=$F26,NF$16&lt;$F26+($G26*$I26)),"➤",""),"")</f>
        <v/>
      </c>
      <c r="NG26" s="76" t="str">
        <f aca="false">IF($I26&gt;0%,IF(AND(NG$16&gt;=$F26,NG$16&lt;$F26+($G26*$I26)),"➤",""),"")</f>
        <v/>
      </c>
      <c r="NH26" s="76" t="str">
        <f aca="false">IF($I26&gt;0%,IF(AND(NH$16&gt;=$F26,NH$16&lt;$F26+($G26*$I26)),"➤",""),"")</f>
        <v/>
      </c>
      <c r="NI26" s="76" t="str">
        <f aca="false">IF($I26&gt;0%,IF(AND(NI$16&gt;=$F26,NI$16&lt;$F26+($G26*$I26)),"➤",""),"")</f>
        <v/>
      </c>
      <c r="NJ26" s="76" t="str">
        <f aca="false">IF($I26&gt;0%,IF(AND(NJ$16&gt;=$F26,NJ$16&lt;$F26+($G26*$I26)),"➤",""),"")</f>
        <v/>
      </c>
      <c r="NK26" s="76" t="str">
        <f aca="false">IF($I26&gt;0%,IF(AND(NK$16&gt;=$F26,NK$16&lt;$F26+($G26*$I26)),"➤",""),"")</f>
        <v/>
      </c>
      <c r="NL26" s="76" t="str">
        <f aca="false">IF($I26&gt;0%,IF(AND(NL$16&gt;=$F26,NL$16&lt;$F26+($G26*$I26)),"➤",""),"")</f>
        <v/>
      </c>
      <c r="NM26" s="76" t="str">
        <f aca="false">IF($I26&gt;0%,IF(AND(NM$16&gt;=$F26,NM$16&lt;$F26+($G26*$I26)),"➤",""),"")</f>
        <v/>
      </c>
      <c r="NN26" s="76" t="str">
        <f aca="false">IF($I26&gt;0%,IF(AND(NN$16&gt;=$F26,NN$16&lt;$F26+($G26*$I26)),"➤",""),"")</f>
        <v/>
      </c>
      <c r="NO26" s="76" t="str">
        <f aca="false">IF($I26&gt;0%,IF(AND(NO$16&gt;=$F26,NO$16&lt;$F26+($G26*$I26)),"➤",""),"")</f>
        <v/>
      </c>
      <c r="NP26" s="76" t="str">
        <f aca="false">IF($I26&gt;0%,IF(AND(NP$16&gt;=$F26,NP$16&lt;$F26+($G26*$I26)),"➤",""),"")</f>
        <v/>
      </c>
      <c r="NQ26" s="76" t="str">
        <f aca="false">IF($I26&gt;0%,IF(AND(NQ$16&gt;=$F26,NQ$16&lt;$F26+($G26*$I26)),"➤",""),"")</f>
        <v/>
      </c>
      <c r="NR26" s="76" t="str">
        <f aca="false">IF($I26&gt;0%,IF(AND(NR$16&gt;=$F26,NR$16&lt;$F26+($G26*$I26)),"➤",""),"")</f>
        <v/>
      </c>
      <c r="NS26" s="76" t="str">
        <f aca="false">IF($I26&gt;0%,IF(AND(NS$16&gt;=$F26,NS$16&lt;$F26+($G26*$I26)),"➤",""),"")</f>
        <v/>
      </c>
      <c r="NT26" s="76" t="str">
        <f aca="false">IF($I26&gt;0%,IF(AND(NT$16&gt;=$F26,NT$16&lt;$F26+($G26*$I26)),"➤",""),"")</f>
        <v/>
      </c>
      <c r="NU26" s="76" t="str">
        <f aca="false">IF($I26&gt;0%,IF(AND(NU$16&gt;=$F26,NU$16&lt;$F26+($G26*$I26)),"➤",""),"")</f>
        <v/>
      </c>
      <c r="NV26" s="76" t="str">
        <f aca="false">IF($I26&gt;0%,IF(AND(NV$16&gt;=$F26,NV$16&lt;$F26+($G26*$I26)),"➤",""),"")</f>
        <v/>
      </c>
      <c r="NW26" s="76" t="str">
        <f aca="false">IF($I26&gt;0%,IF(AND(NW$16&gt;=$F26,NW$16&lt;$F26+($G26*$I26)),"➤",""),"")</f>
        <v/>
      </c>
      <c r="NX26" s="76" t="str">
        <f aca="false">IF($I26&gt;0%,IF(AND(NX$16&gt;=$F26,NX$16&lt;$F26+($G26*$I26)),"➤",""),"")</f>
        <v/>
      </c>
      <c r="NY26" s="76" t="str">
        <f aca="false">IF($I26&gt;0%,IF(AND(NY$16&gt;=$F26,NY$16&lt;$F26+($G26*$I26)),"➤",""),"")</f>
        <v/>
      </c>
      <c r="NZ26" s="76" t="str">
        <f aca="false">IF($I26&gt;0%,IF(AND(NZ$16&gt;=$F26,NZ$16&lt;$F26+($G26*$I26)),"➤",""),"")</f>
        <v/>
      </c>
      <c r="OA26" s="76" t="str">
        <f aca="false">IF($I26&gt;0%,IF(AND(OA$16&gt;=$F26,OA$16&lt;$F26+($G26*$I26)),"➤",""),"")</f>
        <v/>
      </c>
      <c r="OB26" s="76" t="str">
        <f aca="false">IF($I26&gt;0%,IF(AND(OB$16&gt;=$F26,OB$16&lt;$F26+($G26*$I26)),"➤",""),"")</f>
        <v/>
      </c>
      <c r="OC26" s="76" t="str">
        <f aca="false">IF($I26&gt;0%,IF(AND(OC$16&gt;=$F26,OC$16&lt;$F26+($G26*$I26)),"➤",""),"")</f>
        <v/>
      </c>
      <c r="OD26" s="76" t="str">
        <f aca="false">IF($I26&gt;0%,IF(AND(OD$16&gt;=$F26,OD$16&lt;$F26+($G26*$I26)),"➤",""),"")</f>
        <v/>
      </c>
      <c r="OE26" s="76" t="str">
        <f aca="false">IF($I26&gt;0%,IF(AND(OE$16&gt;=$F26,OE$16&lt;$F26+($G26*$I26)),"➤",""),"")</f>
        <v/>
      </c>
      <c r="OF26" s="76" t="str">
        <f aca="false">IF($I26&gt;0%,IF(AND(OF$16&gt;=$F26,OF$16&lt;$F26+($G26*$I26)),"➤",""),"")</f>
        <v/>
      </c>
      <c r="OG26" s="76" t="str">
        <f aca="false">IF($I26&gt;0%,IF(AND(OG$16&gt;=$F26,OG$16&lt;$F26+($G26*$I26)),"➤",""),"")</f>
        <v/>
      </c>
      <c r="OH26" s="76" t="str">
        <f aca="false">IF($I26&gt;0%,IF(AND(OH$16&gt;=$F26,OH$16&lt;$F26+($G26*$I26)),"➤",""),"")</f>
        <v/>
      </c>
      <c r="OI26" s="76" t="str">
        <f aca="false">IF($I26&gt;0%,IF(AND(OI$16&gt;=$F26,OI$16&lt;$F26+($G26*$I26)),"➤",""),"")</f>
        <v/>
      </c>
      <c r="OJ26" s="76" t="str">
        <f aca="false">IF($I26&gt;0%,IF(AND(OJ$16&gt;=$F26,OJ$16&lt;$F26+($G26*$I26)),"➤",""),"")</f>
        <v/>
      </c>
      <c r="OK26" s="76" t="str">
        <f aca="false">IF($I26&gt;0%,IF(AND(OK$16&gt;=$F26,OK$16&lt;$F26+($G26*$I26)),"➤",""),"")</f>
        <v/>
      </c>
      <c r="OL26" s="76" t="str">
        <f aca="false">IF($I26&gt;0%,IF(AND(OL$16&gt;=$F26,OL$16&lt;$F26+($G26*$I26)),"➤",""),"")</f>
        <v/>
      </c>
      <c r="OM26" s="76" t="str">
        <f aca="false">IF($I26&gt;0%,IF(AND(OM$16&gt;=$F26,OM$16&lt;$F26+($G26*$I26)),"➤",""),"")</f>
        <v/>
      </c>
      <c r="ON26" s="76" t="str">
        <f aca="false">IF($I26&gt;0%,IF(AND(ON$16&gt;=$F26,ON$16&lt;$F26+($G26*$I26)),"➤",""),"")</f>
        <v/>
      </c>
      <c r="OO26" s="76" t="str">
        <f aca="false">IF($I26&gt;0%,IF(AND(OO$16&gt;=$F26,OO$16&lt;$F26+($G26*$I26)),"➤",""),"")</f>
        <v/>
      </c>
      <c r="OP26" s="76" t="str">
        <f aca="false">IF($I26&gt;0%,IF(AND(OP$16&gt;=$F26,OP$16&lt;$F26+($G26*$I26)),"➤",""),"")</f>
        <v/>
      </c>
      <c r="OQ26" s="76" t="str">
        <f aca="false">IF($I26&gt;0%,IF(AND(OQ$16&gt;=$F26,OQ$16&lt;$F26+($G26*$I26)),"➤",""),"")</f>
        <v/>
      </c>
      <c r="OR26" s="76" t="str">
        <f aca="false">IF($I26&gt;0%,IF(AND(OR$16&gt;=$F26,OR$16&lt;$F26+($G26*$I26)),"➤",""),"")</f>
        <v/>
      </c>
      <c r="OS26" s="76" t="str">
        <f aca="false">IF($I26&gt;0%,IF(AND(OS$16&gt;=$F26,OS$16&lt;$F26+($G26*$I26)),"➤",""),"")</f>
        <v/>
      </c>
      <c r="OT26" s="76" t="str">
        <f aca="false">IF($I26&gt;0%,IF(AND(OT$16&gt;=$F26,OT$16&lt;$F26+($G26*$I26)),"➤",""),"")</f>
        <v/>
      </c>
      <c r="OU26" s="76" t="str">
        <f aca="false">IF($I26&gt;0%,IF(AND(OU$16&gt;=$F26,OU$16&lt;$F26+($G26*$I26)),"➤",""),"")</f>
        <v/>
      </c>
      <c r="OV26" s="76" t="str">
        <f aca="false">IF($I26&gt;0%,IF(AND(OV$16&gt;=$F26,OV$16&lt;$F26+($G26*$I26)),"➤",""),"")</f>
        <v/>
      </c>
      <c r="OW26" s="76" t="str">
        <f aca="false">IF($I26&gt;0%,IF(AND(OW$16&gt;=$F26,OW$16&lt;$F26+($G26*$I26)),"➤",""),"")</f>
        <v/>
      </c>
      <c r="OX26" s="76" t="str">
        <f aca="false">IF($I26&gt;0%,IF(AND(OX$16&gt;=$F26,OX$16&lt;$F26+($G26*$I26)),"➤",""),"")</f>
        <v/>
      </c>
      <c r="OY26" s="76" t="str">
        <f aca="false">IF($I26&gt;0%,IF(AND(OY$16&gt;=$F26,OY$16&lt;$F26+($G26*$I26)),"➤",""),"")</f>
        <v/>
      </c>
      <c r="OZ26" s="76" t="str">
        <f aca="false">IF($I26&gt;0%,IF(AND(OZ$16&gt;=$F26,OZ$16&lt;$F26+($G26*$I26)),"➤",""),"")</f>
        <v/>
      </c>
      <c r="PA26" s="76" t="str">
        <f aca="false">IF($I26&gt;0%,IF(AND(PA$16&gt;=$F26,PA$16&lt;$F26+($G26*$I26)),"➤",""),"")</f>
        <v/>
      </c>
      <c r="PB26" s="76" t="str">
        <f aca="false">IF($I26&gt;0%,IF(AND(PB$16&gt;=$F26,PB$16&lt;$F26+($G26*$I26)),"➤",""),"")</f>
        <v/>
      </c>
      <c r="PC26" s="76" t="str">
        <f aca="false">IF($I26&gt;0%,IF(AND(PC$16&gt;=$F26,PC$16&lt;$F26+($G26*$I26)),"➤",""),"")</f>
        <v/>
      </c>
      <c r="PD26" s="76" t="str">
        <f aca="false">IF($I26&gt;0%,IF(AND(PD$16&gt;=$F26,PD$16&lt;$F26+($G26*$I26)),"➤",""),"")</f>
        <v/>
      </c>
      <c r="PE26" s="76" t="str">
        <f aca="false">IF($I26&gt;0%,IF(AND(PE$16&gt;=$F26,PE$16&lt;$F26+($G26*$I26)),"➤",""),"")</f>
        <v/>
      </c>
      <c r="PF26" s="76" t="str">
        <f aca="false">IF($I26&gt;0%,IF(AND(PF$16&gt;=$F26,PF$16&lt;$F26+($G26*$I26)),"➤",""),"")</f>
        <v/>
      </c>
      <c r="PG26" s="76" t="str">
        <f aca="false">IF($I26&gt;0%,IF(AND(PG$16&gt;=$F26,PG$16&lt;$F26+($G26*$I26)),"➤",""),"")</f>
        <v/>
      </c>
      <c r="PH26" s="76" t="str">
        <f aca="false">IF($I26&gt;0%,IF(AND(PH$16&gt;=$F26,PH$16&lt;$F26+($G26*$I26)),"➤",""),"")</f>
        <v/>
      </c>
      <c r="PI26" s="76" t="str">
        <f aca="false">IF($I26&gt;0%,IF(AND(PI$16&gt;=$F26,PI$16&lt;$F26+($G26*$I26)),"➤",""),"")</f>
        <v/>
      </c>
      <c r="PJ26" s="76" t="str">
        <f aca="false">IF($I26&gt;0%,IF(AND(PJ$16&gt;=$F26,PJ$16&lt;$F26+($G26*$I26)),"➤",""),"")</f>
        <v/>
      </c>
      <c r="PK26" s="76" t="str">
        <f aca="false">IF($I26&gt;0%,IF(AND(PK$16&gt;=$F26,PK$16&lt;$F26+($G26*$I26)),"➤",""),"")</f>
        <v/>
      </c>
      <c r="PL26" s="76" t="str">
        <f aca="false">IF($I26&gt;0%,IF(AND(PL$16&gt;=$F26,PL$16&lt;$F26+($G26*$I26)),"➤",""),"")</f>
        <v/>
      </c>
      <c r="PM26" s="76" t="str">
        <f aca="false">IF($I26&gt;0%,IF(AND(PM$16&gt;=$F26,PM$16&lt;$F26+($G26*$I26)),"➤",""),"")</f>
        <v/>
      </c>
      <c r="PN26" s="76" t="str">
        <f aca="false">IF($I26&gt;0%,IF(AND(PN$16&gt;=$F26,PN$16&lt;$F26+($G26*$I26)),"➤",""),"")</f>
        <v/>
      </c>
      <c r="PO26" s="76" t="str">
        <f aca="false">IF($I26&gt;0%,IF(AND(PO$16&gt;=$F26,PO$16&lt;$F26+($G26*$I26)),"➤",""),"")</f>
        <v/>
      </c>
      <c r="PP26" s="76" t="str">
        <f aca="false">IF($I26&gt;0%,IF(AND(PP$16&gt;=$F26,PP$16&lt;$F26+($G26*$I26)),"➤",""),"")</f>
        <v/>
      </c>
      <c r="PQ26" s="76" t="str">
        <f aca="false">IF($I26&gt;0%,IF(AND(PQ$16&gt;=$F26,PQ$16&lt;$F26+($G26*$I26)),"➤",""),"")</f>
        <v/>
      </c>
      <c r="PR26" s="76" t="str">
        <f aca="false">IF($I26&gt;0%,IF(AND(PR$16&gt;=$F26,PR$16&lt;$F26+($G26*$I26)),"➤",""),"")</f>
        <v/>
      </c>
      <c r="PS26" s="76" t="str">
        <f aca="false">IF($I26&gt;0%,IF(AND(PS$16&gt;=$F26,PS$16&lt;$F26+($G26*$I26)),"➤",""),"")</f>
        <v/>
      </c>
      <c r="PT26" s="76" t="str">
        <f aca="false">IF($I26&gt;0%,IF(AND(PT$16&gt;=$F26,PT$16&lt;$F26+($G26*$I26)),"➤",""),"")</f>
        <v/>
      </c>
      <c r="PU26" s="76" t="str">
        <f aca="false">IF($I26&gt;0%,IF(AND(PU$16&gt;=$F26,PU$16&lt;$F26+($G26*$I26)),"➤",""),"")</f>
        <v/>
      </c>
      <c r="PV26" s="76" t="str">
        <f aca="false">IF($I26&gt;0%,IF(AND(PV$16&gt;=$F26,PV$16&lt;$F26+($G26*$I26)),"➤",""),"")</f>
        <v/>
      </c>
      <c r="PW26" s="76" t="str">
        <f aca="false">IF($I26&gt;0%,IF(AND(PW$16&gt;=$F26,PW$16&lt;$F26+($G26*$I26)),"➤",""),"")</f>
        <v/>
      </c>
      <c r="PX26" s="76" t="str">
        <f aca="false">IF($I26&gt;0%,IF(AND(PX$16&gt;=$F26,PX$16&lt;$F26+($G26*$I26)),"➤",""),"")</f>
        <v/>
      </c>
      <c r="PY26" s="76" t="str">
        <f aca="false">IF($I26&gt;0%,IF(AND(PY$16&gt;=$F26,PY$16&lt;$F26+($G26*$I26)),"➤",""),"")</f>
        <v/>
      </c>
      <c r="PZ26" s="76" t="str">
        <f aca="false">IF($I26&gt;0%,IF(AND(PZ$16&gt;=$F26,PZ$16&lt;$F26+($G26*$I26)),"➤",""),"")</f>
        <v/>
      </c>
      <c r="QA26" s="76" t="str">
        <f aca="false">IF($I26&gt;0%,IF(AND(QA$16&gt;=$F26,QA$16&lt;$F26+($G26*$I26)),"➤",""),"")</f>
        <v/>
      </c>
      <c r="QB26" s="76" t="str">
        <f aca="false">IF($I26&gt;0%,IF(AND(QB$16&gt;=$F26,QB$16&lt;$F26+($G26*$I26)),"➤",""),"")</f>
        <v/>
      </c>
      <c r="QC26" s="76" t="str">
        <f aca="false">IF($I26&gt;0%,IF(AND(QC$16&gt;=$F26,QC$16&lt;$F26+($G26*$I26)),"➤",""),"")</f>
        <v/>
      </c>
      <c r="QD26" s="76" t="str">
        <f aca="false">IF($I26&gt;0%,IF(AND(QD$16&gt;=$F26,QD$16&lt;$F26+($G26*$I26)),"➤",""),"")</f>
        <v/>
      </c>
      <c r="QE26" s="76" t="str">
        <f aca="false">IF($I26&gt;0%,IF(AND(QE$16&gt;=$F26,QE$16&lt;$F26+($G26*$I26)),"➤",""),"")</f>
        <v/>
      </c>
      <c r="QF26" s="76" t="str">
        <f aca="false">IF($I26&gt;0%,IF(AND(QF$16&gt;=$F26,QF$16&lt;$F26+($G26*$I26)),"➤",""),"")</f>
        <v/>
      </c>
      <c r="QG26" s="76" t="str">
        <f aca="false">IF($I26&gt;0%,IF(AND(QG$16&gt;=$F26,QG$16&lt;$F26+($G26*$I26)),"➤",""),"")</f>
        <v/>
      </c>
      <c r="QH26" s="76" t="str">
        <f aca="false">IF($I26&gt;0%,IF(AND(QH$16&gt;=$F26,QH$16&lt;$F26+($G26*$I26)),"➤",""),"")</f>
        <v/>
      </c>
      <c r="QI26" s="76" t="str">
        <f aca="false">IF($I26&gt;0%,IF(AND(QI$16&gt;=$F26,QI$16&lt;$F26+($G26*$I26)),"➤",""),"")</f>
        <v/>
      </c>
      <c r="QJ26" s="76" t="str">
        <f aca="false">IF($I26&gt;0%,IF(AND(QJ$16&gt;=$F26,QJ$16&lt;$F26+($G26*$I26)),"➤",""),"")</f>
        <v/>
      </c>
      <c r="QK26" s="76" t="str">
        <f aca="false">IF($I26&gt;0%,IF(AND(QK$16&gt;=$F26,QK$16&lt;$F26+($G26*$I26)),"➤",""),"")</f>
        <v/>
      </c>
      <c r="QL26" s="76" t="str">
        <f aca="false">IF($I26&gt;0%,IF(AND(QL$16&gt;=$F26,QL$16&lt;$F26+($G26*$I26)),"➤",""),"")</f>
        <v/>
      </c>
      <c r="QM26" s="76" t="str">
        <f aca="false">IF($I26&gt;0%,IF(AND(QM$16&gt;=$F26,QM$16&lt;$F26+($G26*$I26)),"➤",""),"")</f>
        <v/>
      </c>
      <c r="QN26" s="76" t="str">
        <f aca="false">IF($I26&gt;0%,IF(AND(QN$16&gt;=$F26,QN$16&lt;$F26+($G26*$I26)),"➤",""),"")</f>
        <v/>
      </c>
      <c r="QO26" s="76" t="str">
        <f aca="false">IF($I26&gt;0%,IF(AND(QO$16&gt;=$F26,QO$16&lt;$F26+($G26*$I26)),"➤",""),"")</f>
        <v/>
      </c>
      <c r="QP26" s="76" t="str">
        <f aca="false">IF($I26&gt;0%,IF(AND(QP$16&gt;=$F26,QP$16&lt;$F26+($G26*$I26)),"➤",""),"")</f>
        <v/>
      </c>
      <c r="QQ26" s="76" t="str">
        <f aca="false">IF($I26&gt;0%,IF(AND(QQ$16&gt;=$F26,QQ$16&lt;$F26+($G26*$I26)),"➤",""),"")</f>
        <v/>
      </c>
      <c r="QR26" s="76" t="str">
        <f aca="false">IF($I26&gt;0%,IF(AND(QR$16&gt;=$F26,QR$16&lt;$F26+($G26*$I26)),"➤",""),"")</f>
        <v/>
      </c>
      <c r="QS26" s="76" t="str">
        <f aca="false">IF($I26&gt;0%,IF(AND(QS$16&gt;=$F26,QS$16&lt;$F26+($G26*$I26)),"➤",""),"")</f>
        <v/>
      </c>
      <c r="QT26" s="76" t="str">
        <f aca="false">IF($I26&gt;0%,IF(AND(QT$16&gt;=$F26,QT$16&lt;$F26+($G26*$I26)),"➤",""),"")</f>
        <v/>
      </c>
      <c r="QU26" s="76" t="str">
        <f aca="false">IF($I26&gt;0%,IF(AND(QU$16&gt;=$F26,QU$16&lt;$F26+($G26*$I26)),"➤",""),"")</f>
        <v/>
      </c>
      <c r="QV26" s="76" t="str">
        <f aca="false">IF($I26&gt;0%,IF(AND(QV$16&gt;=$F26,QV$16&lt;$F26+($G26*$I26)),"➤",""),"")</f>
        <v/>
      </c>
      <c r="QW26" s="76" t="str">
        <f aca="false">IF($I26&gt;0%,IF(AND(QW$16&gt;=$F26,QW$16&lt;$F26+($G26*$I26)),"➤",""),"")</f>
        <v/>
      </c>
      <c r="QX26" s="76" t="str">
        <f aca="false">IF($I26&gt;0%,IF(AND(QX$16&gt;=$F26,QX$16&lt;$F26+($G26*$I26)),"➤",""),"")</f>
        <v/>
      </c>
      <c r="QY26" s="76" t="str">
        <f aca="false">IF($I26&gt;0%,IF(AND(QY$16&gt;=$F26,QY$16&lt;$F26+($G26*$I26)),"➤",""),"")</f>
        <v/>
      </c>
      <c r="QZ26" s="76" t="str">
        <f aca="false">IF($I26&gt;0%,IF(AND(QZ$16&gt;=$F26,QZ$16&lt;$F26+($G26*$I26)),"➤",""),"")</f>
        <v/>
      </c>
      <c r="RA26" s="76" t="str">
        <f aca="false">IF($I26&gt;0%,IF(AND(RA$16&gt;=$F26,RA$16&lt;$F26+($G26*$I26)),"➤",""),"")</f>
        <v/>
      </c>
      <c r="RB26" s="76" t="str">
        <f aca="false">IF($I26&gt;0%,IF(AND(RB$16&gt;=$F26,RB$16&lt;$F26+($G26*$I26)),"➤",""),"")</f>
        <v/>
      </c>
      <c r="RC26" s="76" t="str">
        <f aca="false">IF($I26&gt;0%,IF(AND(RC$16&gt;=$F26,RC$16&lt;$F26+($G26*$I26)),"➤",""),"")</f>
        <v/>
      </c>
      <c r="RD26" s="76" t="str">
        <f aca="false">IF($I26&gt;0%,IF(AND(RD$16&gt;=$F26,RD$16&lt;$F26+($G26*$I26)),"➤",""),"")</f>
        <v/>
      </c>
      <c r="RE26" s="76" t="str">
        <f aca="false">IF($I26&gt;0%,IF(AND(RE$16&gt;=$F26,RE$16&lt;$F26+($G26*$I26)),"➤",""),"")</f>
        <v/>
      </c>
      <c r="RF26" s="76" t="str">
        <f aca="false">IF($I26&gt;0%,IF(AND(RF$16&gt;=$F26,RF$16&lt;$F26+($G26*$I26)),"➤",""),"")</f>
        <v/>
      </c>
      <c r="RG26" s="76" t="str">
        <f aca="false">IF($I26&gt;0%,IF(AND(RG$16&gt;=$F26,RG$16&lt;$F26+($G26*$I26)),"➤",""),"")</f>
        <v/>
      </c>
      <c r="RH26" s="76" t="str">
        <f aca="false">IF($I26&gt;0%,IF(AND(RH$16&gt;=$F26,RH$16&lt;$F26+($G26*$I26)),"➤",""),"")</f>
        <v/>
      </c>
      <c r="RI26" s="76" t="str">
        <f aca="false">IF($I26&gt;0%,IF(AND(RI$16&gt;=$F26,RI$16&lt;$F26+($G26*$I26)),"➤",""),"")</f>
        <v/>
      </c>
      <c r="RJ26" s="76" t="str">
        <f aca="false">IF($I26&gt;0%,IF(AND(RJ$16&gt;=$F26,RJ$16&lt;$F26+($G26*$I26)),"➤",""),"")</f>
        <v/>
      </c>
      <c r="RK26" s="76" t="str">
        <f aca="false">IF($I26&gt;0%,IF(AND(RK$16&gt;=$F26,RK$16&lt;$F26+($G26*$I26)),"➤",""),"")</f>
        <v/>
      </c>
      <c r="RL26" s="76" t="str">
        <f aca="false">IF($I26&gt;0%,IF(AND(RL$16&gt;=$F26,RL$16&lt;$F26+($G26*$I26)),"➤",""),"")</f>
        <v/>
      </c>
      <c r="RM26" s="76" t="str">
        <f aca="false">IF($I26&gt;0%,IF(AND(RM$16&gt;=$F26,RM$16&lt;$F26+($G26*$I26)),"➤",""),"")</f>
        <v/>
      </c>
      <c r="RN26" s="76" t="str">
        <f aca="false">IF($I26&gt;0%,IF(AND(RN$16&gt;=$F26,RN$16&lt;$F26+($G26*$I26)),"➤",""),"")</f>
        <v/>
      </c>
      <c r="RO26" s="76" t="str">
        <f aca="false">IF($I26&gt;0%,IF(AND(RO$16&gt;=$F26,RO$16&lt;$F26+($G26*$I26)),"➤",""),"")</f>
        <v/>
      </c>
      <c r="RP26" s="76" t="str">
        <f aca="false">IF($I26&gt;0%,IF(AND(RP$16&gt;=$F26,RP$16&lt;$F26+($G26*$I26)),"➤",""),"")</f>
        <v/>
      </c>
      <c r="RQ26" s="76" t="str">
        <f aca="false">IF($I26&gt;0%,IF(AND(RQ$16&gt;=$F26,RQ$16&lt;$F26+($G26*$I26)),"➤",""),"")</f>
        <v/>
      </c>
      <c r="RR26" s="76" t="str">
        <f aca="false">IF($I26&gt;0%,IF(AND(RR$16&gt;=$F26,RR$16&lt;$F26+($G26*$I26)),"➤",""),"")</f>
        <v/>
      </c>
      <c r="RS26" s="76" t="str">
        <f aca="false">IF($I26&gt;0%,IF(AND(RS$16&gt;=$F26,RS$16&lt;$F26+($G26*$I26)),"➤",""),"")</f>
        <v/>
      </c>
      <c r="RT26" s="76" t="str">
        <f aca="false">IF($I26&gt;0%,IF(AND(RT$16&gt;=$F26,RT$16&lt;$F26+($G26*$I26)),"➤",""),"")</f>
        <v/>
      </c>
      <c r="RU26" s="76" t="str">
        <f aca="false">IF($I26&gt;0%,IF(AND(RU$16&gt;=$F26,RU$16&lt;$F26+($G26*$I26)),"➤",""),"")</f>
        <v/>
      </c>
      <c r="RV26" s="76" t="str">
        <f aca="false">IF($I26&gt;0%,IF(AND(RV$16&gt;=$F26,RV$16&lt;$F26+($G26*$I26)),"➤",""),"")</f>
        <v/>
      </c>
      <c r="RW26" s="76" t="str">
        <f aca="false">IF($I26&gt;0%,IF(AND(RW$16&gt;=$F26,RW$16&lt;$F26+($G26*$I26)),"➤",""),"")</f>
        <v/>
      </c>
      <c r="RX26" s="76" t="str">
        <f aca="false">IF($I26&gt;0%,IF(AND(RX$16&gt;=$F26,RX$16&lt;$F26+($G26*$I26)),"➤",""),"")</f>
        <v/>
      </c>
      <c r="RY26" s="76" t="str">
        <f aca="false">IF($I26&gt;0%,IF(AND(RY$16&gt;=$F26,RY$16&lt;$F26+($G26*$I26)),"➤",""),"")</f>
        <v/>
      </c>
      <c r="RZ26" s="76" t="str">
        <f aca="false">IF($I26&gt;0%,IF(AND(RZ$16&gt;=$F26,RZ$16&lt;$F26+($G26*$I26)),"➤",""),"")</f>
        <v/>
      </c>
      <c r="SA26" s="76" t="str">
        <f aca="false">IF($I26&gt;0%,IF(AND(SA$16&gt;=$F26,SA$16&lt;$F26+($G26*$I26)),"➤",""),"")</f>
        <v/>
      </c>
      <c r="SB26" s="76" t="str">
        <f aca="false">IF($I26&gt;0%,IF(AND(SB$16&gt;=$F26,SB$16&lt;$F26+($G26*$I26)),"➤",""),"")</f>
        <v/>
      </c>
      <c r="SC26" s="76" t="str">
        <f aca="false">IF($I26&gt;0%,IF(AND(SC$16&gt;=$F26,SC$16&lt;$F26+($G26*$I26)),"➤",""),"")</f>
        <v/>
      </c>
      <c r="SD26" s="76" t="str">
        <f aca="false">IF($I26&gt;0%,IF(AND(SD$16&gt;=$F26,SD$16&lt;$F26+($G26*$I26)),"➤",""),"")</f>
        <v/>
      </c>
      <c r="SE26" s="76" t="str">
        <f aca="false">IF($I26&gt;0%,IF(AND(SE$16&gt;=$F26,SE$16&lt;$F26+($G26*$I26)),"➤",""),"")</f>
        <v/>
      </c>
      <c r="SF26" s="76" t="str">
        <f aca="false">IF($I26&gt;0%,IF(AND(SF$16&gt;=$F26,SF$16&lt;$F26+($G26*$I26)),"➤",""),"")</f>
        <v/>
      </c>
      <c r="SG26" s="76" t="str">
        <f aca="false">IF($I26&gt;0%,IF(AND(SG$16&gt;=$F26,SG$16&lt;$F26+($G26*$I26)),"➤",""),"")</f>
        <v/>
      </c>
      <c r="SH26" s="76" t="str">
        <f aca="false">IF($I26&gt;0%,IF(AND(SH$16&gt;=$F26,SH$16&lt;$F26+($G26*$I26)),"➤",""),"")</f>
        <v/>
      </c>
      <c r="SI26" s="76" t="str">
        <f aca="false">IF($I26&gt;0%,IF(AND(SI$16&gt;=$F26,SI$16&lt;$F26+($G26*$I26)),"➤",""),"")</f>
        <v/>
      </c>
      <c r="SJ26" s="76" t="str">
        <f aca="false">IF($I26&gt;0%,IF(AND(SJ$16&gt;=$F26,SJ$16&lt;$F26+($G26*$I26)),"➤",""),"")</f>
        <v/>
      </c>
      <c r="SK26" s="76" t="str">
        <f aca="false">IF($I26&gt;0%,IF(AND(SK$16&gt;=$F26,SK$16&lt;$F26+($G26*$I26)),"➤",""),"")</f>
        <v/>
      </c>
      <c r="SL26" s="76" t="str">
        <f aca="false">IF($I26&gt;0%,IF(AND(SL$16&gt;=$F26,SL$16&lt;$F26+($G26*$I26)),"➤",""),"")</f>
        <v/>
      </c>
      <c r="SM26" s="76" t="str">
        <f aca="false">IF($I26&gt;0%,IF(AND(SM$16&gt;=$F26,SM$16&lt;$F26+($G26*$I26)),"➤",""),"")</f>
        <v/>
      </c>
      <c r="SN26" s="76" t="str">
        <f aca="false">IF($I26&gt;0%,IF(AND(SN$16&gt;=$F26,SN$16&lt;$F26+($G26*$I26)),"➤",""),"")</f>
        <v/>
      </c>
      <c r="SO26" s="76" t="str">
        <f aca="false">IF($I26&gt;0%,IF(AND(SO$16&gt;=$F26,SO$16&lt;$F26+($G26*$I26)),"➤",""),"")</f>
        <v/>
      </c>
      <c r="SP26" s="76" t="str">
        <f aca="false">IF($I26&gt;0%,IF(AND(SP$16&gt;=$F26,SP$16&lt;$F26+($G26*$I26)),"➤",""),"")</f>
        <v/>
      </c>
      <c r="SQ26" s="76" t="str">
        <f aca="false">IF($I26&gt;0%,IF(AND(SQ$16&gt;=$F26,SQ$16&lt;$F26+($G26*$I26)),"➤",""),"")</f>
        <v/>
      </c>
      <c r="SR26" s="76" t="str">
        <f aca="false">IF($I26&gt;0%,IF(AND(SR$16&gt;=$F26,SR$16&lt;$F26+($G26*$I26)),"➤",""),"")</f>
        <v/>
      </c>
      <c r="SS26" s="76" t="str">
        <f aca="false">IF($I26&gt;0%,IF(AND(SS$16&gt;=$F26,SS$16&lt;$F26+($G26*$I26)),"➤",""),"")</f>
        <v/>
      </c>
      <c r="ST26" s="76" t="str">
        <f aca="false">IF($I26&gt;0%,IF(AND(ST$16&gt;=$F26,ST$16&lt;$F26+($G26*$I26)),"➤",""),"")</f>
        <v/>
      </c>
      <c r="SU26" s="76" t="str">
        <f aca="false">IF($I26&gt;0%,IF(AND(SU$16&gt;=$F26,SU$16&lt;$F26+($G26*$I26)),"➤",""),"")</f>
        <v/>
      </c>
      <c r="SV26" s="76" t="str">
        <f aca="false">IF($I26&gt;0%,IF(AND(SV$16&gt;=$F26,SV$16&lt;$F26+($G26*$I26)),"➤",""),"")</f>
        <v/>
      </c>
      <c r="SW26" s="77" t="str">
        <f aca="false">IF($I26&gt;0%,IF(AND(SW$16&gt;=$F26,SW$16&lt;$F26+($G26*$I26)),"➤",""),"")</f>
        <v/>
      </c>
    </row>
    <row r="27" customFormat="false" ht="22.35" hidden="false" customHeight="false" outlineLevel="1" collapsed="false">
      <c r="C27" s="10"/>
      <c r="D27" s="78" t="s">
        <v>27</v>
      </c>
      <c r="E27" s="79" t="s">
        <v>19</v>
      </c>
      <c r="F27" s="80" t="n">
        <v>46140</v>
      </c>
      <c r="G27" s="81" t="n">
        <v>1</v>
      </c>
      <c r="H27" s="82" t="n">
        <f aca="false">(F27+G27)-1</f>
        <v>46140</v>
      </c>
      <c r="I27" s="83" t="n">
        <v>1</v>
      </c>
      <c r="J27" s="84" t="s">
        <v>16</v>
      </c>
      <c r="K27" s="85"/>
      <c r="L27" s="75"/>
      <c r="M27" s="76"/>
      <c r="N27" s="76"/>
      <c r="O27" s="76"/>
      <c r="P27" s="76" t="str">
        <f aca="false">IF($I27&gt;0%,IF(AND(P$16&gt;=$F27,P$16&lt;$F27+($G27*$I27)),"➤",""),"")</f>
        <v>➤</v>
      </c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6"/>
      <c r="BF27" s="76"/>
      <c r="BG27" s="76"/>
      <c r="BH27" s="76"/>
      <c r="BI27" s="76"/>
      <c r="BJ27" s="76"/>
      <c r="BK27" s="76"/>
      <c r="BL27" s="76"/>
      <c r="BM27" s="76"/>
      <c r="BN27" s="76"/>
      <c r="BO27" s="76"/>
      <c r="BP27" s="76"/>
      <c r="BQ27" s="76"/>
      <c r="BR27" s="76"/>
      <c r="BS27" s="76"/>
      <c r="BT27" s="76"/>
      <c r="BU27" s="76"/>
      <c r="BV27" s="76"/>
      <c r="BW27" s="76"/>
      <c r="BX27" s="76"/>
      <c r="BY27" s="76"/>
      <c r="BZ27" s="76"/>
      <c r="CA27" s="76"/>
      <c r="CB27" s="76"/>
      <c r="CC27" s="76"/>
      <c r="CD27" s="76"/>
      <c r="CE27" s="76"/>
      <c r="CF27" s="76"/>
      <c r="CG27" s="76"/>
      <c r="CH27" s="76"/>
      <c r="CI27" s="76"/>
      <c r="CJ27" s="76"/>
      <c r="CK27" s="76"/>
      <c r="CL27" s="76"/>
      <c r="CM27" s="76"/>
      <c r="CN27" s="76"/>
      <c r="CO27" s="76"/>
      <c r="CP27" s="76"/>
      <c r="CQ27" s="76"/>
      <c r="CR27" s="76"/>
      <c r="CS27" s="76"/>
      <c r="CT27" s="76"/>
      <c r="CU27" s="76"/>
      <c r="CV27" s="76"/>
      <c r="CW27" s="76"/>
      <c r="CX27" s="76"/>
      <c r="CY27" s="76"/>
      <c r="CZ27" s="76"/>
      <c r="DA27" s="76"/>
      <c r="DB27" s="76"/>
      <c r="DC27" s="76"/>
      <c r="DD27" s="76"/>
      <c r="DE27" s="76"/>
      <c r="DF27" s="76"/>
      <c r="DG27" s="76"/>
      <c r="DH27" s="76"/>
      <c r="DI27" s="76"/>
      <c r="DJ27" s="76"/>
      <c r="DK27" s="76"/>
      <c r="DL27" s="76"/>
      <c r="DM27" s="76"/>
      <c r="DN27" s="76"/>
      <c r="DO27" s="76"/>
      <c r="DP27" s="76"/>
      <c r="DQ27" s="76"/>
      <c r="DR27" s="76"/>
      <c r="DS27" s="76"/>
      <c r="DT27" s="76"/>
      <c r="DU27" s="76"/>
      <c r="DV27" s="76"/>
      <c r="DW27" s="76"/>
      <c r="DX27" s="76"/>
      <c r="DY27" s="76"/>
      <c r="DZ27" s="76"/>
      <c r="EA27" s="76"/>
      <c r="EB27" s="76"/>
      <c r="EC27" s="76"/>
      <c r="ED27" s="76"/>
      <c r="EE27" s="76"/>
      <c r="EF27" s="76"/>
      <c r="EG27" s="76"/>
      <c r="EH27" s="76"/>
      <c r="EI27" s="76"/>
      <c r="EJ27" s="76"/>
      <c r="EK27" s="76"/>
      <c r="EL27" s="76"/>
      <c r="EM27" s="76"/>
      <c r="EN27" s="76"/>
      <c r="EO27" s="76"/>
      <c r="EP27" s="76"/>
      <c r="EQ27" s="76"/>
      <c r="ER27" s="76"/>
      <c r="ES27" s="76"/>
      <c r="ET27" s="76"/>
      <c r="EU27" s="76"/>
      <c r="EV27" s="76"/>
      <c r="EW27" s="76"/>
      <c r="EX27" s="76"/>
      <c r="EY27" s="76"/>
      <c r="EZ27" s="76"/>
      <c r="FA27" s="76"/>
      <c r="FB27" s="76"/>
      <c r="FC27" s="76"/>
      <c r="FD27" s="76"/>
      <c r="FE27" s="76"/>
      <c r="FF27" s="76"/>
      <c r="FG27" s="76"/>
      <c r="FH27" s="76"/>
      <c r="FI27" s="76"/>
      <c r="FJ27" s="76"/>
      <c r="FK27" s="76"/>
      <c r="FL27" s="76"/>
      <c r="FM27" s="76"/>
      <c r="FN27" s="76"/>
      <c r="FO27" s="76"/>
      <c r="FP27" s="76"/>
      <c r="FQ27" s="76"/>
      <c r="FR27" s="76"/>
      <c r="FS27" s="76"/>
      <c r="FT27" s="76"/>
      <c r="FU27" s="76"/>
      <c r="FV27" s="76"/>
      <c r="FW27" s="76"/>
      <c r="FX27" s="76"/>
      <c r="FY27" s="76"/>
      <c r="FZ27" s="76"/>
      <c r="GA27" s="76"/>
      <c r="GB27" s="76"/>
      <c r="GC27" s="76"/>
      <c r="GD27" s="76"/>
      <c r="GE27" s="76"/>
      <c r="GF27" s="76"/>
      <c r="GG27" s="76"/>
      <c r="GH27" s="76"/>
      <c r="GI27" s="76"/>
      <c r="GJ27" s="76"/>
      <c r="GK27" s="76"/>
      <c r="GL27" s="76"/>
      <c r="GM27" s="76"/>
      <c r="GN27" s="76"/>
      <c r="GO27" s="76"/>
      <c r="GP27" s="76"/>
      <c r="GQ27" s="76"/>
      <c r="GR27" s="76"/>
      <c r="GS27" s="76"/>
      <c r="GT27" s="76"/>
      <c r="GU27" s="76"/>
      <c r="GV27" s="76"/>
      <c r="GW27" s="76"/>
      <c r="GX27" s="76"/>
      <c r="GY27" s="76"/>
      <c r="GZ27" s="76"/>
      <c r="HA27" s="76"/>
      <c r="HB27" s="76"/>
      <c r="HC27" s="76"/>
      <c r="HD27" s="76"/>
      <c r="HE27" s="76"/>
      <c r="HF27" s="76"/>
      <c r="HG27" s="76"/>
      <c r="HH27" s="76"/>
      <c r="HI27" s="76"/>
      <c r="HJ27" s="76"/>
      <c r="HK27" s="76"/>
      <c r="HL27" s="76"/>
      <c r="HM27" s="76"/>
      <c r="HN27" s="76"/>
      <c r="HO27" s="76"/>
      <c r="HP27" s="76"/>
      <c r="HQ27" s="76"/>
      <c r="HR27" s="76"/>
      <c r="HS27" s="76"/>
      <c r="HT27" s="76"/>
      <c r="HU27" s="76"/>
      <c r="HV27" s="76"/>
      <c r="HW27" s="76"/>
      <c r="HX27" s="76"/>
      <c r="HY27" s="76"/>
      <c r="HZ27" s="76"/>
      <c r="IA27" s="76"/>
      <c r="IB27" s="76"/>
      <c r="IC27" s="76"/>
      <c r="ID27" s="76"/>
      <c r="IE27" s="76"/>
      <c r="IF27" s="76"/>
      <c r="IG27" s="76"/>
      <c r="IH27" s="76"/>
      <c r="II27" s="76"/>
      <c r="IJ27" s="76"/>
      <c r="IK27" s="76"/>
      <c r="IL27" s="76"/>
      <c r="IM27" s="76"/>
      <c r="IN27" s="76"/>
      <c r="IO27" s="76"/>
      <c r="IP27" s="76"/>
      <c r="IQ27" s="76"/>
      <c r="IR27" s="76"/>
      <c r="IS27" s="76"/>
      <c r="IT27" s="76"/>
      <c r="IU27" s="76"/>
      <c r="IV27" s="76"/>
      <c r="IW27" s="76"/>
      <c r="IX27" s="76"/>
      <c r="IY27" s="76"/>
      <c r="IZ27" s="76"/>
      <c r="JA27" s="76"/>
      <c r="JB27" s="76"/>
      <c r="JC27" s="76"/>
      <c r="JD27" s="76"/>
      <c r="JE27" s="76"/>
      <c r="JF27" s="76"/>
      <c r="JG27" s="76"/>
      <c r="JH27" s="76"/>
      <c r="JI27" s="76"/>
      <c r="JJ27" s="76"/>
      <c r="JK27" s="76"/>
      <c r="JL27" s="76"/>
      <c r="JM27" s="76"/>
      <c r="JN27" s="76"/>
      <c r="JO27" s="76"/>
      <c r="JP27" s="76"/>
      <c r="JQ27" s="76"/>
      <c r="JR27" s="76"/>
      <c r="JS27" s="76"/>
      <c r="JT27" s="76"/>
      <c r="JU27" s="76"/>
      <c r="JV27" s="76"/>
      <c r="JW27" s="76"/>
      <c r="JX27" s="76"/>
      <c r="JY27" s="76"/>
      <c r="JZ27" s="76"/>
      <c r="KA27" s="76"/>
      <c r="KB27" s="76"/>
      <c r="KC27" s="76"/>
      <c r="KD27" s="76"/>
      <c r="KE27" s="76"/>
      <c r="KF27" s="76"/>
      <c r="KG27" s="76"/>
      <c r="KH27" s="76"/>
      <c r="KI27" s="76"/>
      <c r="KJ27" s="76"/>
      <c r="KK27" s="76"/>
      <c r="KL27" s="76"/>
      <c r="KM27" s="76"/>
      <c r="KN27" s="76"/>
      <c r="KO27" s="76"/>
      <c r="KP27" s="76"/>
      <c r="KQ27" s="76"/>
      <c r="KR27" s="76"/>
      <c r="KS27" s="76"/>
      <c r="KT27" s="76"/>
      <c r="KU27" s="76"/>
      <c r="KV27" s="76"/>
      <c r="KW27" s="76"/>
      <c r="KX27" s="76"/>
      <c r="KY27" s="76"/>
      <c r="KZ27" s="76"/>
      <c r="LA27" s="76"/>
      <c r="LB27" s="76"/>
      <c r="LC27" s="76"/>
      <c r="LD27" s="76"/>
      <c r="LE27" s="76"/>
      <c r="LF27" s="76"/>
      <c r="LG27" s="76"/>
      <c r="LH27" s="76"/>
      <c r="LI27" s="76"/>
      <c r="LJ27" s="76"/>
      <c r="LK27" s="76"/>
      <c r="LL27" s="76"/>
      <c r="LM27" s="76"/>
      <c r="LN27" s="76"/>
      <c r="LO27" s="76"/>
      <c r="LP27" s="76"/>
      <c r="LQ27" s="76"/>
      <c r="LR27" s="76"/>
      <c r="LS27" s="76"/>
      <c r="LT27" s="76"/>
      <c r="LU27" s="76"/>
      <c r="LV27" s="76"/>
      <c r="LW27" s="76"/>
      <c r="LX27" s="76"/>
      <c r="LY27" s="76"/>
      <c r="LZ27" s="76"/>
      <c r="MA27" s="76"/>
      <c r="MB27" s="76"/>
      <c r="MC27" s="76"/>
      <c r="MD27" s="76"/>
      <c r="ME27" s="76"/>
      <c r="MF27" s="76"/>
      <c r="MG27" s="76"/>
      <c r="MH27" s="76"/>
      <c r="MI27" s="76"/>
      <c r="MJ27" s="76"/>
      <c r="MK27" s="76"/>
      <c r="ML27" s="76"/>
      <c r="MM27" s="76"/>
      <c r="MN27" s="76"/>
      <c r="MO27" s="76"/>
      <c r="MP27" s="76"/>
      <c r="MQ27" s="76"/>
      <c r="MR27" s="76"/>
      <c r="MS27" s="76"/>
      <c r="MT27" s="76"/>
      <c r="MU27" s="76"/>
      <c r="MV27" s="76"/>
      <c r="MW27" s="76"/>
      <c r="MX27" s="76"/>
      <c r="MY27" s="76"/>
      <c r="MZ27" s="76"/>
      <c r="NA27" s="76"/>
      <c r="NB27" s="76"/>
      <c r="NC27" s="76"/>
      <c r="ND27" s="76"/>
      <c r="NE27" s="76"/>
      <c r="NF27" s="76"/>
      <c r="NG27" s="76"/>
      <c r="NH27" s="76"/>
      <c r="NI27" s="76"/>
      <c r="NJ27" s="76"/>
      <c r="NK27" s="76"/>
      <c r="NL27" s="76"/>
      <c r="NM27" s="76"/>
      <c r="NN27" s="76"/>
      <c r="NO27" s="76"/>
      <c r="NP27" s="76"/>
      <c r="NQ27" s="76"/>
      <c r="NR27" s="76"/>
      <c r="NS27" s="76"/>
      <c r="NT27" s="76"/>
      <c r="NU27" s="76"/>
      <c r="NV27" s="76"/>
      <c r="NW27" s="76"/>
      <c r="NX27" s="76"/>
      <c r="NY27" s="76"/>
      <c r="NZ27" s="76"/>
      <c r="OA27" s="76"/>
      <c r="OB27" s="76"/>
      <c r="OC27" s="76"/>
      <c r="OD27" s="76"/>
      <c r="OE27" s="76"/>
      <c r="OF27" s="76"/>
      <c r="OG27" s="76"/>
      <c r="OH27" s="76"/>
      <c r="OI27" s="76"/>
      <c r="OJ27" s="76"/>
      <c r="OK27" s="76"/>
      <c r="OL27" s="76"/>
      <c r="OM27" s="76"/>
      <c r="ON27" s="76"/>
      <c r="OO27" s="76"/>
      <c r="OP27" s="76"/>
      <c r="OQ27" s="76"/>
      <c r="OR27" s="76"/>
      <c r="OS27" s="76"/>
      <c r="OT27" s="76"/>
      <c r="OU27" s="76"/>
      <c r="OV27" s="76"/>
      <c r="OW27" s="76"/>
      <c r="OX27" s="76"/>
      <c r="OY27" s="76"/>
      <c r="OZ27" s="76"/>
      <c r="PA27" s="76"/>
      <c r="PB27" s="76"/>
      <c r="PC27" s="76"/>
      <c r="PD27" s="76"/>
      <c r="PE27" s="76"/>
      <c r="PF27" s="76"/>
      <c r="PG27" s="76"/>
      <c r="PH27" s="76"/>
      <c r="PI27" s="76"/>
      <c r="PJ27" s="76"/>
      <c r="PK27" s="76"/>
      <c r="PL27" s="76"/>
      <c r="PM27" s="76"/>
      <c r="PN27" s="76"/>
      <c r="PO27" s="76"/>
      <c r="PP27" s="76"/>
      <c r="PQ27" s="76"/>
      <c r="PR27" s="76"/>
      <c r="PS27" s="76"/>
      <c r="PT27" s="76"/>
      <c r="PU27" s="76"/>
      <c r="PV27" s="76"/>
      <c r="PW27" s="76"/>
      <c r="PX27" s="76"/>
      <c r="PY27" s="76"/>
      <c r="PZ27" s="76"/>
      <c r="QA27" s="76"/>
      <c r="QB27" s="76"/>
      <c r="QC27" s="76"/>
      <c r="QD27" s="76"/>
      <c r="QE27" s="76"/>
      <c r="QF27" s="76"/>
      <c r="QG27" s="76"/>
      <c r="QH27" s="76"/>
      <c r="QI27" s="76"/>
      <c r="QJ27" s="76"/>
      <c r="QK27" s="76"/>
      <c r="QL27" s="76"/>
      <c r="QM27" s="76"/>
      <c r="QN27" s="76"/>
      <c r="QO27" s="76"/>
      <c r="QP27" s="76"/>
      <c r="QQ27" s="76"/>
      <c r="QR27" s="76"/>
      <c r="QS27" s="76"/>
      <c r="QT27" s="76"/>
      <c r="QU27" s="76"/>
      <c r="QV27" s="76"/>
      <c r="QW27" s="76"/>
      <c r="QX27" s="76"/>
      <c r="QY27" s="76"/>
      <c r="QZ27" s="76"/>
      <c r="RA27" s="76"/>
      <c r="RB27" s="76"/>
      <c r="RC27" s="76"/>
      <c r="RD27" s="76"/>
      <c r="RE27" s="76"/>
      <c r="RF27" s="76"/>
      <c r="RG27" s="76"/>
      <c r="RH27" s="76"/>
      <c r="RI27" s="76"/>
      <c r="RJ27" s="76"/>
      <c r="RK27" s="76"/>
      <c r="RL27" s="76"/>
      <c r="RM27" s="76"/>
      <c r="RN27" s="76"/>
      <c r="RO27" s="76"/>
      <c r="RP27" s="76"/>
      <c r="RQ27" s="76"/>
      <c r="RR27" s="76"/>
      <c r="RS27" s="76"/>
      <c r="RT27" s="76"/>
      <c r="RU27" s="76"/>
      <c r="RV27" s="76"/>
      <c r="RW27" s="76"/>
      <c r="RX27" s="76"/>
      <c r="RY27" s="76"/>
      <c r="RZ27" s="76"/>
      <c r="SA27" s="76"/>
      <c r="SB27" s="76"/>
      <c r="SC27" s="76"/>
      <c r="SD27" s="76"/>
      <c r="SE27" s="76"/>
      <c r="SF27" s="76"/>
      <c r="SG27" s="76"/>
      <c r="SH27" s="76"/>
      <c r="SI27" s="76"/>
      <c r="SJ27" s="76"/>
      <c r="SK27" s="76"/>
      <c r="SL27" s="76"/>
      <c r="SM27" s="76"/>
      <c r="SN27" s="76"/>
      <c r="SO27" s="76"/>
      <c r="SP27" s="76"/>
      <c r="SQ27" s="76"/>
      <c r="SR27" s="76"/>
      <c r="SS27" s="76"/>
      <c r="ST27" s="76"/>
      <c r="SU27" s="76"/>
      <c r="SV27" s="76"/>
      <c r="SW27" s="77"/>
    </row>
    <row r="28" customFormat="false" ht="14.25" hidden="false" customHeight="false" outlineLevel="1" collapsed="false">
      <c r="C28" s="10"/>
      <c r="D28" s="78" t="s">
        <v>28</v>
      </c>
      <c r="E28" s="79" t="s">
        <v>19</v>
      </c>
      <c r="F28" s="80" t="n">
        <v>46140</v>
      </c>
      <c r="G28" s="81" t="n">
        <v>1</v>
      </c>
      <c r="H28" s="82" t="n">
        <f aca="false">(F28+G28)-1</f>
        <v>46140</v>
      </c>
      <c r="I28" s="83" t="n">
        <v>1</v>
      </c>
      <c r="J28" s="84" t="s">
        <v>16</v>
      </c>
      <c r="K28" s="85"/>
      <c r="L28" s="75"/>
      <c r="M28" s="76"/>
      <c r="N28" s="76"/>
      <c r="O28" s="76"/>
      <c r="P28" s="76" t="str">
        <f aca="false">IF($I28&gt;0%,IF(AND(P$16&gt;=$F28,P$16&lt;$F28+($G28*$I28)),"➤",""),"")</f>
        <v>➤</v>
      </c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6"/>
      <c r="BF28" s="76"/>
      <c r="BG28" s="76"/>
      <c r="BH28" s="76"/>
      <c r="BI28" s="76"/>
      <c r="BJ28" s="76"/>
      <c r="BK28" s="76"/>
      <c r="BL28" s="76"/>
      <c r="BM28" s="76"/>
      <c r="BN28" s="76"/>
      <c r="BO28" s="76"/>
      <c r="BP28" s="76"/>
      <c r="BQ28" s="76"/>
      <c r="BR28" s="76"/>
      <c r="BS28" s="76"/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  <c r="CF28" s="76"/>
      <c r="CG28" s="76"/>
      <c r="CH28" s="76"/>
      <c r="CI28" s="76"/>
      <c r="CJ28" s="76"/>
      <c r="CK28" s="76"/>
      <c r="CL28" s="76"/>
      <c r="CM28" s="76"/>
      <c r="CN28" s="76"/>
      <c r="CO28" s="76"/>
      <c r="CP28" s="76"/>
      <c r="CQ28" s="76"/>
      <c r="CR28" s="76"/>
      <c r="CS28" s="76"/>
      <c r="CT28" s="76"/>
      <c r="CU28" s="76"/>
      <c r="CV28" s="76"/>
      <c r="CW28" s="76"/>
      <c r="CX28" s="76"/>
      <c r="CY28" s="76"/>
      <c r="CZ28" s="76"/>
      <c r="DA28" s="76"/>
      <c r="DB28" s="76"/>
      <c r="DC28" s="76"/>
      <c r="DD28" s="76"/>
      <c r="DE28" s="76"/>
      <c r="DF28" s="76"/>
      <c r="DG28" s="76"/>
      <c r="DH28" s="76"/>
      <c r="DI28" s="76"/>
      <c r="DJ28" s="76"/>
      <c r="DK28" s="76"/>
      <c r="DL28" s="76"/>
      <c r="DM28" s="76"/>
      <c r="DN28" s="76"/>
      <c r="DO28" s="76"/>
      <c r="DP28" s="76"/>
      <c r="DQ28" s="76"/>
      <c r="DR28" s="76"/>
      <c r="DS28" s="76"/>
      <c r="DT28" s="76"/>
      <c r="DU28" s="76"/>
      <c r="DV28" s="76"/>
      <c r="DW28" s="76"/>
      <c r="DX28" s="76"/>
      <c r="DY28" s="76"/>
      <c r="DZ28" s="76"/>
      <c r="EA28" s="76"/>
      <c r="EB28" s="76"/>
      <c r="EC28" s="76"/>
      <c r="ED28" s="76"/>
      <c r="EE28" s="76"/>
      <c r="EF28" s="76"/>
      <c r="EG28" s="76"/>
      <c r="EH28" s="76"/>
      <c r="EI28" s="76"/>
      <c r="EJ28" s="76"/>
      <c r="EK28" s="76"/>
      <c r="EL28" s="76"/>
      <c r="EM28" s="76"/>
      <c r="EN28" s="76"/>
      <c r="EO28" s="76"/>
      <c r="EP28" s="76"/>
      <c r="EQ28" s="76"/>
      <c r="ER28" s="76"/>
      <c r="ES28" s="76"/>
      <c r="ET28" s="76"/>
      <c r="EU28" s="76"/>
      <c r="EV28" s="76"/>
      <c r="EW28" s="76"/>
      <c r="EX28" s="76"/>
      <c r="EY28" s="76"/>
      <c r="EZ28" s="76"/>
      <c r="FA28" s="76"/>
      <c r="FB28" s="76"/>
      <c r="FC28" s="76"/>
      <c r="FD28" s="76"/>
      <c r="FE28" s="76"/>
      <c r="FF28" s="76"/>
      <c r="FG28" s="76"/>
      <c r="FH28" s="76"/>
      <c r="FI28" s="76"/>
      <c r="FJ28" s="76"/>
      <c r="FK28" s="76"/>
      <c r="FL28" s="76"/>
      <c r="FM28" s="76"/>
      <c r="FN28" s="76"/>
      <c r="FO28" s="76"/>
      <c r="FP28" s="76"/>
      <c r="FQ28" s="76"/>
      <c r="FR28" s="76"/>
      <c r="FS28" s="76"/>
      <c r="FT28" s="76"/>
      <c r="FU28" s="76"/>
      <c r="FV28" s="76"/>
      <c r="FW28" s="76"/>
      <c r="FX28" s="76"/>
      <c r="FY28" s="76"/>
      <c r="FZ28" s="76"/>
      <c r="GA28" s="76"/>
      <c r="GB28" s="76"/>
      <c r="GC28" s="76"/>
      <c r="GD28" s="76"/>
      <c r="GE28" s="76"/>
      <c r="GF28" s="76"/>
      <c r="GG28" s="76"/>
      <c r="GH28" s="76"/>
      <c r="GI28" s="76"/>
      <c r="GJ28" s="76"/>
      <c r="GK28" s="76"/>
      <c r="GL28" s="76"/>
      <c r="GM28" s="76"/>
      <c r="GN28" s="76"/>
      <c r="GO28" s="76"/>
      <c r="GP28" s="76"/>
      <c r="GQ28" s="76"/>
      <c r="GR28" s="76"/>
      <c r="GS28" s="76"/>
      <c r="GT28" s="76"/>
      <c r="GU28" s="76"/>
      <c r="GV28" s="76"/>
      <c r="GW28" s="76"/>
      <c r="GX28" s="76"/>
      <c r="GY28" s="76"/>
      <c r="GZ28" s="76"/>
      <c r="HA28" s="76"/>
      <c r="HB28" s="76"/>
      <c r="HC28" s="76"/>
      <c r="HD28" s="76"/>
      <c r="HE28" s="76"/>
      <c r="HF28" s="76"/>
      <c r="HG28" s="76"/>
      <c r="HH28" s="76"/>
      <c r="HI28" s="76"/>
      <c r="HJ28" s="76"/>
      <c r="HK28" s="76"/>
      <c r="HL28" s="76"/>
      <c r="HM28" s="76"/>
      <c r="HN28" s="76"/>
      <c r="HO28" s="76"/>
      <c r="HP28" s="76"/>
      <c r="HQ28" s="76"/>
      <c r="HR28" s="76"/>
      <c r="HS28" s="76"/>
      <c r="HT28" s="76"/>
      <c r="HU28" s="76"/>
      <c r="HV28" s="76"/>
      <c r="HW28" s="76"/>
      <c r="HX28" s="76"/>
      <c r="HY28" s="76"/>
      <c r="HZ28" s="76"/>
      <c r="IA28" s="76"/>
      <c r="IB28" s="76"/>
      <c r="IC28" s="76"/>
      <c r="ID28" s="76"/>
      <c r="IE28" s="76"/>
      <c r="IF28" s="76"/>
      <c r="IG28" s="76"/>
      <c r="IH28" s="76"/>
      <c r="II28" s="76"/>
      <c r="IJ28" s="76"/>
      <c r="IK28" s="76"/>
      <c r="IL28" s="76"/>
      <c r="IM28" s="76"/>
      <c r="IN28" s="76"/>
      <c r="IO28" s="76"/>
      <c r="IP28" s="76"/>
      <c r="IQ28" s="76"/>
      <c r="IR28" s="76"/>
      <c r="IS28" s="76"/>
      <c r="IT28" s="76"/>
      <c r="IU28" s="76"/>
      <c r="IV28" s="76"/>
      <c r="IW28" s="76"/>
      <c r="IX28" s="76"/>
      <c r="IY28" s="76"/>
      <c r="IZ28" s="76"/>
      <c r="JA28" s="76"/>
      <c r="JB28" s="76"/>
      <c r="JC28" s="76"/>
      <c r="JD28" s="76"/>
      <c r="JE28" s="76"/>
      <c r="JF28" s="76"/>
      <c r="JG28" s="76"/>
      <c r="JH28" s="76"/>
      <c r="JI28" s="76"/>
      <c r="JJ28" s="76"/>
      <c r="JK28" s="76"/>
      <c r="JL28" s="76"/>
      <c r="JM28" s="76"/>
      <c r="JN28" s="76"/>
      <c r="JO28" s="76"/>
      <c r="JP28" s="76"/>
      <c r="JQ28" s="76"/>
      <c r="JR28" s="76"/>
      <c r="JS28" s="76"/>
      <c r="JT28" s="76"/>
      <c r="JU28" s="76"/>
      <c r="JV28" s="76"/>
      <c r="JW28" s="76"/>
      <c r="JX28" s="76"/>
      <c r="JY28" s="76"/>
      <c r="JZ28" s="76"/>
      <c r="KA28" s="76"/>
      <c r="KB28" s="76"/>
      <c r="KC28" s="76"/>
      <c r="KD28" s="76"/>
      <c r="KE28" s="76"/>
      <c r="KF28" s="76"/>
      <c r="KG28" s="76"/>
      <c r="KH28" s="76"/>
      <c r="KI28" s="76"/>
      <c r="KJ28" s="76"/>
      <c r="KK28" s="76"/>
      <c r="KL28" s="76"/>
      <c r="KM28" s="76"/>
      <c r="KN28" s="76"/>
      <c r="KO28" s="76"/>
      <c r="KP28" s="76"/>
      <c r="KQ28" s="76"/>
      <c r="KR28" s="76"/>
      <c r="KS28" s="76"/>
      <c r="KT28" s="76"/>
      <c r="KU28" s="76"/>
      <c r="KV28" s="76"/>
      <c r="KW28" s="76"/>
      <c r="KX28" s="76"/>
      <c r="KY28" s="76"/>
      <c r="KZ28" s="76"/>
      <c r="LA28" s="76"/>
      <c r="LB28" s="76"/>
      <c r="LC28" s="76"/>
      <c r="LD28" s="76"/>
      <c r="LE28" s="76"/>
      <c r="LF28" s="76"/>
      <c r="LG28" s="76"/>
      <c r="LH28" s="76"/>
      <c r="LI28" s="76"/>
      <c r="LJ28" s="76"/>
      <c r="LK28" s="76"/>
      <c r="LL28" s="76"/>
      <c r="LM28" s="76"/>
      <c r="LN28" s="76"/>
      <c r="LO28" s="76"/>
      <c r="LP28" s="76"/>
      <c r="LQ28" s="76"/>
      <c r="LR28" s="76"/>
      <c r="LS28" s="76"/>
      <c r="LT28" s="76"/>
      <c r="LU28" s="76"/>
      <c r="LV28" s="76"/>
      <c r="LW28" s="76"/>
      <c r="LX28" s="76"/>
      <c r="LY28" s="76"/>
      <c r="LZ28" s="76"/>
      <c r="MA28" s="76"/>
      <c r="MB28" s="76"/>
      <c r="MC28" s="76"/>
      <c r="MD28" s="76"/>
      <c r="ME28" s="76"/>
      <c r="MF28" s="76"/>
      <c r="MG28" s="76"/>
      <c r="MH28" s="76"/>
      <c r="MI28" s="76"/>
      <c r="MJ28" s="76"/>
      <c r="MK28" s="76"/>
      <c r="ML28" s="76"/>
      <c r="MM28" s="76"/>
      <c r="MN28" s="76"/>
      <c r="MO28" s="76"/>
      <c r="MP28" s="76"/>
      <c r="MQ28" s="76"/>
      <c r="MR28" s="76"/>
      <c r="MS28" s="76"/>
      <c r="MT28" s="76"/>
      <c r="MU28" s="76"/>
      <c r="MV28" s="76"/>
      <c r="MW28" s="76"/>
      <c r="MX28" s="76"/>
      <c r="MY28" s="76"/>
      <c r="MZ28" s="76"/>
      <c r="NA28" s="76"/>
      <c r="NB28" s="76"/>
      <c r="NC28" s="76"/>
      <c r="ND28" s="76"/>
      <c r="NE28" s="76"/>
      <c r="NF28" s="76"/>
      <c r="NG28" s="76"/>
      <c r="NH28" s="76"/>
      <c r="NI28" s="76"/>
      <c r="NJ28" s="76"/>
      <c r="NK28" s="76"/>
      <c r="NL28" s="76"/>
      <c r="NM28" s="76"/>
      <c r="NN28" s="76"/>
      <c r="NO28" s="76"/>
      <c r="NP28" s="76"/>
      <c r="NQ28" s="76"/>
      <c r="NR28" s="76"/>
      <c r="NS28" s="76"/>
      <c r="NT28" s="76"/>
      <c r="NU28" s="76"/>
      <c r="NV28" s="76"/>
      <c r="NW28" s="76"/>
      <c r="NX28" s="76"/>
      <c r="NY28" s="76"/>
      <c r="NZ28" s="76"/>
      <c r="OA28" s="76"/>
      <c r="OB28" s="76"/>
      <c r="OC28" s="76"/>
      <c r="OD28" s="76"/>
      <c r="OE28" s="76"/>
      <c r="OF28" s="76"/>
      <c r="OG28" s="76"/>
      <c r="OH28" s="76"/>
      <c r="OI28" s="76"/>
      <c r="OJ28" s="76"/>
      <c r="OK28" s="76"/>
      <c r="OL28" s="76"/>
      <c r="OM28" s="76"/>
      <c r="ON28" s="76"/>
      <c r="OO28" s="76"/>
      <c r="OP28" s="76"/>
      <c r="OQ28" s="76"/>
      <c r="OR28" s="76"/>
      <c r="OS28" s="76"/>
      <c r="OT28" s="76"/>
      <c r="OU28" s="76"/>
      <c r="OV28" s="76"/>
      <c r="OW28" s="76"/>
      <c r="OX28" s="76"/>
      <c r="OY28" s="76"/>
      <c r="OZ28" s="76"/>
      <c r="PA28" s="76"/>
      <c r="PB28" s="76"/>
      <c r="PC28" s="76"/>
      <c r="PD28" s="76"/>
      <c r="PE28" s="76"/>
      <c r="PF28" s="76"/>
      <c r="PG28" s="76"/>
      <c r="PH28" s="76"/>
      <c r="PI28" s="76"/>
      <c r="PJ28" s="76"/>
      <c r="PK28" s="76"/>
      <c r="PL28" s="76"/>
      <c r="PM28" s="76"/>
      <c r="PN28" s="76"/>
      <c r="PO28" s="76"/>
      <c r="PP28" s="76"/>
      <c r="PQ28" s="76"/>
      <c r="PR28" s="76"/>
      <c r="PS28" s="76"/>
      <c r="PT28" s="76"/>
      <c r="PU28" s="76"/>
      <c r="PV28" s="76"/>
      <c r="PW28" s="76"/>
      <c r="PX28" s="76"/>
      <c r="PY28" s="76"/>
      <c r="PZ28" s="76"/>
      <c r="QA28" s="76"/>
      <c r="QB28" s="76"/>
      <c r="QC28" s="76"/>
      <c r="QD28" s="76"/>
      <c r="QE28" s="76"/>
      <c r="QF28" s="76"/>
      <c r="QG28" s="76"/>
      <c r="QH28" s="76"/>
      <c r="QI28" s="76"/>
      <c r="QJ28" s="76"/>
      <c r="QK28" s="76"/>
      <c r="QL28" s="76"/>
      <c r="QM28" s="76"/>
      <c r="QN28" s="76"/>
      <c r="QO28" s="76"/>
      <c r="QP28" s="76"/>
      <c r="QQ28" s="76"/>
      <c r="QR28" s="76"/>
      <c r="QS28" s="76"/>
      <c r="QT28" s="76"/>
      <c r="QU28" s="76"/>
      <c r="QV28" s="76"/>
      <c r="QW28" s="76"/>
      <c r="QX28" s="76"/>
      <c r="QY28" s="76"/>
      <c r="QZ28" s="76"/>
      <c r="RA28" s="76"/>
      <c r="RB28" s="76"/>
      <c r="RC28" s="76"/>
      <c r="RD28" s="76"/>
      <c r="RE28" s="76"/>
      <c r="RF28" s="76"/>
      <c r="RG28" s="76"/>
      <c r="RH28" s="76"/>
      <c r="RI28" s="76"/>
      <c r="RJ28" s="76"/>
      <c r="RK28" s="76"/>
      <c r="RL28" s="76"/>
      <c r="RM28" s="76"/>
      <c r="RN28" s="76"/>
      <c r="RO28" s="76"/>
      <c r="RP28" s="76"/>
      <c r="RQ28" s="76"/>
      <c r="RR28" s="76"/>
      <c r="RS28" s="76"/>
      <c r="RT28" s="76"/>
      <c r="RU28" s="76"/>
      <c r="RV28" s="76"/>
      <c r="RW28" s="76"/>
      <c r="RX28" s="76"/>
      <c r="RY28" s="76"/>
      <c r="RZ28" s="76"/>
      <c r="SA28" s="76"/>
      <c r="SB28" s="76"/>
      <c r="SC28" s="76"/>
      <c r="SD28" s="76"/>
      <c r="SE28" s="76"/>
      <c r="SF28" s="76"/>
      <c r="SG28" s="76"/>
      <c r="SH28" s="76"/>
      <c r="SI28" s="76"/>
      <c r="SJ28" s="76"/>
      <c r="SK28" s="76"/>
      <c r="SL28" s="76"/>
      <c r="SM28" s="76"/>
      <c r="SN28" s="76"/>
      <c r="SO28" s="76"/>
      <c r="SP28" s="76"/>
      <c r="SQ28" s="76"/>
      <c r="SR28" s="76"/>
      <c r="SS28" s="76"/>
      <c r="ST28" s="76"/>
      <c r="SU28" s="76"/>
      <c r="SV28" s="76"/>
      <c r="SW28" s="77"/>
    </row>
    <row r="29" customFormat="false" ht="14.25" hidden="false" customHeight="false" outlineLevel="1" collapsed="false">
      <c r="C29" s="10"/>
      <c r="D29" s="78" t="s">
        <v>29</v>
      </c>
      <c r="E29" s="79" t="s">
        <v>21</v>
      </c>
      <c r="F29" s="80" t="n">
        <v>46140</v>
      </c>
      <c r="G29" s="81" t="n">
        <v>1</v>
      </c>
      <c r="H29" s="82" t="n">
        <v>46140</v>
      </c>
      <c r="I29" s="83" t="n">
        <v>1</v>
      </c>
      <c r="J29" s="84" t="s">
        <v>16</v>
      </c>
      <c r="K29" s="85"/>
      <c r="L29" s="75"/>
      <c r="M29" s="76"/>
      <c r="N29" s="76"/>
      <c r="O29" s="76"/>
      <c r="P29" s="76" t="str">
        <f aca="false">IF($I29&gt;0%,IF(AND(P$16&gt;=$F29,P$16&lt;$F29+($G29*$I29)),"➤",""),"")</f>
        <v>➤</v>
      </c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6"/>
      <c r="BF29" s="76"/>
      <c r="BG29" s="76"/>
      <c r="BH29" s="76"/>
      <c r="BI29" s="76"/>
      <c r="BJ29" s="76"/>
      <c r="BK29" s="76"/>
      <c r="BL29" s="76"/>
      <c r="BM29" s="76"/>
      <c r="BN29" s="76"/>
      <c r="BO29" s="76"/>
      <c r="BP29" s="76"/>
      <c r="BQ29" s="76"/>
      <c r="BR29" s="76"/>
      <c r="BS29" s="76"/>
      <c r="BT29" s="76"/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6"/>
      <c r="CF29" s="76"/>
      <c r="CG29" s="76"/>
      <c r="CH29" s="76"/>
      <c r="CI29" s="76"/>
      <c r="CJ29" s="76"/>
      <c r="CK29" s="76"/>
      <c r="CL29" s="76"/>
      <c r="CM29" s="76"/>
      <c r="CN29" s="76"/>
      <c r="CO29" s="76"/>
      <c r="CP29" s="76"/>
      <c r="CQ29" s="76"/>
      <c r="CR29" s="76"/>
      <c r="CS29" s="76"/>
      <c r="CT29" s="76"/>
      <c r="CU29" s="76"/>
      <c r="CV29" s="76"/>
      <c r="CW29" s="76"/>
      <c r="CX29" s="76"/>
      <c r="CY29" s="76"/>
      <c r="CZ29" s="76"/>
      <c r="DA29" s="76"/>
      <c r="DB29" s="76"/>
      <c r="DC29" s="76"/>
      <c r="DD29" s="76"/>
      <c r="DE29" s="76"/>
      <c r="DF29" s="76"/>
      <c r="DG29" s="76"/>
      <c r="DH29" s="76"/>
      <c r="DI29" s="76"/>
      <c r="DJ29" s="76"/>
      <c r="DK29" s="76"/>
      <c r="DL29" s="76"/>
      <c r="DM29" s="76"/>
      <c r="DN29" s="76"/>
      <c r="DO29" s="76"/>
      <c r="DP29" s="76"/>
      <c r="DQ29" s="76"/>
      <c r="DR29" s="76"/>
      <c r="DS29" s="76"/>
      <c r="DT29" s="76"/>
      <c r="DU29" s="76"/>
      <c r="DV29" s="76"/>
      <c r="DW29" s="76"/>
      <c r="DX29" s="76"/>
      <c r="DY29" s="76"/>
      <c r="DZ29" s="76"/>
      <c r="EA29" s="76"/>
      <c r="EB29" s="76"/>
      <c r="EC29" s="76"/>
      <c r="ED29" s="76"/>
      <c r="EE29" s="76"/>
      <c r="EF29" s="76"/>
      <c r="EG29" s="76"/>
      <c r="EH29" s="76"/>
      <c r="EI29" s="76"/>
      <c r="EJ29" s="76"/>
      <c r="EK29" s="76"/>
      <c r="EL29" s="76"/>
      <c r="EM29" s="76"/>
      <c r="EN29" s="76"/>
      <c r="EO29" s="76"/>
      <c r="EP29" s="76"/>
      <c r="EQ29" s="76"/>
      <c r="ER29" s="76"/>
      <c r="ES29" s="76"/>
      <c r="ET29" s="76"/>
      <c r="EU29" s="76"/>
      <c r="EV29" s="76"/>
      <c r="EW29" s="76"/>
      <c r="EX29" s="76"/>
      <c r="EY29" s="76"/>
      <c r="EZ29" s="76"/>
      <c r="FA29" s="76"/>
      <c r="FB29" s="76"/>
      <c r="FC29" s="76"/>
      <c r="FD29" s="76"/>
      <c r="FE29" s="76"/>
      <c r="FF29" s="76"/>
      <c r="FG29" s="76"/>
      <c r="FH29" s="76"/>
      <c r="FI29" s="76"/>
      <c r="FJ29" s="76"/>
      <c r="FK29" s="76"/>
      <c r="FL29" s="76"/>
      <c r="FM29" s="76"/>
      <c r="FN29" s="76"/>
      <c r="FO29" s="76"/>
      <c r="FP29" s="76"/>
      <c r="FQ29" s="76"/>
      <c r="FR29" s="76"/>
      <c r="FS29" s="76"/>
      <c r="FT29" s="76"/>
      <c r="FU29" s="76"/>
      <c r="FV29" s="76"/>
      <c r="FW29" s="76"/>
      <c r="FX29" s="76"/>
      <c r="FY29" s="76"/>
      <c r="FZ29" s="76"/>
      <c r="GA29" s="76"/>
      <c r="GB29" s="76"/>
      <c r="GC29" s="76"/>
      <c r="GD29" s="76"/>
      <c r="GE29" s="76"/>
      <c r="GF29" s="76"/>
      <c r="GG29" s="76"/>
      <c r="GH29" s="76"/>
      <c r="GI29" s="76"/>
      <c r="GJ29" s="76"/>
      <c r="GK29" s="76"/>
      <c r="GL29" s="76"/>
      <c r="GM29" s="76"/>
      <c r="GN29" s="76"/>
      <c r="GO29" s="76"/>
      <c r="GP29" s="76"/>
      <c r="GQ29" s="76"/>
      <c r="GR29" s="76"/>
      <c r="GS29" s="76"/>
      <c r="GT29" s="76"/>
      <c r="GU29" s="76"/>
      <c r="GV29" s="76"/>
      <c r="GW29" s="76"/>
      <c r="GX29" s="76"/>
      <c r="GY29" s="76"/>
      <c r="GZ29" s="76"/>
      <c r="HA29" s="76"/>
      <c r="HB29" s="76"/>
      <c r="HC29" s="76"/>
      <c r="HD29" s="76"/>
      <c r="HE29" s="76"/>
      <c r="HF29" s="76"/>
      <c r="HG29" s="76"/>
      <c r="HH29" s="76"/>
      <c r="HI29" s="76"/>
      <c r="HJ29" s="76"/>
      <c r="HK29" s="76"/>
      <c r="HL29" s="76"/>
      <c r="HM29" s="76"/>
      <c r="HN29" s="76"/>
      <c r="HO29" s="76"/>
      <c r="HP29" s="76"/>
      <c r="HQ29" s="76"/>
      <c r="HR29" s="76"/>
      <c r="HS29" s="76"/>
      <c r="HT29" s="76"/>
      <c r="HU29" s="76"/>
      <c r="HV29" s="76"/>
      <c r="HW29" s="76"/>
      <c r="HX29" s="76"/>
      <c r="HY29" s="76"/>
      <c r="HZ29" s="76"/>
      <c r="IA29" s="76"/>
      <c r="IB29" s="76"/>
      <c r="IC29" s="76"/>
      <c r="ID29" s="76"/>
      <c r="IE29" s="76"/>
      <c r="IF29" s="76"/>
      <c r="IG29" s="76"/>
      <c r="IH29" s="76"/>
      <c r="II29" s="76"/>
      <c r="IJ29" s="76"/>
      <c r="IK29" s="76"/>
      <c r="IL29" s="76"/>
      <c r="IM29" s="76"/>
      <c r="IN29" s="76"/>
      <c r="IO29" s="76"/>
      <c r="IP29" s="76"/>
      <c r="IQ29" s="76"/>
      <c r="IR29" s="76"/>
      <c r="IS29" s="76"/>
      <c r="IT29" s="76"/>
      <c r="IU29" s="76"/>
      <c r="IV29" s="76"/>
      <c r="IW29" s="76"/>
      <c r="IX29" s="76"/>
      <c r="IY29" s="76"/>
      <c r="IZ29" s="76"/>
      <c r="JA29" s="76"/>
      <c r="JB29" s="76"/>
      <c r="JC29" s="76"/>
      <c r="JD29" s="76"/>
      <c r="JE29" s="76"/>
      <c r="JF29" s="76"/>
      <c r="JG29" s="76"/>
      <c r="JH29" s="76"/>
      <c r="JI29" s="76"/>
      <c r="JJ29" s="76"/>
      <c r="JK29" s="76"/>
      <c r="JL29" s="76"/>
      <c r="JM29" s="76"/>
      <c r="JN29" s="76"/>
      <c r="JO29" s="76"/>
      <c r="JP29" s="76"/>
      <c r="JQ29" s="76"/>
      <c r="JR29" s="76"/>
      <c r="JS29" s="76"/>
      <c r="JT29" s="76"/>
      <c r="JU29" s="76"/>
      <c r="JV29" s="76"/>
      <c r="JW29" s="76"/>
      <c r="JX29" s="76"/>
      <c r="JY29" s="76"/>
      <c r="JZ29" s="76"/>
      <c r="KA29" s="76"/>
      <c r="KB29" s="76"/>
      <c r="KC29" s="76"/>
      <c r="KD29" s="76"/>
      <c r="KE29" s="76"/>
      <c r="KF29" s="76"/>
      <c r="KG29" s="76"/>
      <c r="KH29" s="76"/>
      <c r="KI29" s="76"/>
      <c r="KJ29" s="76"/>
      <c r="KK29" s="76"/>
      <c r="KL29" s="76"/>
      <c r="KM29" s="76"/>
      <c r="KN29" s="76"/>
      <c r="KO29" s="76"/>
      <c r="KP29" s="76"/>
      <c r="KQ29" s="76"/>
      <c r="KR29" s="76"/>
      <c r="KS29" s="76"/>
      <c r="KT29" s="76"/>
      <c r="KU29" s="76"/>
      <c r="KV29" s="76"/>
      <c r="KW29" s="76"/>
      <c r="KX29" s="76"/>
      <c r="KY29" s="76"/>
      <c r="KZ29" s="76"/>
      <c r="LA29" s="76"/>
      <c r="LB29" s="76"/>
      <c r="LC29" s="76"/>
      <c r="LD29" s="76"/>
      <c r="LE29" s="76"/>
      <c r="LF29" s="76"/>
      <c r="LG29" s="76"/>
      <c r="LH29" s="76"/>
      <c r="LI29" s="76"/>
      <c r="LJ29" s="76"/>
      <c r="LK29" s="76"/>
      <c r="LL29" s="76"/>
      <c r="LM29" s="76"/>
      <c r="LN29" s="76"/>
      <c r="LO29" s="76"/>
      <c r="LP29" s="76"/>
      <c r="LQ29" s="76"/>
      <c r="LR29" s="76"/>
      <c r="LS29" s="76"/>
      <c r="LT29" s="76"/>
      <c r="LU29" s="76"/>
      <c r="LV29" s="76"/>
      <c r="LW29" s="76"/>
      <c r="LX29" s="76"/>
      <c r="LY29" s="76"/>
      <c r="LZ29" s="76"/>
      <c r="MA29" s="76"/>
      <c r="MB29" s="76"/>
      <c r="MC29" s="76"/>
      <c r="MD29" s="76"/>
      <c r="ME29" s="76"/>
      <c r="MF29" s="76"/>
      <c r="MG29" s="76"/>
      <c r="MH29" s="76"/>
      <c r="MI29" s="76"/>
      <c r="MJ29" s="76"/>
      <c r="MK29" s="76"/>
      <c r="ML29" s="76"/>
      <c r="MM29" s="76"/>
      <c r="MN29" s="76"/>
      <c r="MO29" s="76"/>
      <c r="MP29" s="76"/>
      <c r="MQ29" s="76"/>
      <c r="MR29" s="76"/>
      <c r="MS29" s="76"/>
      <c r="MT29" s="76"/>
      <c r="MU29" s="76"/>
      <c r="MV29" s="76"/>
      <c r="MW29" s="76"/>
      <c r="MX29" s="76"/>
      <c r="MY29" s="76"/>
      <c r="MZ29" s="76"/>
      <c r="NA29" s="76"/>
      <c r="NB29" s="76"/>
      <c r="NC29" s="76"/>
      <c r="ND29" s="76"/>
      <c r="NE29" s="76"/>
      <c r="NF29" s="76"/>
      <c r="NG29" s="76"/>
      <c r="NH29" s="76"/>
      <c r="NI29" s="76"/>
      <c r="NJ29" s="76"/>
      <c r="NK29" s="76"/>
      <c r="NL29" s="76"/>
      <c r="NM29" s="76"/>
      <c r="NN29" s="76"/>
      <c r="NO29" s="76"/>
      <c r="NP29" s="76"/>
      <c r="NQ29" s="76"/>
      <c r="NR29" s="76"/>
      <c r="NS29" s="76"/>
      <c r="NT29" s="76"/>
      <c r="NU29" s="76"/>
      <c r="NV29" s="76"/>
      <c r="NW29" s="76"/>
      <c r="NX29" s="76"/>
      <c r="NY29" s="76"/>
      <c r="NZ29" s="76"/>
      <c r="OA29" s="76"/>
      <c r="OB29" s="76"/>
      <c r="OC29" s="76"/>
      <c r="OD29" s="76"/>
      <c r="OE29" s="76"/>
      <c r="OF29" s="76"/>
      <c r="OG29" s="76"/>
      <c r="OH29" s="76"/>
      <c r="OI29" s="76"/>
      <c r="OJ29" s="76"/>
      <c r="OK29" s="76"/>
      <c r="OL29" s="76"/>
      <c r="OM29" s="76"/>
      <c r="ON29" s="76"/>
      <c r="OO29" s="76"/>
      <c r="OP29" s="76"/>
      <c r="OQ29" s="76"/>
      <c r="OR29" s="76"/>
      <c r="OS29" s="76"/>
      <c r="OT29" s="76"/>
      <c r="OU29" s="76"/>
      <c r="OV29" s="76"/>
      <c r="OW29" s="76"/>
      <c r="OX29" s="76"/>
      <c r="OY29" s="76"/>
      <c r="OZ29" s="76"/>
      <c r="PA29" s="76"/>
      <c r="PB29" s="76"/>
      <c r="PC29" s="76"/>
      <c r="PD29" s="76"/>
      <c r="PE29" s="76"/>
      <c r="PF29" s="76"/>
      <c r="PG29" s="76"/>
      <c r="PH29" s="76"/>
      <c r="PI29" s="76"/>
      <c r="PJ29" s="76"/>
      <c r="PK29" s="76"/>
      <c r="PL29" s="76"/>
      <c r="PM29" s="76"/>
      <c r="PN29" s="76"/>
      <c r="PO29" s="76"/>
      <c r="PP29" s="76"/>
      <c r="PQ29" s="76"/>
      <c r="PR29" s="76"/>
      <c r="PS29" s="76"/>
      <c r="PT29" s="76"/>
      <c r="PU29" s="76"/>
      <c r="PV29" s="76"/>
      <c r="PW29" s="76"/>
      <c r="PX29" s="76"/>
      <c r="PY29" s="76"/>
      <c r="PZ29" s="76"/>
      <c r="QA29" s="76"/>
      <c r="QB29" s="76"/>
      <c r="QC29" s="76"/>
      <c r="QD29" s="76"/>
      <c r="QE29" s="76"/>
      <c r="QF29" s="76"/>
      <c r="QG29" s="76"/>
      <c r="QH29" s="76"/>
      <c r="QI29" s="76"/>
      <c r="QJ29" s="76"/>
      <c r="QK29" s="76"/>
      <c r="QL29" s="76"/>
      <c r="QM29" s="76"/>
      <c r="QN29" s="76"/>
      <c r="QO29" s="76"/>
      <c r="QP29" s="76"/>
      <c r="QQ29" s="76"/>
      <c r="QR29" s="76"/>
      <c r="QS29" s="76"/>
      <c r="QT29" s="76"/>
      <c r="QU29" s="76"/>
      <c r="QV29" s="76"/>
      <c r="QW29" s="76"/>
      <c r="QX29" s="76"/>
      <c r="QY29" s="76"/>
      <c r="QZ29" s="76"/>
      <c r="RA29" s="76"/>
      <c r="RB29" s="76"/>
      <c r="RC29" s="76"/>
      <c r="RD29" s="76"/>
      <c r="RE29" s="76"/>
      <c r="RF29" s="76"/>
      <c r="RG29" s="76"/>
      <c r="RH29" s="76"/>
      <c r="RI29" s="76"/>
      <c r="RJ29" s="76"/>
      <c r="RK29" s="76"/>
      <c r="RL29" s="76"/>
      <c r="RM29" s="76"/>
      <c r="RN29" s="76"/>
      <c r="RO29" s="76"/>
      <c r="RP29" s="76"/>
      <c r="RQ29" s="76"/>
      <c r="RR29" s="76"/>
      <c r="RS29" s="76"/>
      <c r="RT29" s="76"/>
      <c r="RU29" s="76"/>
      <c r="RV29" s="76"/>
      <c r="RW29" s="76"/>
      <c r="RX29" s="76"/>
      <c r="RY29" s="76"/>
      <c r="RZ29" s="76"/>
      <c r="SA29" s="76"/>
      <c r="SB29" s="76"/>
      <c r="SC29" s="76"/>
      <c r="SD29" s="76"/>
      <c r="SE29" s="76"/>
      <c r="SF29" s="76"/>
      <c r="SG29" s="76"/>
      <c r="SH29" s="76"/>
      <c r="SI29" s="76"/>
      <c r="SJ29" s="76"/>
      <c r="SK29" s="76"/>
      <c r="SL29" s="76"/>
      <c r="SM29" s="76"/>
      <c r="SN29" s="76"/>
      <c r="SO29" s="76"/>
      <c r="SP29" s="76"/>
      <c r="SQ29" s="76"/>
      <c r="SR29" s="76"/>
      <c r="SS29" s="76"/>
      <c r="ST29" s="76"/>
      <c r="SU29" s="76"/>
      <c r="SV29" s="76"/>
      <c r="SW29" s="77"/>
    </row>
    <row r="30" customFormat="false" ht="22.35" hidden="false" customHeight="false" outlineLevel="1" collapsed="false">
      <c r="C30" s="10"/>
      <c r="D30" s="78" t="s">
        <v>30</v>
      </c>
      <c r="E30" s="79" t="s">
        <v>23</v>
      </c>
      <c r="F30" s="80" t="n">
        <v>46140</v>
      </c>
      <c r="G30" s="81" t="n">
        <v>1</v>
      </c>
      <c r="H30" s="82" t="n">
        <v>46140</v>
      </c>
      <c r="I30" s="83" t="n">
        <v>1</v>
      </c>
      <c r="J30" s="84" t="s">
        <v>16</v>
      </c>
      <c r="K30" s="85"/>
      <c r="L30" s="75" t="str">
        <f aca="false">IF($I30&gt;0%,IF(AND(L$16&gt;=$F30,L$16&lt;$F30+($G30*$I30)),"➤",""),"")</f>
        <v/>
      </c>
      <c r="M30" s="76" t="str">
        <f aca="false">IF($I30&gt;0%,IF(AND(M$16&gt;=$F30,M$16&lt;$F30+($G30*$I30)),"➤",""),"")</f>
        <v/>
      </c>
      <c r="N30" s="76" t="str">
        <f aca="false">IF($I30&gt;0%,IF(AND(N$16&gt;=$F30,N$16&lt;$F30+($G30*$I30)),"➤",""),"")</f>
        <v/>
      </c>
      <c r="O30" s="76" t="str">
        <f aca="false">IF($I30&gt;0%,IF(AND(O$16&gt;=$F30,O$16&lt;$F30+($G30*$I30)),"➤",""),"")</f>
        <v/>
      </c>
      <c r="P30" s="76" t="str">
        <f aca="false">IF($I30&gt;0%,IF(AND(P$16&gt;=$F30,P$16&lt;$F30+($G30*$I30)),"➤",""),"")</f>
        <v>➤</v>
      </c>
      <c r="Q30" s="76" t="str">
        <f aca="false">IF($I30&gt;0%,IF(AND(Q$16&gt;=$F30,Q$16&lt;$F30+($G30*$I30)),"➤",""),"")</f>
        <v/>
      </c>
      <c r="R30" s="76" t="str">
        <f aca="false">IF($I30&gt;0%,IF(AND(R$16&gt;=$F30,R$16&lt;$F30+($G30*$I30)),"➤",""),"")</f>
        <v/>
      </c>
      <c r="S30" s="76" t="str">
        <f aca="false">IF($I30&gt;0%,IF(AND(S$16&gt;=$F30,S$16&lt;$F30+($G30*$I30)),"➤",""),"")</f>
        <v/>
      </c>
      <c r="T30" s="76" t="str">
        <f aca="false">IF($I30&gt;0%,IF(AND(T$16&gt;=$F30,T$16&lt;$F30+($G30*$I30)),"➤",""),"")</f>
        <v/>
      </c>
      <c r="U30" s="76" t="str">
        <f aca="false">IF($I30&gt;0%,IF(AND(U$16&gt;=$F30,U$16&lt;$F30+($G30*$I30)),"➤",""),"")</f>
        <v/>
      </c>
      <c r="V30" s="76" t="str">
        <f aca="false">IF($I30&gt;0%,IF(AND(V$16&gt;=$F30,V$16&lt;$F30+($G30*$I30)),"➤",""),"")</f>
        <v/>
      </c>
      <c r="W30" s="76" t="str">
        <f aca="false">IF($I30&gt;0%,IF(AND(W$16&gt;=$F30,W$16&lt;$F30+($G30*$I30)),"➤",""),"")</f>
        <v/>
      </c>
      <c r="X30" s="76" t="str">
        <f aca="false">IF($I30&gt;0%,IF(AND(X$16&gt;=$F30,X$16&lt;$F30+($G30*$I30)),"➤",""),"")</f>
        <v/>
      </c>
      <c r="Y30" s="76" t="str">
        <f aca="false">IF($I30&gt;0%,IF(AND(Y$16&gt;=$F30,Y$16&lt;$F30+($G30*$I30)),"➤",""),"")</f>
        <v/>
      </c>
      <c r="Z30" s="76" t="str">
        <f aca="false">IF($I30&gt;0%,IF(AND(Z$16&gt;=$F30,Z$16&lt;$F30+($G30*$I30)),"➤",""),"")</f>
        <v/>
      </c>
      <c r="AA30" s="76" t="str">
        <f aca="false">IF($I30&gt;0%,IF(AND(AA$16&gt;=$F30,AA$16&lt;$F30+($G30*$I30)),"➤",""),"")</f>
        <v/>
      </c>
      <c r="AB30" s="76" t="str">
        <f aca="false">IF($I30&gt;0%,IF(AND(AB$16&gt;=$F30,AB$16&lt;$F30+($G30*$I30)),"➤",""),"")</f>
        <v/>
      </c>
      <c r="AC30" s="76" t="str">
        <f aca="false">IF($I30&gt;0%,IF(AND(AC$16&gt;=$F30,AC$16&lt;$F30+($G30*$I30)),"➤",""),"")</f>
        <v/>
      </c>
      <c r="AD30" s="76" t="str">
        <f aca="false">IF($I30&gt;0%,IF(AND(AD$16&gt;=$F30,AD$16&lt;$F30+($G30*$I30)),"➤",""),"")</f>
        <v/>
      </c>
      <c r="AE30" s="76" t="str">
        <f aca="false">IF($I30&gt;0%,IF(AND(AE$16&gt;=$F30,AE$16&lt;$F30+($G30*$I30)),"➤",""),"")</f>
        <v/>
      </c>
      <c r="AF30" s="76" t="str">
        <f aca="false">IF($I30&gt;0%,IF(AND(AF$16&gt;=$F30,AF$16&lt;$F30+($G30*$I30)),"➤",""),"")</f>
        <v/>
      </c>
      <c r="AG30" s="76" t="str">
        <f aca="false">IF($I30&gt;0%,IF(AND(AG$16&gt;=$F30,AG$16&lt;$F30+($G30*$I30)),"➤",""),"")</f>
        <v/>
      </c>
      <c r="AH30" s="76" t="str">
        <f aca="false">IF($I30&gt;0%,IF(AND(AH$16&gt;=$F30,AH$16&lt;$F30+($G30*$I30)),"➤",""),"")</f>
        <v/>
      </c>
      <c r="AI30" s="76" t="str">
        <f aca="false">IF($I30&gt;0%,IF(AND(AI$16&gt;=$F30,AI$16&lt;$F30+($G30*$I30)),"➤",""),"")</f>
        <v/>
      </c>
      <c r="AJ30" s="76" t="str">
        <f aca="false">IF($I30&gt;0%,IF(AND(AJ$16&gt;=$F30,AJ$16&lt;$F30+($G30*$I30)),"➤",""),"")</f>
        <v/>
      </c>
      <c r="AK30" s="76" t="str">
        <f aca="false">IF($I30&gt;0%,IF(AND(AK$16&gt;=$F30,AK$16&lt;$F30+($G30*$I30)),"➤",""),"")</f>
        <v/>
      </c>
      <c r="AL30" s="76" t="str">
        <f aca="false">IF($I30&gt;0%,IF(AND(AL$16&gt;=$F30,AL$16&lt;$F30+($G30*$I30)),"➤",""),"")</f>
        <v/>
      </c>
      <c r="AM30" s="76" t="str">
        <f aca="false">IF($I30&gt;0%,IF(AND(AM$16&gt;=$F30,AM$16&lt;$F30+($G30*$I30)),"➤",""),"")</f>
        <v/>
      </c>
      <c r="AN30" s="76" t="str">
        <f aca="false">IF($I30&gt;0%,IF(AND(AN$16&gt;=$F30,AN$16&lt;$F30+($G30*$I30)),"➤",""),"")</f>
        <v/>
      </c>
      <c r="AO30" s="76" t="str">
        <f aca="false">IF($I30&gt;0%,IF(AND(AO$16&gt;=$F30,AO$16&lt;$F30+($G30*$I30)),"➤",""),"")</f>
        <v/>
      </c>
      <c r="AP30" s="76" t="str">
        <f aca="false">IF($I30&gt;0%,IF(AND(AP$16&gt;=$F30,AP$16&lt;$F30+($G30*$I30)),"➤",""),"")</f>
        <v/>
      </c>
      <c r="AQ30" s="76" t="str">
        <f aca="false">IF($I30&gt;0%,IF(AND(AQ$16&gt;=$F30,AQ$16&lt;$F30+($G30*$I30)),"➤",""),"")</f>
        <v/>
      </c>
      <c r="AR30" s="76" t="str">
        <f aca="false">IF($I30&gt;0%,IF(AND(AR$16&gt;=$F30,AR$16&lt;$F30+($G30*$I30)),"➤",""),"")</f>
        <v/>
      </c>
      <c r="AS30" s="76" t="str">
        <f aca="false">IF($I30&gt;0%,IF(AND(AS$16&gt;=$F30,AS$16&lt;$F30+($G30*$I30)),"➤",""),"")</f>
        <v/>
      </c>
      <c r="AT30" s="76" t="str">
        <f aca="false">IF($I30&gt;0%,IF(AND(AT$16&gt;=$F30,AT$16&lt;$F30+($G30*$I30)),"➤",""),"")</f>
        <v/>
      </c>
      <c r="AU30" s="76" t="str">
        <f aca="false">IF($I30&gt;0%,IF(AND(AU$16&gt;=$F30,AU$16&lt;$F30+($G30*$I30)),"➤",""),"")</f>
        <v/>
      </c>
      <c r="AV30" s="76" t="str">
        <f aca="false">IF($I30&gt;0%,IF(AND(AV$16&gt;=$F30,AV$16&lt;$F30+($G30*$I30)),"➤",""),"")</f>
        <v/>
      </c>
      <c r="AW30" s="76" t="str">
        <f aca="false">IF($I30&gt;0%,IF(AND(AW$16&gt;=$F30,AW$16&lt;$F30+($G30*$I30)),"➤",""),"")</f>
        <v/>
      </c>
      <c r="AX30" s="76" t="str">
        <f aca="false">IF($I30&gt;0%,IF(AND(AX$16&gt;=$F30,AX$16&lt;$F30+($G30*$I30)),"➤",""),"")</f>
        <v/>
      </c>
      <c r="AY30" s="76" t="str">
        <f aca="false">IF($I30&gt;0%,IF(AND(AY$16&gt;=$F30,AY$16&lt;$F30+($G30*$I30)),"➤",""),"")</f>
        <v/>
      </c>
      <c r="AZ30" s="76" t="str">
        <f aca="false">IF($I30&gt;0%,IF(AND(AZ$16&gt;=$F30,AZ$16&lt;$F30+($G30*$I30)),"➤",""),"")</f>
        <v/>
      </c>
      <c r="BA30" s="76" t="str">
        <f aca="false">IF($I30&gt;0%,IF(AND(BA$16&gt;=$F30,BA$16&lt;$F30+($G30*$I30)),"➤",""),"")</f>
        <v/>
      </c>
      <c r="BB30" s="76" t="str">
        <f aca="false">IF($I30&gt;0%,IF(AND(BB$16&gt;=$F30,BB$16&lt;$F30+($G30*$I30)),"➤",""),"")</f>
        <v/>
      </c>
      <c r="BC30" s="76" t="str">
        <f aca="false">IF($I30&gt;0%,IF(AND(BC$16&gt;=$F30,BC$16&lt;$F30+($G30*$I30)),"➤",""),"")</f>
        <v/>
      </c>
      <c r="BD30" s="76" t="str">
        <f aca="false">IF($I30&gt;0%,IF(AND(BD$16&gt;=$F30,BD$16&lt;$F30+($G30*$I30)),"➤",""),"")</f>
        <v/>
      </c>
      <c r="BE30" s="76" t="str">
        <f aca="false">IF($I30&gt;0%,IF(AND(BE$16&gt;=$F30,BE$16&lt;$F30+($G30*$I30)),"➤",""),"")</f>
        <v/>
      </c>
      <c r="BF30" s="76" t="str">
        <f aca="false">IF($I30&gt;0%,IF(AND(BF$16&gt;=$F30,BF$16&lt;$F30+($G30*$I30)),"➤",""),"")</f>
        <v/>
      </c>
      <c r="BG30" s="76" t="str">
        <f aca="false">IF($I30&gt;0%,IF(AND(BG$16&gt;=$F30,BG$16&lt;$F30+($G30*$I30)),"➤",""),"")</f>
        <v/>
      </c>
      <c r="BH30" s="76" t="str">
        <f aca="false">IF($I30&gt;0%,IF(AND(BH$16&gt;=$F30,BH$16&lt;$F30+($G30*$I30)),"➤",""),"")</f>
        <v/>
      </c>
      <c r="BI30" s="76" t="str">
        <f aca="false">IF($I30&gt;0%,IF(AND(BI$16&gt;=$F30,BI$16&lt;$F30+($G30*$I30)),"➤",""),"")</f>
        <v/>
      </c>
      <c r="BJ30" s="76" t="str">
        <f aca="false">IF($I30&gt;0%,IF(AND(BJ$16&gt;=$F30,BJ$16&lt;$F30+($G30*$I30)),"➤",""),"")</f>
        <v/>
      </c>
      <c r="BK30" s="76" t="str">
        <f aca="false">IF($I30&gt;0%,IF(AND(BK$16&gt;=$F30,BK$16&lt;$F30+($G30*$I30)),"➤",""),"")</f>
        <v/>
      </c>
      <c r="BL30" s="76" t="str">
        <f aca="false">IF($I30&gt;0%,IF(AND(BL$16&gt;=$F30,BL$16&lt;$F30+($G30*$I30)),"➤",""),"")</f>
        <v/>
      </c>
      <c r="BM30" s="76" t="str">
        <f aca="false">IF($I30&gt;0%,IF(AND(BM$16&gt;=$F30,BM$16&lt;$F30+($G30*$I30)),"➤",""),"")</f>
        <v/>
      </c>
      <c r="BN30" s="76" t="str">
        <f aca="false">IF($I30&gt;0%,IF(AND(BN$16&gt;=$F30,BN$16&lt;$F30+($G30*$I30)),"➤",""),"")</f>
        <v/>
      </c>
      <c r="BO30" s="76" t="str">
        <f aca="false">IF($I30&gt;0%,IF(AND(BO$16&gt;=$F30,BO$16&lt;$F30+($G30*$I30)),"➤",""),"")</f>
        <v/>
      </c>
      <c r="BP30" s="76" t="str">
        <f aca="false">IF($I30&gt;0%,IF(AND(BP$16&gt;=$F30,BP$16&lt;$F30+($G30*$I30)),"➤",""),"")</f>
        <v/>
      </c>
      <c r="BQ30" s="76" t="str">
        <f aca="false">IF($I30&gt;0%,IF(AND(BQ$16&gt;=$F30,BQ$16&lt;$F30+($G30*$I30)),"➤",""),"")</f>
        <v/>
      </c>
      <c r="BR30" s="76" t="str">
        <f aca="false">IF($I30&gt;0%,IF(AND(BR$16&gt;=$F30,BR$16&lt;$F30+($G30*$I30)),"➤",""),"")</f>
        <v/>
      </c>
      <c r="BS30" s="76" t="str">
        <f aca="false">IF($I30&gt;0%,IF(AND(BS$16&gt;=$F30,BS$16&lt;$F30+($G30*$I30)),"➤",""),"")</f>
        <v/>
      </c>
      <c r="BT30" s="76" t="str">
        <f aca="false">IF($I30&gt;0%,IF(AND(BT$16&gt;=$F30,BT$16&lt;$F30+($G30*$I30)),"➤",""),"")</f>
        <v/>
      </c>
      <c r="BU30" s="76" t="str">
        <f aca="false">IF($I30&gt;0%,IF(AND(BU$16&gt;=$F30,BU$16&lt;$F30+($G30*$I30)),"➤",""),"")</f>
        <v/>
      </c>
      <c r="BV30" s="76" t="str">
        <f aca="false">IF($I30&gt;0%,IF(AND(BV$16&gt;=$F30,BV$16&lt;$F30+($G30*$I30)),"➤",""),"")</f>
        <v/>
      </c>
      <c r="BW30" s="76" t="str">
        <f aca="false">IF($I30&gt;0%,IF(AND(BW$16&gt;=$F30,BW$16&lt;$F30+($G30*$I30)),"➤",""),"")</f>
        <v/>
      </c>
      <c r="BX30" s="76" t="str">
        <f aca="false">IF($I30&gt;0%,IF(AND(BX$16&gt;=$F30,BX$16&lt;$F30+($G30*$I30)),"➤",""),"")</f>
        <v/>
      </c>
      <c r="BY30" s="76" t="str">
        <f aca="false">IF($I30&gt;0%,IF(AND(BY$16&gt;=$F30,BY$16&lt;$F30+($G30*$I30)),"➤",""),"")</f>
        <v/>
      </c>
      <c r="BZ30" s="76" t="str">
        <f aca="false">IF($I30&gt;0%,IF(AND(BZ$16&gt;=$F30,BZ$16&lt;$F30+($G30*$I30)),"➤",""),"")</f>
        <v/>
      </c>
      <c r="CA30" s="76" t="str">
        <f aca="false">IF($I30&gt;0%,IF(AND(CA$16&gt;=$F30,CA$16&lt;$F30+($G30*$I30)),"➤",""),"")</f>
        <v/>
      </c>
      <c r="CB30" s="76" t="str">
        <f aca="false">IF($I30&gt;0%,IF(AND(CB$16&gt;=$F30,CB$16&lt;$F30+($G30*$I30)),"➤",""),"")</f>
        <v/>
      </c>
      <c r="CC30" s="76" t="str">
        <f aca="false">IF($I30&gt;0%,IF(AND(CC$16&gt;=$F30,CC$16&lt;$F30+($G30*$I30)),"➤",""),"")</f>
        <v/>
      </c>
      <c r="CD30" s="76" t="str">
        <f aca="false">IF($I30&gt;0%,IF(AND(CD$16&gt;=$F30,CD$16&lt;$F30+($G30*$I30)),"➤",""),"")</f>
        <v/>
      </c>
      <c r="CE30" s="76" t="str">
        <f aca="false">IF($I30&gt;0%,IF(AND(CE$16&gt;=$F30,CE$16&lt;$F30+($G30*$I30)),"➤",""),"")</f>
        <v/>
      </c>
      <c r="CF30" s="76" t="str">
        <f aca="false">IF($I30&gt;0%,IF(AND(CF$16&gt;=$F30,CF$16&lt;$F30+($G30*$I30)),"➤",""),"")</f>
        <v/>
      </c>
      <c r="CG30" s="76" t="str">
        <f aca="false">IF($I30&gt;0%,IF(AND(CG$16&gt;=$F30,CG$16&lt;$F30+($G30*$I30)),"➤",""),"")</f>
        <v/>
      </c>
      <c r="CH30" s="76" t="str">
        <f aca="false">IF($I30&gt;0%,IF(AND(CH$16&gt;=$F30,CH$16&lt;$F30+($G30*$I30)),"➤",""),"")</f>
        <v/>
      </c>
      <c r="CI30" s="76" t="str">
        <f aca="false">IF($I30&gt;0%,IF(AND(CI$16&gt;=$F30,CI$16&lt;$F30+($G30*$I30)),"➤",""),"")</f>
        <v/>
      </c>
      <c r="CJ30" s="76" t="str">
        <f aca="false">IF($I30&gt;0%,IF(AND(CJ$16&gt;=$F30,CJ$16&lt;$F30+($G30*$I30)),"➤",""),"")</f>
        <v/>
      </c>
      <c r="CK30" s="76" t="str">
        <f aca="false">IF($I30&gt;0%,IF(AND(CK$16&gt;=$F30,CK$16&lt;$F30+($G30*$I30)),"➤",""),"")</f>
        <v/>
      </c>
      <c r="CL30" s="76" t="str">
        <f aca="false">IF($I30&gt;0%,IF(AND(CL$16&gt;=$F30,CL$16&lt;$F30+($G30*$I30)),"➤",""),"")</f>
        <v/>
      </c>
      <c r="CM30" s="76" t="str">
        <f aca="false">IF($I30&gt;0%,IF(AND(CM$16&gt;=$F30,CM$16&lt;$F30+($G30*$I30)),"➤",""),"")</f>
        <v/>
      </c>
      <c r="CN30" s="76" t="str">
        <f aca="false">IF($I30&gt;0%,IF(AND(CN$16&gt;=$F30,CN$16&lt;$F30+($G30*$I30)),"➤",""),"")</f>
        <v/>
      </c>
      <c r="CO30" s="76" t="str">
        <f aca="false">IF($I30&gt;0%,IF(AND(CO$16&gt;=$F30,CO$16&lt;$F30+($G30*$I30)),"➤",""),"")</f>
        <v/>
      </c>
      <c r="CP30" s="76" t="str">
        <f aca="false">IF($I30&gt;0%,IF(AND(CP$16&gt;=$F30,CP$16&lt;$F30+($G30*$I30)),"➤",""),"")</f>
        <v/>
      </c>
      <c r="CQ30" s="76" t="str">
        <f aca="false">IF($I30&gt;0%,IF(AND(CQ$16&gt;=$F30,CQ$16&lt;$F30+($G30*$I30)),"➤",""),"")</f>
        <v/>
      </c>
      <c r="CR30" s="76" t="str">
        <f aca="false">IF($I30&gt;0%,IF(AND(CR$16&gt;=$F30,CR$16&lt;$F30+($G30*$I30)),"➤",""),"")</f>
        <v/>
      </c>
      <c r="CS30" s="76" t="str">
        <f aca="false">IF($I30&gt;0%,IF(AND(CS$16&gt;=$F30,CS$16&lt;$F30+($G30*$I30)),"➤",""),"")</f>
        <v/>
      </c>
      <c r="CT30" s="76" t="str">
        <f aca="false">IF($I30&gt;0%,IF(AND(CT$16&gt;=$F30,CT$16&lt;$F30+($G30*$I30)),"➤",""),"")</f>
        <v/>
      </c>
      <c r="CU30" s="76" t="str">
        <f aca="false">IF($I30&gt;0%,IF(AND(CU$16&gt;=$F30,CU$16&lt;$F30+($G30*$I30)),"➤",""),"")</f>
        <v/>
      </c>
      <c r="CV30" s="76" t="str">
        <f aca="false">IF($I30&gt;0%,IF(AND(CV$16&gt;=$F30,CV$16&lt;$F30+($G30*$I30)),"➤",""),"")</f>
        <v/>
      </c>
      <c r="CW30" s="76" t="str">
        <f aca="false">IF($I30&gt;0%,IF(AND(CW$16&gt;=$F30,CW$16&lt;$F30+($G30*$I30)),"➤",""),"")</f>
        <v/>
      </c>
      <c r="CX30" s="76" t="str">
        <f aca="false">IF($I30&gt;0%,IF(AND(CX$16&gt;=$F30,CX$16&lt;$F30+($G30*$I30)),"➤",""),"")</f>
        <v/>
      </c>
      <c r="CY30" s="76" t="str">
        <f aca="false">IF($I30&gt;0%,IF(AND(CY$16&gt;=$F30,CY$16&lt;$F30+($G30*$I30)),"➤",""),"")</f>
        <v/>
      </c>
      <c r="CZ30" s="76" t="str">
        <f aca="false">IF($I30&gt;0%,IF(AND(CZ$16&gt;=$F30,CZ$16&lt;$F30+($G30*$I30)),"➤",""),"")</f>
        <v/>
      </c>
      <c r="DA30" s="76" t="str">
        <f aca="false">IF($I30&gt;0%,IF(AND(DA$16&gt;=$F30,DA$16&lt;$F30+($G30*$I30)),"➤",""),"")</f>
        <v/>
      </c>
      <c r="DB30" s="76" t="str">
        <f aca="false">IF($I30&gt;0%,IF(AND(DB$16&gt;=$F30,DB$16&lt;$F30+($G30*$I30)),"➤",""),"")</f>
        <v/>
      </c>
      <c r="DC30" s="76" t="str">
        <f aca="false">IF($I30&gt;0%,IF(AND(DC$16&gt;=$F30,DC$16&lt;$F30+($G30*$I30)),"➤",""),"")</f>
        <v/>
      </c>
      <c r="DD30" s="76" t="str">
        <f aca="false">IF($I30&gt;0%,IF(AND(DD$16&gt;=$F30,DD$16&lt;$F30+($G30*$I30)),"➤",""),"")</f>
        <v/>
      </c>
      <c r="DE30" s="76" t="str">
        <f aca="false">IF($I30&gt;0%,IF(AND(DE$16&gt;=$F30,DE$16&lt;$F30+($G30*$I30)),"➤",""),"")</f>
        <v/>
      </c>
      <c r="DF30" s="76" t="str">
        <f aca="false">IF($I30&gt;0%,IF(AND(DF$16&gt;=$F30,DF$16&lt;$F30+($G30*$I30)),"➤",""),"")</f>
        <v/>
      </c>
      <c r="DG30" s="76" t="str">
        <f aca="false">IF($I30&gt;0%,IF(AND(DG$16&gt;=$F30,DG$16&lt;$F30+($G30*$I30)),"➤",""),"")</f>
        <v/>
      </c>
      <c r="DH30" s="76" t="str">
        <f aca="false">IF($I30&gt;0%,IF(AND(DH$16&gt;=$F30,DH$16&lt;$F30+($G30*$I30)),"➤",""),"")</f>
        <v/>
      </c>
      <c r="DI30" s="76" t="str">
        <f aca="false">IF($I30&gt;0%,IF(AND(DI$16&gt;=$F30,DI$16&lt;$F30+($G30*$I30)),"➤",""),"")</f>
        <v/>
      </c>
      <c r="DJ30" s="76" t="str">
        <f aca="false">IF($I30&gt;0%,IF(AND(DJ$16&gt;=$F30,DJ$16&lt;$F30+($G30*$I30)),"➤",""),"")</f>
        <v/>
      </c>
      <c r="DK30" s="76" t="str">
        <f aca="false">IF($I30&gt;0%,IF(AND(DK$16&gt;=$F30,DK$16&lt;$F30+($G30*$I30)),"➤",""),"")</f>
        <v/>
      </c>
      <c r="DL30" s="76" t="str">
        <f aca="false">IF($I30&gt;0%,IF(AND(DL$16&gt;=$F30,DL$16&lt;$F30+($G30*$I30)),"➤",""),"")</f>
        <v/>
      </c>
      <c r="DM30" s="76" t="str">
        <f aca="false">IF($I30&gt;0%,IF(AND(DM$16&gt;=$F30,DM$16&lt;$F30+($G30*$I30)),"➤",""),"")</f>
        <v/>
      </c>
      <c r="DN30" s="76" t="str">
        <f aca="false">IF($I30&gt;0%,IF(AND(DN$16&gt;=$F30,DN$16&lt;$F30+($G30*$I30)),"➤",""),"")</f>
        <v/>
      </c>
      <c r="DO30" s="76" t="str">
        <f aca="false">IF($I30&gt;0%,IF(AND(DO$16&gt;=$F30,DO$16&lt;$F30+($G30*$I30)),"➤",""),"")</f>
        <v/>
      </c>
      <c r="DP30" s="76" t="str">
        <f aca="false">IF($I30&gt;0%,IF(AND(DP$16&gt;=$F30,DP$16&lt;$F30+($G30*$I30)),"➤",""),"")</f>
        <v/>
      </c>
      <c r="DQ30" s="76" t="str">
        <f aca="false">IF($I30&gt;0%,IF(AND(DQ$16&gt;=$F30,DQ$16&lt;$F30+($G30*$I30)),"➤",""),"")</f>
        <v/>
      </c>
      <c r="DR30" s="76" t="str">
        <f aca="false">IF($I30&gt;0%,IF(AND(DR$16&gt;=$F30,DR$16&lt;$F30+($G30*$I30)),"➤",""),"")</f>
        <v/>
      </c>
      <c r="DS30" s="76" t="str">
        <f aca="false">IF($I30&gt;0%,IF(AND(DS$16&gt;=$F30,DS$16&lt;$F30+($G30*$I30)),"➤",""),"")</f>
        <v/>
      </c>
      <c r="DT30" s="76" t="str">
        <f aca="false">IF($I30&gt;0%,IF(AND(DT$16&gt;=$F30,DT$16&lt;$F30+($G30*$I30)),"➤",""),"")</f>
        <v/>
      </c>
      <c r="DU30" s="76" t="str">
        <f aca="false">IF($I30&gt;0%,IF(AND(DU$16&gt;=$F30,DU$16&lt;$F30+($G30*$I30)),"➤",""),"")</f>
        <v/>
      </c>
      <c r="DV30" s="76" t="str">
        <f aca="false">IF($I30&gt;0%,IF(AND(DV$16&gt;=$F30,DV$16&lt;$F30+($G30*$I30)),"➤",""),"")</f>
        <v/>
      </c>
      <c r="DW30" s="76" t="str">
        <f aca="false">IF($I30&gt;0%,IF(AND(DW$16&gt;=$F30,DW$16&lt;$F30+($G30*$I30)),"➤",""),"")</f>
        <v/>
      </c>
      <c r="DX30" s="76" t="str">
        <f aca="false">IF($I30&gt;0%,IF(AND(DX$16&gt;=$F30,DX$16&lt;$F30+($G30*$I30)),"➤",""),"")</f>
        <v/>
      </c>
      <c r="DY30" s="76" t="str">
        <f aca="false">IF($I30&gt;0%,IF(AND(DY$16&gt;=$F30,DY$16&lt;$F30+($G30*$I30)),"➤",""),"")</f>
        <v/>
      </c>
      <c r="DZ30" s="76" t="str">
        <f aca="false">IF($I30&gt;0%,IF(AND(DZ$16&gt;=$F30,DZ$16&lt;$F30+($G30*$I30)),"➤",""),"")</f>
        <v/>
      </c>
      <c r="EA30" s="76" t="str">
        <f aca="false">IF($I30&gt;0%,IF(AND(EA$16&gt;=$F30,EA$16&lt;$F30+($G30*$I30)),"➤",""),"")</f>
        <v/>
      </c>
      <c r="EB30" s="76" t="str">
        <f aca="false">IF($I30&gt;0%,IF(AND(EB$16&gt;=$F30,EB$16&lt;$F30+($G30*$I30)),"➤",""),"")</f>
        <v/>
      </c>
      <c r="EC30" s="76" t="str">
        <f aca="false">IF($I30&gt;0%,IF(AND(EC$16&gt;=$F30,EC$16&lt;$F30+($G30*$I30)),"➤",""),"")</f>
        <v/>
      </c>
      <c r="ED30" s="76" t="str">
        <f aca="false">IF($I30&gt;0%,IF(AND(ED$16&gt;=$F30,ED$16&lt;$F30+($G30*$I30)),"➤",""),"")</f>
        <v/>
      </c>
      <c r="EE30" s="76" t="str">
        <f aca="false">IF($I30&gt;0%,IF(AND(EE$16&gt;=$F30,EE$16&lt;$F30+($G30*$I30)),"➤",""),"")</f>
        <v/>
      </c>
      <c r="EF30" s="76" t="str">
        <f aca="false">IF($I30&gt;0%,IF(AND(EF$16&gt;=$F30,EF$16&lt;$F30+($G30*$I30)),"➤",""),"")</f>
        <v/>
      </c>
      <c r="EG30" s="76" t="str">
        <f aca="false">IF($I30&gt;0%,IF(AND(EG$16&gt;=$F30,EG$16&lt;$F30+($G30*$I30)),"➤",""),"")</f>
        <v/>
      </c>
      <c r="EH30" s="76" t="str">
        <f aca="false">IF($I30&gt;0%,IF(AND(EH$16&gt;=$F30,EH$16&lt;$F30+($G30*$I30)),"➤",""),"")</f>
        <v/>
      </c>
      <c r="EI30" s="76" t="str">
        <f aca="false">IF($I30&gt;0%,IF(AND(EI$16&gt;=$F30,EI$16&lt;$F30+($G30*$I30)),"➤",""),"")</f>
        <v/>
      </c>
      <c r="EJ30" s="76" t="str">
        <f aca="false">IF($I30&gt;0%,IF(AND(EJ$16&gt;=$F30,EJ$16&lt;$F30+($G30*$I30)),"➤",""),"")</f>
        <v/>
      </c>
      <c r="EK30" s="76" t="str">
        <f aca="false">IF($I30&gt;0%,IF(AND(EK$16&gt;=$F30,EK$16&lt;$F30+($G30*$I30)),"➤",""),"")</f>
        <v/>
      </c>
      <c r="EL30" s="76" t="str">
        <f aca="false">IF($I30&gt;0%,IF(AND(EL$16&gt;=$F30,EL$16&lt;$F30+($G30*$I30)),"➤",""),"")</f>
        <v/>
      </c>
      <c r="EM30" s="76" t="str">
        <f aca="false">IF($I30&gt;0%,IF(AND(EM$16&gt;=$F30,EM$16&lt;$F30+($G30*$I30)),"➤",""),"")</f>
        <v/>
      </c>
      <c r="EN30" s="76" t="str">
        <f aca="false">IF($I30&gt;0%,IF(AND(EN$16&gt;=$F30,EN$16&lt;$F30+($G30*$I30)),"➤",""),"")</f>
        <v/>
      </c>
      <c r="EO30" s="76" t="str">
        <f aca="false">IF($I30&gt;0%,IF(AND(EO$16&gt;=$F30,EO$16&lt;$F30+($G30*$I30)),"➤",""),"")</f>
        <v/>
      </c>
      <c r="EP30" s="76" t="str">
        <f aca="false">IF($I30&gt;0%,IF(AND(EP$16&gt;=$F30,EP$16&lt;$F30+($G30*$I30)),"➤",""),"")</f>
        <v/>
      </c>
      <c r="EQ30" s="76" t="str">
        <f aca="false">IF($I30&gt;0%,IF(AND(EQ$16&gt;=$F30,EQ$16&lt;$F30+($G30*$I30)),"➤",""),"")</f>
        <v/>
      </c>
      <c r="ER30" s="76" t="str">
        <f aca="false">IF($I30&gt;0%,IF(AND(ER$16&gt;=$F30,ER$16&lt;$F30+($G30*$I30)),"➤",""),"")</f>
        <v/>
      </c>
      <c r="ES30" s="76" t="str">
        <f aca="false">IF($I30&gt;0%,IF(AND(ES$16&gt;=$F30,ES$16&lt;$F30+($G30*$I30)),"➤",""),"")</f>
        <v/>
      </c>
      <c r="ET30" s="76" t="str">
        <f aca="false">IF($I30&gt;0%,IF(AND(ET$16&gt;=$F30,ET$16&lt;$F30+($G30*$I30)),"➤",""),"")</f>
        <v/>
      </c>
      <c r="EU30" s="76" t="str">
        <f aca="false">IF($I30&gt;0%,IF(AND(EU$16&gt;=$F30,EU$16&lt;$F30+($G30*$I30)),"➤",""),"")</f>
        <v/>
      </c>
      <c r="EV30" s="76" t="str">
        <f aca="false">IF($I30&gt;0%,IF(AND(EV$16&gt;=$F30,EV$16&lt;$F30+($G30*$I30)),"➤",""),"")</f>
        <v/>
      </c>
      <c r="EW30" s="76" t="str">
        <f aca="false">IF($I30&gt;0%,IF(AND(EW$16&gt;=$F30,EW$16&lt;$F30+($G30*$I30)),"➤",""),"")</f>
        <v/>
      </c>
      <c r="EX30" s="76" t="str">
        <f aca="false">IF($I30&gt;0%,IF(AND(EX$16&gt;=$F30,EX$16&lt;$F30+($G30*$I30)),"➤",""),"")</f>
        <v/>
      </c>
      <c r="EY30" s="76" t="str">
        <f aca="false">IF($I30&gt;0%,IF(AND(EY$16&gt;=$F30,EY$16&lt;$F30+($G30*$I30)),"➤",""),"")</f>
        <v/>
      </c>
      <c r="EZ30" s="76" t="str">
        <f aca="false">IF($I30&gt;0%,IF(AND(EZ$16&gt;=$F30,EZ$16&lt;$F30+($G30*$I30)),"➤",""),"")</f>
        <v/>
      </c>
      <c r="FA30" s="76" t="str">
        <f aca="false">IF($I30&gt;0%,IF(AND(FA$16&gt;=$F30,FA$16&lt;$F30+($G30*$I30)),"➤",""),"")</f>
        <v/>
      </c>
      <c r="FB30" s="76" t="str">
        <f aca="false">IF($I30&gt;0%,IF(AND(FB$16&gt;=$F30,FB$16&lt;$F30+($G30*$I30)),"➤",""),"")</f>
        <v/>
      </c>
      <c r="FC30" s="76" t="str">
        <f aca="false">IF($I30&gt;0%,IF(AND(FC$16&gt;=$F30,FC$16&lt;$F30+($G30*$I30)),"➤",""),"")</f>
        <v/>
      </c>
      <c r="FD30" s="76" t="str">
        <f aca="false">IF($I30&gt;0%,IF(AND(FD$16&gt;=$F30,FD$16&lt;$F30+($G30*$I30)),"➤",""),"")</f>
        <v/>
      </c>
      <c r="FE30" s="76" t="str">
        <f aca="false">IF($I30&gt;0%,IF(AND(FE$16&gt;=$F30,FE$16&lt;$F30+($G30*$I30)),"➤",""),"")</f>
        <v/>
      </c>
      <c r="FF30" s="76" t="str">
        <f aca="false">IF($I30&gt;0%,IF(AND(FF$16&gt;=$F30,FF$16&lt;$F30+($G30*$I30)),"➤",""),"")</f>
        <v/>
      </c>
      <c r="FG30" s="76" t="str">
        <f aca="false">IF($I30&gt;0%,IF(AND(FG$16&gt;=$F30,FG$16&lt;$F30+($G30*$I30)),"➤",""),"")</f>
        <v/>
      </c>
      <c r="FH30" s="76" t="str">
        <f aca="false">IF($I30&gt;0%,IF(AND(FH$16&gt;=$F30,FH$16&lt;$F30+($G30*$I30)),"➤",""),"")</f>
        <v/>
      </c>
      <c r="FI30" s="76" t="str">
        <f aca="false">IF($I30&gt;0%,IF(AND(FI$16&gt;=$F30,FI$16&lt;$F30+($G30*$I30)),"➤",""),"")</f>
        <v/>
      </c>
      <c r="FJ30" s="76" t="str">
        <f aca="false">IF($I30&gt;0%,IF(AND(FJ$16&gt;=$F30,FJ$16&lt;$F30+($G30*$I30)),"➤",""),"")</f>
        <v/>
      </c>
      <c r="FK30" s="76" t="str">
        <f aca="false">IF($I30&gt;0%,IF(AND(FK$16&gt;=$F30,FK$16&lt;$F30+($G30*$I30)),"➤",""),"")</f>
        <v/>
      </c>
      <c r="FL30" s="76" t="str">
        <f aca="false">IF($I30&gt;0%,IF(AND(FL$16&gt;=$F30,FL$16&lt;$F30+($G30*$I30)),"➤",""),"")</f>
        <v/>
      </c>
      <c r="FM30" s="76" t="str">
        <f aca="false">IF($I30&gt;0%,IF(AND(FM$16&gt;=$F30,FM$16&lt;$F30+($G30*$I30)),"➤",""),"")</f>
        <v/>
      </c>
      <c r="FN30" s="76" t="str">
        <f aca="false">IF($I30&gt;0%,IF(AND(FN$16&gt;=$F30,FN$16&lt;$F30+($G30*$I30)),"➤",""),"")</f>
        <v/>
      </c>
      <c r="FO30" s="76" t="str">
        <f aca="false">IF($I30&gt;0%,IF(AND(FO$16&gt;=$F30,FO$16&lt;$F30+($G30*$I30)),"➤",""),"")</f>
        <v/>
      </c>
      <c r="FP30" s="76" t="str">
        <f aca="false">IF($I30&gt;0%,IF(AND(FP$16&gt;=$F30,FP$16&lt;$F30+($G30*$I30)),"➤",""),"")</f>
        <v/>
      </c>
      <c r="FQ30" s="76" t="str">
        <f aca="false">IF($I30&gt;0%,IF(AND(FQ$16&gt;=$F30,FQ$16&lt;$F30+($G30*$I30)),"➤",""),"")</f>
        <v/>
      </c>
      <c r="FR30" s="76" t="str">
        <f aca="false">IF($I30&gt;0%,IF(AND(FR$16&gt;=$F30,FR$16&lt;$F30+($G30*$I30)),"➤",""),"")</f>
        <v/>
      </c>
      <c r="FS30" s="76" t="str">
        <f aca="false">IF($I30&gt;0%,IF(AND(FS$16&gt;=$F30,FS$16&lt;$F30+($G30*$I30)),"➤",""),"")</f>
        <v/>
      </c>
      <c r="FT30" s="76" t="str">
        <f aca="false">IF($I30&gt;0%,IF(AND(FT$16&gt;=$F30,FT$16&lt;$F30+($G30*$I30)),"➤",""),"")</f>
        <v/>
      </c>
      <c r="FU30" s="76" t="str">
        <f aca="false">IF($I30&gt;0%,IF(AND(FU$16&gt;=$F30,FU$16&lt;$F30+($G30*$I30)),"➤",""),"")</f>
        <v/>
      </c>
      <c r="FV30" s="76" t="str">
        <f aca="false">IF($I30&gt;0%,IF(AND(FV$16&gt;=$F30,FV$16&lt;$F30+($G30*$I30)),"➤",""),"")</f>
        <v/>
      </c>
      <c r="FW30" s="76" t="str">
        <f aca="false">IF($I30&gt;0%,IF(AND(FW$16&gt;=$F30,FW$16&lt;$F30+($G30*$I30)),"➤",""),"")</f>
        <v/>
      </c>
      <c r="FX30" s="76" t="str">
        <f aca="false">IF($I30&gt;0%,IF(AND(FX$16&gt;=$F30,FX$16&lt;$F30+($G30*$I30)),"➤",""),"")</f>
        <v/>
      </c>
      <c r="FY30" s="76" t="str">
        <f aca="false">IF($I30&gt;0%,IF(AND(FY$16&gt;=$F30,FY$16&lt;$F30+($G30*$I30)),"➤",""),"")</f>
        <v/>
      </c>
      <c r="FZ30" s="76" t="str">
        <f aca="false">IF($I30&gt;0%,IF(AND(FZ$16&gt;=$F30,FZ$16&lt;$F30+($G30*$I30)),"➤",""),"")</f>
        <v/>
      </c>
      <c r="GA30" s="76" t="str">
        <f aca="false">IF($I30&gt;0%,IF(AND(GA$16&gt;=$F30,GA$16&lt;$F30+($G30*$I30)),"➤",""),"")</f>
        <v/>
      </c>
      <c r="GB30" s="76" t="str">
        <f aca="false">IF($I30&gt;0%,IF(AND(GB$16&gt;=$F30,GB$16&lt;$F30+($G30*$I30)),"➤",""),"")</f>
        <v/>
      </c>
      <c r="GC30" s="76" t="str">
        <f aca="false">IF($I30&gt;0%,IF(AND(GC$16&gt;=$F30,GC$16&lt;$F30+($G30*$I30)),"➤",""),"")</f>
        <v/>
      </c>
      <c r="GD30" s="76" t="str">
        <f aca="false">IF($I30&gt;0%,IF(AND(GD$16&gt;=$F30,GD$16&lt;$F30+($G30*$I30)),"➤",""),"")</f>
        <v/>
      </c>
      <c r="GE30" s="76" t="str">
        <f aca="false">IF($I30&gt;0%,IF(AND(GE$16&gt;=$F30,GE$16&lt;$F30+($G30*$I30)),"➤",""),"")</f>
        <v/>
      </c>
      <c r="GF30" s="76" t="str">
        <f aca="false">IF($I30&gt;0%,IF(AND(GF$16&gt;=$F30,GF$16&lt;$F30+($G30*$I30)),"➤",""),"")</f>
        <v/>
      </c>
      <c r="GG30" s="76" t="str">
        <f aca="false">IF($I30&gt;0%,IF(AND(GG$16&gt;=$F30,GG$16&lt;$F30+($G30*$I30)),"➤",""),"")</f>
        <v/>
      </c>
      <c r="GH30" s="76" t="str">
        <f aca="false">IF($I30&gt;0%,IF(AND(GH$16&gt;=$F30,GH$16&lt;$F30+($G30*$I30)),"➤",""),"")</f>
        <v/>
      </c>
      <c r="GI30" s="76" t="str">
        <f aca="false">IF($I30&gt;0%,IF(AND(GI$16&gt;=$F30,GI$16&lt;$F30+($G30*$I30)),"➤",""),"")</f>
        <v/>
      </c>
      <c r="GJ30" s="76" t="str">
        <f aca="false">IF($I30&gt;0%,IF(AND(GJ$16&gt;=$F30,GJ$16&lt;$F30+($G30*$I30)),"➤",""),"")</f>
        <v/>
      </c>
      <c r="GK30" s="76" t="str">
        <f aca="false">IF($I30&gt;0%,IF(AND(GK$16&gt;=$F30,GK$16&lt;$F30+($G30*$I30)),"➤",""),"")</f>
        <v/>
      </c>
      <c r="GL30" s="76" t="str">
        <f aca="false">IF($I30&gt;0%,IF(AND(GL$16&gt;=$F30,GL$16&lt;$F30+($G30*$I30)),"➤",""),"")</f>
        <v/>
      </c>
      <c r="GM30" s="76" t="str">
        <f aca="false">IF($I30&gt;0%,IF(AND(GM$16&gt;=$F30,GM$16&lt;$F30+($G30*$I30)),"➤",""),"")</f>
        <v/>
      </c>
      <c r="GN30" s="76" t="str">
        <f aca="false">IF($I30&gt;0%,IF(AND(GN$16&gt;=$F30,GN$16&lt;$F30+($G30*$I30)),"➤",""),"")</f>
        <v/>
      </c>
      <c r="GO30" s="76" t="str">
        <f aca="false">IF($I30&gt;0%,IF(AND(GO$16&gt;=$F30,GO$16&lt;$F30+($G30*$I30)),"➤",""),"")</f>
        <v/>
      </c>
      <c r="GP30" s="76" t="str">
        <f aca="false">IF($I30&gt;0%,IF(AND(GP$16&gt;=$F30,GP$16&lt;$F30+($G30*$I30)),"➤",""),"")</f>
        <v/>
      </c>
      <c r="GQ30" s="76" t="str">
        <f aca="false">IF($I30&gt;0%,IF(AND(GQ$16&gt;=$F30,GQ$16&lt;$F30+($G30*$I30)),"➤",""),"")</f>
        <v/>
      </c>
      <c r="GR30" s="76" t="str">
        <f aca="false">IF($I30&gt;0%,IF(AND(GR$16&gt;=$F30,GR$16&lt;$F30+($G30*$I30)),"➤",""),"")</f>
        <v/>
      </c>
      <c r="GS30" s="76" t="str">
        <f aca="false">IF($I30&gt;0%,IF(AND(GS$16&gt;=$F30,GS$16&lt;$F30+($G30*$I30)),"➤",""),"")</f>
        <v/>
      </c>
      <c r="GT30" s="76" t="str">
        <f aca="false">IF($I30&gt;0%,IF(AND(GT$16&gt;=$F30,GT$16&lt;$F30+($G30*$I30)),"➤",""),"")</f>
        <v/>
      </c>
      <c r="GU30" s="76" t="str">
        <f aca="false">IF($I30&gt;0%,IF(AND(GU$16&gt;=$F30,GU$16&lt;$F30+($G30*$I30)),"➤",""),"")</f>
        <v/>
      </c>
      <c r="GV30" s="76" t="str">
        <f aca="false">IF($I30&gt;0%,IF(AND(GV$16&gt;=$F30,GV$16&lt;$F30+($G30*$I30)),"➤",""),"")</f>
        <v/>
      </c>
      <c r="GW30" s="76" t="str">
        <f aca="false">IF($I30&gt;0%,IF(AND(GW$16&gt;=$F30,GW$16&lt;$F30+($G30*$I30)),"➤",""),"")</f>
        <v/>
      </c>
      <c r="GX30" s="76" t="str">
        <f aca="false">IF($I30&gt;0%,IF(AND(GX$16&gt;=$F30,GX$16&lt;$F30+($G30*$I30)),"➤",""),"")</f>
        <v/>
      </c>
      <c r="GY30" s="76" t="str">
        <f aca="false">IF($I30&gt;0%,IF(AND(GY$16&gt;=$F30,GY$16&lt;$F30+($G30*$I30)),"➤",""),"")</f>
        <v/>
      </c>
      <c r="GZ30" s="76" t="str">
        <f aca="false">IF($I30&gt;0%,IF(AND(GZ$16&gt;=$F30,GZ$16&lt;$F30+($G30*$I30)),"➤",""),"")</f>
        <v/>
      </c>
      <c r="HA30" s="76" t="str">
        <f aca="false">IF($I30&gt;0%,IF(AND(HA$16&gt;=$F30,HA$16&lt;$F30+($G30*$I30)),"➤",""),"")</f>
        <v/>
      </c>
      <c r="HB30" s="76" t="str">
        <f aca="false">IF($I30&gt;0%,IF(AND(HB$16&gt;=$F30,HB$16&lt;$F30+($G30*$I30)),"➤",""),"")</f>
        <v/>
      </c>
      <c r="HC30" s="76" t="str">
        <f aca="false">IF($I30&gt;0%,IF(AND(HC$16&gt;=$F30,HC$16&lt;$F30+($G30*$I30)),"➤",""),"")</f>
        <v/>
      </c>
      <c r="HD30" s="76" t="str">
        <f aca="false">IF($I30&gt;0%,IF(AND(HD$16&gt;=$F30,HD$16&lt;$F30+($G30*$I30)),"➤",""),"")</f>
        <v/>
      </c>
      <c r="HE30" s="76" t="str">
        <f aca="false">IF($I30&gt;0%,IF(AND(HE$16&gt;=$F30,HE$16&lt;$F30+($G30*$I30)),"➤",""),"")</f>
        <v/>
      </c>
      <c r="HF30" s="76" t="str">
        <f aca="false">IF($I30&gt;0%,IF(AND(HF$16&gt;=$F30,HF$16&lt;$F30+($G30*$I30)),"➤",""),"")</f>
        <v/>
      </c>
      <c r="HG30" s="76" t="str">
        <f aca="false">IF($I30&gt;0%,IF(AND(HG$16&gt;=$F30,HG$16&lt;$F30+($G30*$I30)),"➤",""),"")</f>
        <v/>
      </c>
      <c r="HH30" s="76" t="str">
        <f aca="false">IF($I30&gt;0%,IF(AND(HH$16&gt;=$F30,HH$16&lt;$F30+($G30*$I30)),"➤",""),"")</f>
        <v/>
      </c>
      <c r="HI30" s="76" t="str">
        <f aca="false">IF($I30&gt;0%,IF(AND(HI$16&gt;=$F30,HI$16&lt;$F30+($G30*$I30)),"➤",""),"")</f>
        <v/>
      </c>
      <c r="HJ30" s="76" t="str">
        <f aca="false">IF($I30&gt;0%,IF(AND(HJ$16&gt;=$F30,HJ$16&lt;$F30+($G30*$I30)),"➤",""),"")</f>
        <v/>
      </c>
      <c r="HK30" s="76" t="str">
        <f aca="false">IF($I30&gt;0%,IF(AND(HK$16&gt;=$F30,HK$16&lt;$F30+($G30*$I30)),"➤",""),"")</f>
        <v/>
      </c>
      <c r="HL30" s="76" t="str">
        <f aca="false">IF($I30&gt;0%,IF(AND(HL$16&gt;=$F30,HL$16&lt;$F30+($G30*$I30)),"➤",""),"")</f>
        <v/>
      </c>
      <c r="HM30" s="76" t="str">
        <f aca="false">IF($I30&gt;0%,IF(AND(HM$16&gt;=$F30,HM$16&lt;$F30+($G30*$I30)),"➤",""),"")</f>
        <v/>
      </c>
      <c r="HN30" s="76" t="str">
        <f aca="false">IF($I30&gt;0%,IF(AND(HN$16&gt;=$F30,HN$16&lt;$F30+($G30*$I30)),"➤",""),"")</f>
        <v/>
      </c>
      <c r="HO30" s="76" t="str">
        <f aca="false">IF($I30&gt;0%,IF(AND(HO$16&gt;=$F30,HO$16&lt;$F30+($G30*$I30)),"➤",""),"")</f>
        <v/>
      </c>
      <c r="HP30" s="76" t="str">
        <f aca="false">IF($I30&gt;0%,IF(AND(HP$16&gt;=$F30,HP$16&lt;$F30+($G30*$I30)),"➤",""),"")</f>
        <v/>
      </c>
      <c r="HQ30" s="76" t="str">
        <f aca="false">IF($I30&gt;0%,IF(AND(HQ$16&gt;=$F30,HQ$16&lt;$F30+($G30*$I30)),"➤",""),"")</f>
        <v/>
      </c>
      <c r="HR30" s="76" t="str">
        <f aca="false">IF($I30&gt;0%,IF(AND(HR$16&gt;=$F30,HR$16&lt;$F30+($G30*$I30)),"➤",""),"")</f>
        <v/>
      </c>
      <c r="HS30" s="76" t="str">
        <f aca="false">IF($I30&gt;0%,IF(AND(HS$16&gt;=$F30,HS$16&lt;$F30+($G30*$I30)),"➤",""),"")</f>
        <v/>
      </c>
      <c r="HT30" s="76" t="str">
        <f aca="false">IF($I30&gt;0%,IF(AND(HT$16&gt;=$F30,HT$16&lt;$F30+($G30*$I30)),"➤",""),"")</f>
        <v/>
      </c>
      <c r="HU30" s="76" t="str">
        <f aca="false">IF($I30&gt;0%,IF(AND(HU$16&gt;=$F30,HU$16&lt;$F30+($G30*$I30)),"➤",""),"")</f>
        <v/>
      </c>
      <c r="HV30" s="76" t="str">
        <f aca="false">IF($I30&gt;0%,IF(AND(HV$16&gt;=$F30,HV$16&lt;$F30+($G30*$I30)),"➤",""),"")</f>
        <v/>
      </c>
      <c r="HW30" s="76" t="str">
        <f aca="false">IF($I30&gt;0%,IF(AND(HW$16&gt;=$F30,HW$16&lt;$F30+($G30*$I30)),"➤",""),"")</f>
        <v/>
      </c>
      <c r="HX30" s="76" t="str">
        <f aca="false">IF($I30&gt;0%,IF(AND(HX$16&gt;=$F30,HX$16&lt;$F30+($G30*$I30)),"➤",""),"")</f>
        <v/>
      </c>
      <c r="HY30" s="76" t="str">
        <f aca="false">IF($I30&gt;0%,IF(AND(HY$16&gt;=$F30,HY$16&lt;$F30+($G30*$I30)),"➤",""),"")</f>
        <v/>
      </c>
      <c r="HZ30" s="76" t="str">
        <f aca="false">IF($I30&gt;0%,IF(AND(HZ$16&gt;=$F30,HZ$16&lt;$F30+($G30*$I30)),"➤",""),"")</f>
        <v/>
      </c>
      <c r="IA30" s="76" t="str">
        <f aca="false">IF($I30&gt;0%,IF(AND(IA$16&gt;=$F30,IA$16&lt;$F30+($G30*$I30)),"➤",""),"")</f>
        <v/>
      </c>
      <c r="IB30" s="76" t="str">
        <f aca="false">IF($I30&gt;0%,IF(AND(IB$16&gt;=$F30,IB$16&lt;$F30+($G30*$I30)),"➤",""),"")</f>
        <v/>
      </c>
      <c r="IC30" s="76" t="str">
        <f aca="false">IF($I30&gt;0%,IF(AND(IC$16&gt;=$F30,IC$16&lt;$F30+($G30*$I30)),"➤",""),"")</f>
        <v/>
      </c>
      <c r="ID30" s="76" t="str">
        <f aca="false">IF($I30&gt;0%,IF(AND(ID$16&gt;=$F30,ID$16&lt;$F30+($G30*$I30)),"➤",""),"")</f>
        <v/>
      </c>
      <c r="IE30" s="76" t="str">
        <f aca="false">IF($I30&gt;0%,IF(AND(IE$16&gt;=$F30,IE$16&lt;$F30+($G30*$I30)),"➤",""),"")</f>
        <v/>
      </c>
      <c r="IF30" s="76" t="str">
        <f aca="false">IF($I30&gt;0%,IF(AND(IF$16&gt;=$F30,IF$16&lt;$F30+($G30*$I30)),"➤",""),"")</f>
        <v/>
      </c>
      <c r="IG30" s="76" t="str">
        <f aca="false">IF($I30&gt;0%,IF(AND(IG$16&gt;=$F30,IG$16&lt;$F30+($G30*$I30)),"➤",""),"")</f>
        <v/>
      </c>
      <c r="IH30" s="76" t="str">
        <f aca="false">IF($I30&gt;0%,IF(AND(IH$16&gt;=$F30,IH$16&lt;$F30+($G30*$I30)),"➤",""),"")</f>
        <v/>
      </c>
      <c r="II30" s="76" t="str">
        <f aca="false">IF($I30&gt;0%,IF(AND(II$16&gt;=$F30,II$16&lt;$F30+($G30*$I30)),"➤",""),"")</f>
        <v/>
      </c>
      <c r="IJ30" s="76" t="str">
        <f aca="false">IF($I30&gt;0%,IF(AND(IJ$16&gt;=$F30,IJ$16&lt;$F30+($G30*$I30)),"➤",""),"")</f>
        <v/>
      </c>
      <c r="IK30" s="76" t="str">
        <f aca="false">IF($I30&gt;0%,IF(AND(IK$16&gt;=$F30,IK$16&lt;$F30+($G30*$I30)),"➤",""),"")</f>
        <v/>
      </c>
      <c r="IL30" s="76" t="str">
        <f aca="false">IF($I30&gt;0%,IF(AND(IL$16&gt;=$F30,IL$16&lt;$F30+($G30*$I30)),"➤",""),"")</f>
        <v/>
      </c>
      <c r="IM30" s="76" t="str">
        <f aca="false">IF($I30&gt;0%,IF(AND(IM$16&gt;=$F30,IM$16&lt;$F30+($G30*$I30)),"➤",""),"")</f>
        <v/>
      </c>
      <c r="IN30" s="76" t="str">
        <f aca="false">IF($I30&gt;0%,IF(AND(IN$16&gt;=$F30,IN$16&lt;$F30+($G30*$I30)),"➤",""),"")</f>
        <v/>
      </c>
      <c r="IO30" s="76" t="str">
        <f aca="false">IF($I30&gt;0%,IF(AND(IO$16&gt;=$F30,IO$16&lt;$F30+($G30*$I30)),"➤",""),"")</f>
        <v/>
      </c>
      <c r="IP30" s="76" t="str">
        <f aca="false">IF($I30&gt;0%,IF(AND(IP$16&gt;=$F30,IP$16&lt;$F30+($G30*$I30)),"➤",""),"")</f>
        <v/>
      </c>
      <c r="IQ30" s="76" t="str">
        <f aca="false">IF($I30&gt;0%,IF(AND(IQ$16&gt;=$F30,IQ$16&lt;$F30+($G30*$I30)),"➤",""),"")</f>
        <v/>
      </c>
      <c r="IR30" s="76" t="str">
        <f aca="false">IF($I30&gt;0%,IF(AND(IR$16&gt;=$F30,IR$16&lt;$F30+($G30*$I30)),"➤",""),"")</f>
        <v/>
      </c>
      <c r="IS30" s="76" t="str">
        <f aca="false">IF($I30&gt;0%,IF(AND(IS$16&gt;=$F30,IS$16&lt;$F30+($G30*$I30)),"➤",""),"")</f>
        <v/>
      </c>
      <c r="IT30" s="76" t="str">
        <f aca="false">IF($I30&gt;0%,IF(AND(IT$16&gt;=$F30,IT$16&lt;$F30+($G30*$I30)),"➤",""),"")</f>
        <v/>
      </c>
      <c r="IU30" s="76" t="str">
        <f aca="false">IF($I30&gt;0%,IF(AND(IU$16&gt;=$F30,IU$16&lt;$F30+($G30*$I30)),"➤",""),"")</f>
        <v/>
      </c>
      <c r="IV30" s="76" t="str">
        <f aca="false">IF($I30&gt;0%,IF(AND(IV$16&gt;=$F30,IV$16&lt;$F30+($G30*$I30)),"➤",""),"")</f>
        <v/>
      </c>
      <c r="IW30" s="76" t="str">
        <f aca="false">IF($I30&gt;0%,IF(AND(IW$16&gt;=$F30,IW$16&lt;$F30+($G30*$I30)),"➤",""),"")</f>
        <v/>
      </c>
      <c r="IX30" s="76" t="str">
        <f aca="false">IF($I30&gt;0%,IF(AND(IX$16&gt;=$F30,IX$16&lt;$F30+($G30*$I30)),"➤",""),"")</f>
        <v/>
      </c>
      <c r="IY30" s="76" t="str">
        <f aca="false">IF($I30&gt;0%,IF(AND(IY$16&gt;=$F30,IY$16&lt;$F30+($G30*$I30)),"➤",""),"")</f>
        <v/>
      </c>
      <c r="IZ30" s="76" t="str">
        <f aca="false">IF($I30&gt;0%,IF(AND(IZ$16&gt;=$F30,IZ$16&lt;$F30+($G30*$I30)),"➤",""),"")</f>
        <v/>
      </c>
      <c r="JA30" s="76" t="str">
        <f aca="false">IF($I30&gt;0%,IF(AND(JA$16&gt;=$F30,JA$16&lt;$F30+($G30*$I30)),"➤",""),"")</f>
        <v/>
      </c>
      <c r="JB30" s="76" t="str">
        <f aca="false">IF($I30&gt;0%,IF(AND(JB$16&gt;=$F30,JB$16&lt;$F30+($G30*$I30)),"➤",""),"")</f>
        <v/>
      </c>
      <c r="JC30" s="76" t="str">
        <f aca="false">IF($I30&gt;0%,IF(AND(JC$16&gt;=$F30,JC$16&lt;$F30+($G30*$I30)),"➤",""),"")</f>
        <v/>
      </c>
      <c r="JD30" s="76" t="str">
        <f aca="false">IF($I30&gt;0%,IF(AND(JD$16&gt;=$F30,JD$16&lt;$F30+($G30*$I30)),"➤",""),"")</f>
        <v/>
      </c>
      <c r="JE30" s="76" t="str">
        <f aca="false">IF($I30&gt;0%,IF(AND(JE$16&gt;=$F30,JE$16&lt;$F30+($G30*$I30)),"➤",""),"")</f>
        <v/>
      </c>
      <c r="JF30" s="76" t="str">
        <f aca="false">IF($I30&gt;0%,IF(AND(JF$16&gt;=$F30,JF$16&lt;$F30+($G30*$I30)),"➤",""),"")</f>
        <v/>
      </c>
      <c r="JG30" s="76" t="str">
        <f aca="false">IF($I30&gt;0%,IF(AND(JG$16&gt;=$F30,JG$16&lt;$F30+($G30*$I30)),"➤",""),"")</f>
        <v/>
      </c>
      <c r="JH30" s="76" t="str">
        <f aca="false">IF($I30&gt;0%,IF(AND(JH$16&gt;=$F30,JH$16&lt;$F30+($G30*$I30)),"➤",""),"")</f>
        <v/>
      </c>
      <c r="JI30" s="76" t="str">
        <f aca="false">IF($I30&gt;0%,IF(AND(JI$16&gt;=$F30,JI$16&lt;$F30+($G30*$I30)),"➤",""),"")</f>
        <v/>
      </c>
      <c r="JJ30" s="76" t="str">
        <f aca="false">IF($I30&gt;0%,IF(AND(JJ$16&gt;=$F30,JJ$16&lt;$F30+($G30*$I30)),"➤",""),"")</f>
        <v/>
      </c>
      <c r="JK30" s="76" t="str">
        <f aca="false">IF($I30&gt;0%,IF(AND(JK$16&gt;=$F30,JK$16&lt;$F30+($G30*$I30)),"➤",""),"")</f>
        <v/>
      </c>
      <c r="JL30" s="76" t="str">
        <f aca="false">IF($I30&gt;0%,IF(AND(JL$16&gt;=$F30,JL$16&lt;$F30+($G30*$I30)),"➤",""),"")</f>
        <v/>
      </c>
      <c r="JM30" s="76" t="str">
        <f aca="false">IF($I30&gt;0%,IF(AND(JM$16&gt;=$F30,JM$16&lt;$F30+($G30*$I30)),"➤",""),"")</f>
        <v/>
      </c>
      <c r="JN30" s="76" t="str">
        <f aca="false">IF($I30&gt;0%,IF(AND(JN$16&gt;=$F30,JN$16&lt;$F30+($G30*$I30)),"➤",""),"")</f>
        <v/>
      </c>
      <c r="JO30" s="76" t="str">
        <f aca="false">IF($I30&gt;0%,IF(AND(JO$16&gt;=$F30,JO$16&lt;$F30+($G30*$I30)),"➤",""),"")</f>
        <v/>
      </c>
      <c r="JP30" s="76" t="str">
        <f aca="false">IF($I30&gt;0%,IF(AND(JP$16&gt;=$F30,JP$16&lt;$F30+($G30*$I30)),"➤",""),"")</f>
        <v/>
      </c>
      <c r="JQ30" s="76" t="str">
        <f aca="false">IF($I30&gt;0%,IF(AND(JQ$16&gt;=$F30,JQ$16&lt;$F30+($G30*$I30)),"➤",""),"")</f>
        <v/>
      </c>
      <c r="JR30" s="76" t="str">
        <f aca="false">IF($I30&gt;0%,IF(AND(JR$16&gt;=$F30,JR$16&lt;$F30+($G30*$I30)),"➤",""),"")</f>
        <v/>
      </c>
      <c r="JS30" s="76" t="str">
        <f aca="false">IF($I30&gt;0%,IF(AND(JS$16&gt;=$F30,JS$16&lt;$F30+($G30*$I30)),"➤",""),"")</f>
        <v/>
      </c>
      <c r="JT30" s="76" t="str">
        <f aca="false">IF($I30&gt;0%,IF(AND(JT$16&gt;=$F30,JT$16&lt;$F30+($G30*$I30)),"➤",""),"")</f>
        <v/>
      </c>
      <c r="JU30" s="76" t="str">
        <f aca="false">IF($I30&gt;0%,IF(AND(JU$16&gt;=$F30,JU$16&lt;$F30+($G30*$I30)),"➤",""),"")</f>
        <v/>
      </c>
      <c r="JV30" s="76" t="str">
        <f aca="false">IF($I30&gt;0%,IF(AND(JV$16&gt;=$F30,JV$16&lt;$F30+($G30*$I30)),"➤",""),"")</f>
        <v/>
      </c>
      <c r="JW30" s="76" t="str">
        <f aca="false">IF($I30&gt;0%,IF(AND(JW$16&gt;=$F30,JW$16&lt;$F30+($G30*$I30)),"➤",""),"")</f>
        <v/>
      </c>
      <c r="JX30" s="76" t="str">
        <f aca="false">IF($I30&gt;0%,IF(AND(JX$16&gt;=$F30,JX$16&lt;$F30+($G30*$I30)),"➤",""),"")</f>
        <v/>
      </c>
      <c r="JY30" s="76" t="str">
        <f aca="false">IF($I30&gt;0%,IF(AND(JY$16&gt;=$F30,JY$16&lt;$F30+($G30*$I30)),"➤",""),"")</f>
        <v/>
      </c>
      <c r="JZ30" s="76" t="str">
        <f aca="false">IF($I30&gt;0%,IF(AND(JZ$16&gt;=$F30,JZ$16&lt;$F30+($G30*$I30)),"➤",""),"")</f>
        <v/>
      </c>
      <c r="KA30" s="76" t="str">
        <f aca="false">IF($I30&gt;0%,IF(AND(KA$16&gt;=$F30,KA$16&lt;$F30+($G30*$I30)),"➤",""),"")</f>
        <v/>
      </c>
      <c r="KB30" s="76" t="str">
        <f aca="false">IF($I30&gt;0%,IF(AND(KB$16&gt;=$F30,KB$16&lt;$F30+($G30*$I30)),"➤",""),"")</f>
        <v/>
      </c>
      <c r="KC30" s="76" t="str">
        <f aca="false">IF($I30&gt;0%,IF(AND(KC$16&gt;=$F30,KC$16&lt;$F30+($G30*$I30)),"➤",""),"")</f>
        <v/>
      </c>
      <c r="KD30" s="76" t="str">
        <f aca="false">IF($I30&gt;0%,IF(AND(KD$16&gt;=$F30,KD$16&lt;$F30+($G30*$I30)),"➤",""),"")</f>
        <v/>
      </c>
      <c r="KE30" s="76" t="str">
        <f aca="false">IF($I30&gt;0%,IF(AND(KE$16&gt;=$F30,KE$16&lt;$F30+($G30*$I30)),"➤",""),"")</f>
        <v/>
      </c>
      <c r="KF30" s="76" t="str">
        <f aca="false">IF($I30&gt;0%,IF(AND(KF$16&gt;=$F30,KF$16&lt;$F30+($G30*$I30)),"➤",""),"")</f>
        <v/>
      </c>
      <c r="KG30" s="76" t="str">
        <f aca="false">IF($I30&gt;0%,IF(AND(KG$16&gt;=$F30,KG$16&lt;$F30+($G30*$I30)),"➤",""),"")</f>
        <v/>
      </c>
      <c r="KH30" s="76" t="str">
        <f aca="false">IF($I30&gt;0%,IF(AND(KH$16&gt;=$F30,KH$16&lt;$F30+($G30*$I30)),"➤",""),"")</f>
        <v/>
      </c>
      <c r="KI30" s="76" t="str">
        <f aca="false">IF($I30&gt;0%,IF(AND(KI$16&gt;=$F30,KI$16&lt;$F30+($G30*$I30)),"➤",""),"")</f>
        <v/>
      </c>
      <c r="KJ30" s="76" t="str">
        <f aca="false">IF($I30&gt;0%,IF(AND(KJ$16&gt;=$F30,KJ$16&lt;$F30+($G30*$I30)),"➤",""),"")</f>
        <v/>
      </c>
      <c r="KK30" s="76" t="str">
        <f aca="false">IF($I30&gt;0%,IF(AND(KK$16&gt;=$F30,KK$16&lt;$F30+($G30*$I30)),"➤",""),"")</f>
        <v/>
      </c>
      <c r="KL30" s="76" t="str">
        <f aca="false">IF($I30&gt;0%,IF(AND(KL$16&gt;=$F30,KL$16&lt;$F30+($G30*$I30)),"➤",""),"")</f>
        <v/>
      </c>
      <c r="KM30" s="76" t="str">
        <f aca="false">IF($I30&gt;0%,IF(AND(KM$16&gt;=$F30,KM$16&lt;$F30+($G30*$I30)),"➤",""),"")</f>
        <v/>
      </c>
      <c r="KN30" s="76" t="str">
        <f aca="false">IF($I30&gt;0%,IF(AND(KN$16&gt;=$F30,KN$16&lt;$F30+($G30*$I30)),"➤",""),"")</f>
        <v/>
      </c>
      <c r="KO30" s="76" t="str">
        <f aca="false">IF($I30&gt;0%,IF(AND(KO$16&gt;=$F30,KO$16&lt;$F30+($G30*$I30)),"➤",""),"")</f>
        <v/>
      </c>
      <c r="KP30" s="76" t="str">
        <f aca="false">IF($I30&gt;0%,IF(AND(KP$16&gt;=$F30,KP$16&lt;$F30+($G30*$I30)),"➤",""),"")</f>
        <v/>
      </c>
      <c r="KQ30" s="76" t="str">
        <f aca="false">IF($I30&gt;0%,IF(AND(KQ$16&gt;=$F30,KQ$16&lt;$F30+($G30*$I30)),"➤",""),"")</f>
        <v/>
      </c>
      <c r="KR30" s="76" t="str">
        <f aca="false">IF($I30&gt;0%,IF(AND(KR$16&gt;=$F30,KR$16&lt;$F30+($G30*$I30)),"➤",""),"")</f>
        <v/>
      </c>
      <c r="KS30" s="76" t="str">
        <f aca="false">IF($I30&gt;0%,IF(AND(KS$16&gt;=$F30,KS$16&lt;$F30+($G30*$I30)),"➤",""),"")</f>
        <v/>
      </c>
      <c r="KT30" s="76" t="str">
        <f aca="false">IF($I30&gt;0%,IF(AND(KT$16&gt;=$F30,KT$16&lt;$F30+($G30*$I30)),"➤",""),"")</f>
        <v/>
      </c>
      <c r="KU30" s="76" t="str">
        <f aca="false">IF($I30&gt;0%,IF(AND(KU$16&gt;=$F30,KU$16&lt;$F30+($G30*$I30)),"➤",""),"")</f>
        <v/>
      </c>
      <c r="KV30" s="76" t="str">
        <f aca="false">IF($I30&gt;0%,IF(AND(KV$16&gt;=$F30,KV$16&lt;$F30+($G30*$I30)),"➤",""),"")</f>
        <v/>
      </c>
      <c r="KW30" s="76" t="str">
        <f aca="false">IF($I30&gt;0%,IF(AND(KW$16&gt;=$F30,KW$16&lt;$F30+($G30*$I30)),"➤",""),"")</f>
        <v/>
      </c>
      <c r="KX30" s="76" t="str">
        <f aca="false">IF($I30&gt;0%,IF(AND(KX$16&gt;=$F30,KX$16&lt;$F30+($G30*$I30)),"➤",""),"")</f>
        <v/>
      </c>
      <c r="KY30" s="76" t="str">
        <f aca="false">IF($I30&gt;0%,IF(AND(KY$16&gt;=$F30,KY$16&lt;$F30+($G30*$I30)),"➤",""),"")</f>
        <v/>
      </c>
      <c r="KZ30" s="76" t="str">
        <f aca="false">IF($I30&gt;0%,IF(AND(KZ$16&gt;=$F30,KZ$16&lt;$F30+($G30*$I30)),"➤",""),"")</f>
        <v/>
      </c>
      <c r="LA30" s="76" t="str">
        <f aca="false">IF($I30&gt;0%,IF(AND(LA$16&gt;=$F30,LA$16&lt;$F30+($G30*$I30)),"➤",""),"")</f>
        <v/>
      </c>
      <c r="LB30" s="76" t="str">
        <f aca="false">IF($I30&gt;0%,IF(AND(LB$16&gt;=$F30,LB$16&lt;$F30+($G30*$I30)),"➤",""),"")</f>
        <v/>
      </c>
      <c r="LC30" s="76" t="str">
        <f aca="false">IF($I30&gt;0%,IF(AND(LC$16&gt;=$F30,LC$16&lt;$F30+($G30*$I30)),"➤",""),"")</f>
        <v/>
      </c>
      <c r="LD30" s="76" t="str">
        <f aca="false">IF($I30&gt;0%,IF(AND(LD$16&gt;=$F30,LD$16&lt;$F30+($G30*$I30)),"➤",""),"")</f>
        <v/>
      </c>
      <c r="LE30" s="76" t="str">
        <f aca="false">IF($I30&gt;0%,IF(AND(LE$16&gt;=$F30,LE$16&lt;$F30+($G30*$I30)),"➤",""),"")</f>
        <v/>
      </c>
      <c r="LF30" s="76" t="str">
        <f aca="false">IF($I30&gt;0%,IF(AND(LF$16&gt;=$F30,LF$16&lt;$F30+($G30*$I30)),"➤",""),"")</f>
        <v/>
      </c>
      <c r="LG30" s="76" t="str">
        <f aca="false">IF($I30&gt;0%,IF(AND(LG$16&gt;=$F30,LG$16&lt;$F30+($G30*$I30)),"➤",""),"")</f>
        <v/>
      </c>
      <c r="LH30" s="76" t="str">
        <f aca="false">IF($I30&gt;0%,IF(AND(LH$16&gt;=$F30,LH$16&lt;$F30+($G30*$I30)),"➤",""),"")</f>
        <v/>
      </c>
      <c r="LI30" s="76" t="str">
        <f aca="false">IF($I30&gt;0%,IF(AND(LI$16&gt;=$F30,LI$16&lt;$F30+($G30*$I30)),"➤",""),"")</f>
        <v/>
      </c>
      <c r="LJ30" s="76" t="str">
        <f aca="false">IF($I30&gt;0%,IF(AND(LJ$16&gt;=$F30,LJ$16&lt;$F30+($G30*$I30)),"➤",""),"")</f>
        <v/>
      </c>
      <c r="LK30" s="76" t="str">
        <f aca="false">IF($I30&gt;0%,IF(AND(LK$16&gt;=$F30,LK$16&lt;$F30+($G30*$I30)),"➤",""),"")</f>
        <v/>
      </c>
      <c r="LL30" s="76" t="str">
        <f aca="false">IF($I30&gt;0%,IF(AND(LL$16&gt;=$F30,LL$16&lt;$F30+($G30*$I30)),"➤",""),"")</f>
        <v/>
      </c>
      <c r="LM30" s="76" t="str">
        <f aca="false">IF($I30&gt;0%,IF(AND(LM$16&gt;=$F30,LM$16&lt;$F30+($G30*$I30)),"➤",""),"")</f>
        <v/>
      </c>
      <c r="LN30" s="76" t="str">
        <f aca="false">IF($I30&gt;0%,IF(AND(LN$16&gt;=$F30,LN$16&lt;$F30+($G30*$I30)),"➤",""),"")</f>
        <v/>
      </c>
      <c r="LO30" s="76" t="str">
        <f aca="false">IF($I30&gt;0%,IF(AND(LO$16&gt;=$F30,LO$16&lt;$F30+($G30*$I30)),"➤",""),"")</f>
        <v/>
      </c>
      <c r="LP30" s="76" t="str">
        <f aca="false">IF($I30&gt;0%,IF(AND(LP$16&gt;=$F30,LP$16&lt;$F30+($G30*$I30)),"➤",""),"")</f>
        <v/>
      </c>
      <c r="LQ30" s="76" t="str">
        <f aca="false">IF($I30&gt;0%,IF(AND(LQ$16&gt;=$F30,LQ$16&lt;$F30+($G30*$I30)),"➤",""),"")</f>
        <v/>
      </c>
      <c r="LR30" s="76" t="str">
        <f aca="false">IF($I30&gt;0%,IF(AND(LR$16&gt;=$F30,LR$16&lt;$F30+($G30*$I30)),"➤",""),"")</f>
        <v/>
      </c>
      <c r="LS30" s="76" t="str">
        <f aca="false">IF($I30&gt;0%,IF(AND(LS$16&gt;=$F30,LS$16&lt;$F30+($G30*$I30)),"➤",""),"")</f>
        <v/>
      </c>
      <c r="LT30" s="76" t="str">
        <f aca="false">IF($I30&gt;0%,IF(AND(LT$16&gt;=$F30,LT$16&lt;$F30+($G30*$I30)),"➤",""),"")</f>
        <v/>
      </c>
      <c r="LU30" s="76" t="str">
        <f aca="false">IF($I30&gt;0%,IF(AND(LU$16&gt;=$F30,LU$16&lt;$F30+($G30*$I30)),"➤",""),"")</f>
        <v/>
      </c>
      <c r="LV30" s="76" t="str">
        <f aca="false">IF($I30&gt;0%,IF(AND(LV$16&gt;=$F30,LV$16&lt;$F30+($G30*$I30)),"➤",""),"")</f>
        <v/>
      </c>
      <c r="LW30" s="76" t="str">
        <f aca="false">IF($I30&gt;0%,IF(AND(LW$16&gt;=$F30,LW$16&lt;$F30+($G30*$I30)),"➤",""),"")</f>
        <v/>
      </c>
      <c r="LX30" s="76" t="str">
        <f aca="false">IF($I30&gt;0%,IF(AND(LX$16&gt;=$F30,LX$16&lt;$F30+($G30*$I30)),"➤",""),"")</f>
        <v/>
      </c>
      <c r="LY30" s="76" t="str">
        <f aca="false">IF($I30&gt;0%,IF(AND(LY$16&gt;=$F30,LY$16&lt;$F30+($G30*$I30)),"➤",""),"")</f>
        <v/>
      </c>
      <c r="LZ30" s="76" t="str">
        <f aca="false">IF($I30&gt;0%,IF(AND(LZ$16&gt;=$F30,LZ$16&lt;$F30+($G30*$I30)),"➤",""),"")</f>
        <v/>
      </c>
      <c r="MA30" s="76" t="str">
        <f aca="false">IF($I30&gt;0%,IF(AND(MA$16&gt;=$F30,MA$16&lt;$F30+($G30*$I30)),"➤",""),"")</f>
        <v/>
      </c>
      <c r="MB30" s="76" t="str">
        <f aca="false">IF($I30&gt;0%,IF(AND(MB$16&gt;=$F30,MB$16&lt;$F30+($G30*$I30)),"➤",""),"")</f>
        <v/>
      </c>
      <c r="MC30" s="76" t="str">
        <f aca="false">IF($I30&gt;0%,IF(AND(MC$16&gt;=$F30,MC$16&lt;$F30+($G30*$I30)),"➤",""),"")</f>
        <v/>
      </c>
      <c r="MD30" s="76" t="str">
        <f aca="false">IF($I30&gt;0%,IF(AND(MD$16&gt;=$F30,MD$16&lt;$F30+($G30*$I30)),"➤",""),"")</f>
        <v/>
      </c>
      <c r="ME30" s="76" t="str">
        <f aca="false">IF($I30&gt;0%,IF(AND(ME$16&gt;=$F30,ME$16&lt;$F30+($G30*$I30)),"➤",""),"")</f>
        <v/>
      </c>
      <c r="MF30" s="76" t="str">
        <f aca="false">IF($I30&gt;0%,IF(AND(MF$16&gt;=$F30,MF$16&lt;$F30+($G30*$I30)),"➤",""),"")</f>
        <v/>
      </c>
      <c r="MG30" s="76" t="str">
        <f aca="false">IF($I30&gt;0%,IF(AND(MG$16&gt;=$F30,MG$16&lt;$F30+($G30*$I30)),"➤",""),"")</f>
        <v/>
      </c>
      <c r="MH30" s="76" t="str">
        <f aca="false">IF($I30&gt;0%,IF(AND(MH$16&gt;=$F30,MH$16&lt;$F30+($G30*$I30)),"➤",""),"")</f>
        <v/>
      </c>
      <c r="MI30" s="76" t="str">
        <f aca="false">IF($I30&gt;0%,IF(AND(MI$16&gt;=$F30,MI$16&lt;$F30+($G30*$I30)),"➤",""),"")</f>
        <v/>
      </c>
      <c r="MJ30" s="76" t="str">
        <f aca="false">IF($I30&gt;0%,IF(AND(MJ$16&gt;=$F30,MJ$16&lt;$F30+($G30*$I30)),"➤",""),"")</f>
        <v/>
      </c>
      <c r="MK30" s="76" t="str">
        <f aca="false">IF($I30&gt;0%,IF(AND(MK$16&gt;=$F30,MK$16&lt;$F30+($G30*$I30)),"➤",""),"")</f>
        <v/>
      </c>
      <c r="ML30" s="76" t="str">
        <f aca="false">IF($I30&gt;0%,IF(AND(ML$16&gt;=$F30,ML$16&lt;$F30+($G30*$I30)),"➤",""),"")</f>
        <v/>
      </c>
      <c r="MM30" s="76" t="str">
        <f aca="false">IF($I30&gt;0%,IF(AND(MM$16&gt;=$F30,MM$16&lt;$F30+($G30*$I30)),"➤",""),"")</f>
        <v/>
      </c>
      <c r="MN30" s="76" t="str">
        <f aca="false">IF($I30&gt;0%,IF(AND(MN$16&gt;=$F30,MN$16&lt;$F30+($G30*$I30)),"➤",""),"")</f>
        <v/>
      </c>
      <c r="MO30" s="76" t="str">
        <f aca="false">IF($I30&gt;0%,IF(AND(MO$16&gt;=$F30,MO$16&lt;$F30+($G30*$I30)),"➤",""),"")</f>
        <v/>
      </c>
      <c r="MP30" s="76" t="str">
        <f aca="false">IF($I30&gt;0%,IF(AND(MP$16&gt;=$F30,MP$16&lt;$F30+($G30*$I30)),"➤",""),"")</f>
        <v/>
      </c>
      <c r="MQ30" s="76" t="str">
        <f aca="false">IF($I30&gt;0%,IF(AND(MQ$16&gt;=$F30,MQ$16&lt;$F30+($G30*$I30)),"➤",""),"")</f>
        <v/>
      </c>
      <c r="MR30" s="76" t="str">
        <f aca="false">IF($I30&gt;0%,IF(AND(MR$16&gt;=$F30,MR$16&lt;$F30+($G30*$I30)),"➤",""),"")</f>
        <v/>
      </c>
      <c r="MS30" s="76" t="str">
        <f aca="false">IF($I30&gt;0%,IF(AND(MS$16&gt;=$F30,MS$16&lt;$F30+($G30*$I30)),"➤",""),"")</f>
        <v/>
      </c>
      <c r="MT30" s="76" t="str">
        <f aca="false">IF($I30&gt;0%,IF(AND(MT$16&gt;=$F30,MT$16&lt;$F30+($G30*$I30)),"➤",""),"")</f>
        <v/>
      </c>
      <c r="MU30" s="76" t="str">
        <f aca="false">IF($I30&gt;0%,IF(AND(MU$16&gt;=$F30,MU$16&lt;$F30+($G30*$I30)),"➤",""),"")</f>
        <v/>
      </c>
      <c r="MV30" s="76" t="str">
        <f aca="false">IF($I30&gt;0%,IF(AND(MV$16&gt;=$F30,MV$16&lt;$F30+($G30*$I30)),"➤",""),"")</f>
        <v/>
      </c>
      <c r="MW30" s="76" t="str">
        <f aca="false">IF($I30&gt;0%,IF(AND(MW$16&gt;=$F30,MW$16&lt;$F30+($G30*$I30)),"➤",""),"")</f>
        <v/>
      </c>
      <c r="MX30" s="76" t="str">
        <f aca="false">IF($I30&gt;0%,IF(AND(MX$16&gt;=$F30,MX$16&lt;$F30+($G30*$I30)),"➤",""),"")</f>
        <v/>
      </c>
      <c r="MY30" s="76" t="str">
        <f aca="false">IF($I30&gt;0%,IF(AND(MY$16&gt;=$F30,MY$16&lt;$F30+($G30*$I30)),"➤",""),"")</f>
        <v/>
      </c>
      <c r="MZ30" s="76" t="str">
        <f aca="false">IF($I30&gt;0%,IF(AND(MZ$16&gt;=$F30,MZ$16&lt;$F30+($G30*$I30)),"➤",""),"")</f>
        <v/>
      </c>
      <c r="NA30" s="76" t="str">
        <f aca="false">IF($I30&gt;0%,IF(AND(NA$16&gt;=$F30,NA$16&lt;$F30+($G30*$I30)),"➤",""),"")</f>
        <v/>
      </c>
      <c r="NB30" s="76" t="str">
        <f aca="false">IF($I30&gt;0%,IF(AND(NB$16&gt;=$F30,NB$16&lt;$F30+($G30*$I30)),"➤",""),"")</f>
        <v/>
      </c>
      <c r="NC30" s="76" t="str">
        <f aca="false">IF($I30&gt;0%,IF(AND(NC$16&gt;=$F30,NC$16&lt;$F30+($G30*$I30)),"➤",""),"")</f>
        <v/>
      </c>
      <c r="ND30" s="76" t="str">
        <f aca="false">IF($I30&gt;0%,IF(AND(ND$16&gt;=$F30,ND$16&lt;$F30+($G30*$I30)),"➤",""),"")</f>
        <v/>
      </c>
      <c r="NE30" s="76" t="str">
        <f aca="false">IF($I30&gt;0%,IF(AND(NE$16&gt;=$F30,NE$16&lt;$F30+($G30*$I30)),"➤",""),"")</f>
        <v/>
      </c>
      <c r="NF30" s="76" t="str">
        <f aca="false">IF($I30&gt;0%,IF(AND(NF$16&gt;=$F30,NF$16&lt;$F30+($G30*$I30)),"➤",""),"")</f>
        <v/>
      </c>
      <c r="NG30" s="76" t="str">
        <f aca="false">IF($I30&gt;0%,IF(AND(NG$16&gt;=$F30,NG$16&lt;$F30+($G30*$I30)),"➤",""),"")</f>
        <v/>
      </c>
      <c r="NH30" s="76" t="str">
        <f aca="false">IF($I30&gt;0%,IF(AND(NH$16&gt;=$F30,NH$16&lt;$F30+($G30*$I30)),"➤",""),"")</f>
        <v/>
      </c>
      <c r="NI30" s="76" t="str">
        <f aca="false">IF($I30&gt;0%,IF(AND(NI$16&gt;=$F30,NI$16&lt;$F30+($G30*$I30)),"➤",""),"")</f>
        <v/>
      </c>
      <c r="NJ30" s="76" t="str">
        <f aca="false">IF($I30&gt;0%,IF(AND(NJ$16&gt;=$F30,NJ$16&lt;$F30+($G30*$I30)),"➤",""),"")</f>
        <v/>
      </c>
      <c r="NK30" s="76" t="str">
        <f aca="false">IF($I30&gt;0%,IF(AND(NK$16&gt;=$F30,NK$16&lt;$F30+($G30*$I30)),"➤",""),"")</f>
        <v/>
      </c>
      <c r="NL30" s="76" t="str">
        <f aca="false">IF($I30&gt;0%,IF(AND(NL$16&gt;=$F30,NL$16&lt;$F30+($G30*$I30)),"➤",""),"")</f>
        <v/>
      </c>
      <c r="NM30" s="76" t="str">
        <f aca="false">IF($I30&gt;0%,IF(AND(NM$16&gt;=$F30,NM$16&lt;$F30+($G30*$I30)),"➤",""),"")</f>
        <v/>
      </c>
      <c r="NN30" s="76" t="str">
        <f aca="false">IF($I30&gt;0%,IF(AND(NN$16&gt;=$F30,NN$16&lt;$F30+($G30*$I30)),"➤",""),"")</f>
        <v/>
      </c>
      <c r="NO30" s="76" t="str">
        <f aca="false">IF($I30&gt;0%,IF(AND(NO$16&gt;=$F30,NO$16&lt;$F30+($G30*$I30)),"➤",""),"")</f>
        <v/>
      </c>
      <c r="NP30" s="76" t="str">
        <f aca="false">IF($I30&gt;0%,IF(AND(NP$16&gt;=$F30,NP$16&lt;$F30+($G30*$I30)),"➤",""),"")</f>
        <v/>
      </c>
      <c r="NQ30" s="76" t="str">
        <f aca="false">IF($I30&gt;0%,IF(AND(NQ$16&gt;=$F30,NQ$16&lt;$F30+($G30*$I30)),"➤",""),"")</f>
        <v/>
      </c>
      <c r="NR30" s="76" t="str">
        <f aca="false">IF($I30&gt;0%,IF(AND(NR$16&gt;=$F30,NR$16&lt;$F30+($G30*$I30)),"➤",""),"")</f>
        <v/>
      </c>
      <c r="NS30" s="76" t="str">
        <f aca="false">IF($I30&gt;0%,IF(AND(NS$16&gt;=$F30,NS$16&lt;$F30+($G30*$I30)),"➤",""),"")</f>
        <v/>
      </c>
      <c r="NT30" s="76" t="str">
        <f aca="false">IF($I30&gt;0%,IF(AND(NT$16&gt;=$F30,NT$16&lt;$F30+($G30*$I30)),"➤",""),"")</f>
        <v/>
      </c>
      <c r="NU30" s="76" t="str">
        <f aca="false">IF($I30&gt;0%,IF(AND(NU$16&gt;=$F30,NU$16&lt;$F30+($G30*$I30)),"➤",""),"")</f>
        <v/>
      </c>
      <c r="NV30" s="76" t="str">
        <f aca="false">IF($I30&gt;0%,IF(AND(NV$16&gt;=$F30,NV$16&lt;$F30+($G30*$I30)),"➤",""),"")</f>
        <v/>
      </c>
      <c r="NW30" s="76" t="str">
        <f aca="false">IF($I30&gt;0%,IF(AND(NW$16&gt;=$F30,NW$16&lt;$F30+($G30*$I30)),"➤",""),"")</f>
        <v/>
      </c>
      <c r="NX30" s="76" t="str">
        <f aca="false">IF($I30&gt;0%,IF(AND(NX$16&gt;=$F30,NX$16&lt;$F30+($G30*$I30)),"➤",""),"")</f>
        <v/>
      </c>
      <c r="NY30" s="76" t="str">
        <f aca="false">IF($I30&gt;0%,IF(AND(NY$16&gt;=$F30,NY$16&lt;$F30+($G30*$I30)),"➤",""),"")</f>
        <v/>
      </c>
      <c r="NZ30" s="76" t="str">
        <f aca="false">IF($I30&gt;0%,IF(AND(NZ$16&gt;=$F30,NZ$16&lt;$F30+($G30*$I30)),"➤",""),"")</f>
        <v/>
      </c>
      <c r="OA30" s="76" t="str">
        <f aca="false">IF($I30&gt;0%,IF(AND(OA$16&gt;=$F30,OA$16&lt;$F30+($G30*$I30)),"➤",""),"")</f>
        <v/>
      </c>
      <c r="OB30" s="76" t="str">
        <f aca="false">IF($I30&gt;0%,IF(AND(OB$16&gt;=$F30,OB$16&lt;$F30+($G30*$I30)),"➤",""),"")</f>
        <v/>
      </c>
      <c r="OC30" s="76" t="str">
        <f aca="false">IF($I30&gt;0%,IF(AND(OC$16&gt;=$F30,OC$16&lt;$F30+($G30*$I30)),"➤",""),"")</f>
        <v/>
      </c>
      <c r="OD30" s="76" t="str">
        <f aca="false">IF($I30&gt;0%,IF(AND(OD$16&gt;=$F30,OD$16&lt;$F30+($G30*$I30)),"➤",""),"")</f>
        <v/>
      </c>
      <c r="OE30" s="76" t="str">
        <f aca="false">IF($I30&gt;0%,IF(AND(OE$16&gt;=$F30,OE$16&lt;$F30+($G30*$I30)),"➤",""),"")</f>
        <v/>
      </c>
      <c r="OF30" s="76" t="str">
        <f aca="false">IF($I30&gt;0%,IF(AND(OF$16&gt;=$F30,OF$16&lt;$F30+($G30*$I30)),"➤",""),"")</f>
        <v/>
      </c>
      <c r="OG30" s="76" t="str">
        <f aca="false">IF($I30&gt;0%,IF(AND(OG$16&gt;=$F30,OG$16&lt;$F30+($G30*$I30)),"➤",""),"")</f>
        <v/>
      </c>
      <c r="OH30" s="76" t="str">
        <f aca="false">IF($I30&gt;0%,IF(AND(OH$16&gt;=$F30,OH$16&lt;$F30+($G30*$I30)),"➤",""),"")</f>
        <v/>
      </c>
      <c r="OI30" s="76" t="str">
        <f aca="false">IF($I30&gt;0%,IF(AND(OI$16&gt;=$F30,OI$16&lt;$F30+($G30*$I30)),"➤",""),"")</f>
        <v/>
      </c>
      <c r="OJ30" s="76" t="str">
        <f aca="false">IF($I30&gt;0%,IF(AND(OJ$16&gt;=$F30,OJ$16&lt;$F30+($G30*$I30)),"➤",""),"")</f>
        <v/>
      </c>
      <c r="OK30" s="76" t="str">
        <f aca="false">IF($I30&gt;0%,IF(AND(OK$16&gt;=$F30,OK$16&lt;$F30+($G30*$I30)),"➤",""),"")</f>
        <v/>
      </c>
      <c r="OL30" s="76" t="str">
        <f aca="false">IF($I30&gt;0%,IF(AND(OL$16&gt;=$F30,OL$16&lt;$F30+($G30*$I30)),"➤",""),"")</f>
        <v/>
      </c>
      <c r="OM30" s="76" t="str">
        <f aca="false">IF($I30&gt;0%,IF(AND(OM$16&gt;=$F30,OM$16&lt;$F30+($G30*$I30)),"➤",""),"")</f>
        <v/>
      </c>
      <c r="ON30" s="76" t="str">
        <f aca="false">IF($I30&gt;0%,IF(AND(ON$16&gt;=$F30,ON$16&lt;$F30+($G30*$I30)),"➤",""),"")</f>
        <v/>
      </c>
      <c r="OO30" s="76" t="str">
        <f aca="false">IF($I30&gt;0%,IF(AND(OO$16&gt;=$F30,OO$16&lt;$F30+($G30*$I30)),"➤",""),"")</f>
        <v/>
      </c>
      <c r="OP30" s="76" t="str">
        <f aca="false">IF($I30&gt;0%,IF(AND(OP$16&gt;=$F30,OP$16&lt;$F30+($G30*$I30)),"➤",""),"")</f>
        <v/>
      </c>
      <c r="OQ30" s="76" t="str">
        <f aca="false">IF($I30&gt;0%,IF(AND(OQ$16&gt;=$F30,OQ$16&lt;$F30+($G30*$I30)),"➤",""),"")</f>
        <v/>
      </c>
      <c r="OR30" s="76" t="str">
        <f aca="false">IF($I30&gt;0%,IF(AND(OR$16&gt;=$F30,OR$16&lt;$F30+($G30*$I30)),"➤",""),"")</f>
        <v/>
      </c>
      <c r="OS30" s="76" t="str">
        <f aca="false">IF($I30&gt;0%,IF(AND(OS$16&gt;=$F30,OS$16&lt;$F30+($G30*$I30)),"➤",""),"")</f>
        <v/>
      </c>
      <c r="OT30" s="76" t="str">
        <f aca="false">IF($I30&gt;0%,IF(AND(OT$16&gt;=$F30,OT$16&lt;$F30+($G30*$I30)),"➤",""),"")</f>
        <v/>
      </c>
      <c r="OU30" s="76" t="str">
        <f aca="false">IF($I30&gt;0%,IF(AND(OU$16&gt;=$F30,OU$16&lt;$F30+($G30*$I30)),"➤",""),"")</f>
        <v/>
      </c>
      <c r="OV30" s="76" t="str">
        <f aca="false">IF($I30&gt;0%,IF(AND(OV$16&gt;=$F30,OV$16&lt;$F30+($G30*$I30)),"➤",""),"")</f>
        <v/>
      </c>
      <c r="OW30" s="76" t="str">
        <f aca="false">IF($I30&gt;0%,IF(AND(OW$16&gt;=$F30,OW$16&lt;$F30+($G30*$I30)),"➤",""),"")</f>
        <v/>
      </c>
      <c r="OX30" s="76" t="str">
        <f aca="false">IF($I30&gt;0%,IF(AND(OX$16&gt;=$F30,OX$16&lt;$F30+($G30*$I30)),"➤",""),"")</f>
        <v/>
      </c>
      <c r="OY30" s="76" t="str">
        <f aca="false">IF($I30&gt;0%,IF(AND(OY$16&gt;=$F30,OY$16&lt;$F30+($G30*$I30)),"➤",""),"")</f>
        <v/>
      </c>
      <c r="OZ30" s="76" t="str">
        <f aca="false">IF($I30&gt;0%,IF(AND(OZ$16&gt;=$F30,OZ$16&lt;$F30+($G30*$I30)),"➤",""),"")</f>
        <v/>
      </c>
      <c r="PA30" s="76" t="str">
        <f aca="false">IF($I30&gt;0%,IF(AND(PA$16&gt;=$F30,PA$16&lt;$F30+($G30*$I30)),"➤",""),"")</f>
        <v/>
      </c>
      <c r="PB30" s="76" t="str">
        <f aca="false">IF($I30&gt;0%,IF(AND(PB$16&gt;=$F30,PB$16&lt;$F30+($G30*$I30)),"➤",""),"")</f>
        <v/>
      </c>
      <c r="PC30" s="76" t="str">
        <f aca="false">IF($I30&gt;0%,IF(AND(PC$16&gt;=$F30,PC$16&lt;$F30+($G30*$I30)),"➤",""),"")</f>
        <v/>
      </c>
      <c r="PD30" s="76" t="str">
        <f aca="false">IF($I30&gt;0%,IF(AND(PD$16&gt;=$F30,PD$16&lt;$F30+($G30*$I30)),"➤",""),"")</f>
        <v/>
      </c>
      <c r="PE30" s="76" t="str">
        <f aca="false">IF($I30&gt;0%,IF(AND(PE$16&gt;=$F30,PE$16&lt;$F30+($G30*$I30)),"➤",""),"")</f>
        <v/>
      </c>
      <c r="PF30" s="76" t="str">
        <f aca="false">IF($I30&gt;0%,IF(AND(PF$16&gt;=$F30,PF$16&lt;$F30+($G30*$I30)),"➤",""),"")</f>
        <v/>
      </c>
      <c r="PG30" s="76" t="str">
        <f aca="false">IF($I30&gt;0%,IF(AND(PG$16&gt;=$F30,PG$16&lt;$F30+($G30*$I30)),"➤",""),"")</f>
        <v/>
      </c>
      <c r="PH30" s="76" t="str">
        <f aca="false">IF($I30&gt;0%,IF(AND(PH$16&gt;=$F30,PH$16&lt;$F30+($G30*$I30)),"➤",""),"")</f>
        <v/>
      </c>
      <c r="PI30" s="76" t="str">
        <f aca="false">IF($I30&gt;0%,IF(AND(PI$16&gt;=$F30,PI$16&lt;$F30+($G30*$I30)),"➤",""),"")</f>
        <v/>
      </c>
      <c r="PJ30" s="76" t="str">
        <f aca="false">IF($I30&gt;0%,IF(AND(PJ$16&gt;=$F30,PJ$16&lt;$F30+($G30*$I30)),"➤",""),"")</f>
        <v/>
      </c>
      <c r="PK30" s="76" t="str">
        <f aca="false">IF($I30&gt;0%,IF(AND(PK$16&gt;=$F30,PK$16&lt;$F30+($G30*$I30)),"➤",""),"")</f>
        <v/>
      </c>
      <c r="PL30" s="76" t="str">
        <f aca="false">IF($I30&gt;0%,IF(AND(PL$16&gt;=$F30,PL$16&lt;$F30+($G30*$I30)),"➤",""),"")</f>
        <v/>
      </c>
      <c r="PM30" s="76" t="str">
        <f aca="false">IF($I30&gt;0%,IF(AND(PM$16&gt;=$F30,PM$16&lt;$F30+($G30*$I30)),"➤",""),"")</f>
        <v/>
      </c>
      <c r="PN30" s="76" t="str">
        <f aca="false">IF($I30&gt;0%,IF(AND(PN$16&gt;=$F30,PN$16&lt;$F30+($G30*$I30)),"➤",""),"")</f>
        <v/>
      </c>
      <c r="PO30" s="76" t="str">
        <f aca="false">IF($I30&gt;0%,IF(AND(PO$16&gt;=$F30,PO$16&lt;$F30+($G30*$I30)),"➤",""),"")</f>
        <v/>
      </c>
      <c r="PP30" s="76" t="str">
        <f aca="false">IF($I30&gt;0%,IF(AND(PP$16&gt;=$F30,PP$16&lt;$F30+($G30*$I30)),"➤",""),"")</f>
        <v/>
      </c>
      <c r="PQ30" s="76" t="str">
        <f aca="false">IF($I30&gt;0%,IF(AND(PQ$16&gt;=$F30,PQ$16&lt;$F30+($G30*$I30)),"➤",""),"")</f>
        <v/>
      </c>
      <c r="PR30" s="76" t="str">
        <f aca="false">IF($I30&gt;0%,IF(AND(PR$16&gt;=$F30,PR$16&lt;$F30+($G30*$I30)),"➤",""),"")</f>
        <v/>
      </c>
      <c r="PS30" s="76" t="str">
        <f aca="false">IF($I30&gt;0%,IF(AND(PS$16&gt;=$F30,PS$16&lt;$F30+($G30*$I30)),"➤",""),"")</f>
        <v/>
      </c>
      <c r="PT30" s="76" t="str">
        <f aca="false">IF($I30&gt;0%,IF(AND(PT$16&gt;=$F30,PT$16&lt;$F30+($G30*$I30)),"➤",""),"")</f>
        <v/>
      </c>
      <c r="PU30" s="76" t="str">
        <f aca="false">IF($I30&gt;0%,IF(AND(PU$16&gt;=$F30,PU$16&lt;$F30+($G30*$I30)),"➤",""),"")</f>
        <v/>
      </c>
      <c r="PV30" s="76" t="str">
        <f aca="false">IF($I30&gt;0%,IF(AND(PV$16&gt;=$F30,PV$16&lt;$F30+($G30*$I30)),"➤",""),"")</f>
        <v/>
      </c>
      <c r="PW30" s="76" t="str">
        <f aca="false">IF($I30&gt;0%,IF(AND(PW$16&gt;=$F30,PW$16&lt;$F30+($G30*$I30)),"➤",""),"")</f>
        <v/>
      </c>
      <c r="PX30" s="76" t="str">
        <f aca="false">IF($I30&gt;0%,IF(AND(PX$16&gt;=$F30,PX$16&lt;$F30+($G30*$I30)),"➤",""),"")</f>
        <v/>
      </c>
      <c r="PY30" s="76" t="str">
        <f aca="false">IF($I30&gt;0%,IF(AND(PY$16&gt;=$F30,PY$16&lt;$F30+($G30*$I30)),"➤",""),"")</f>
        <v/>
      </c>
      <c r="PZ30" s="76" t="str">
        <f aca="false">IF($I30&gt;0%,IF(AND(PZ$16&gt;=$F30,PZ$16&lt;$F30+($G30*$I30)),"➤",""),"")</f>
        <v/>
      </c>
      <c r="QA30" s="76" t="str">
        <f aca="false">IF($I30&gt;0%,IF(AND(QA$16&gt;=$F30,QA$16&lt;$F30+($G30*$I30)),"➤",""),"")</f>
        <v/>
      </c>
      <c r="QB30" s="76" t="str">
        <f aca="false">IF($I30&gt;0%,IF(AND(QB$16&gt;=$F30,QB$16&lt;$F30+($G30*$I30)),"➤",""),"")</f>
        <v/>
      </c>
      <c r="QC30" s="76" t="str">
        <f aca="false">IF($I30&gt;0%,IF(AND(QC$16&gt;=$F30,QC$16&lt;$F30+($G30*$I30)),"➤",""),"")</f>
        <v/>
      </c>
      <c r="QD30" s="76" t="str">
        <f aca="false">IF($I30&gt;0%,IF(AND(QD$16&gt;=$F30,QD$16&lt;$F30+($G30*$I30)),"➤",""),"")</f>
        <v/>
      </c>
      <c r="QE30" s="76" t="str">
        <f aca="false">IF($I30&gt;0%,IF(AND(QE$16&gt;=$F30,QE$16&lt;$F30+($G30*$I30)),"➤",""),"")</f>
        <v/>
      </c>
      <c r="QF30" s="76" t="str">
        <f aca="false">IF($I30&gt;0%,IF(AND(QF$16&gt;=$F30,QF$16&lt;$F30+($G30*$I30)),"➤",""),"")</f>
        <v/>
      </c>
      <c r="QG30" s="76" t="str">
        <f aca="false">IF($I30&gt;0%,IF(AND(QG$16&gt;=$F30,QG$16&lt;$F30+($G30*$I30)),"➤",""),"")</f>
        <v/>
      </c>
      <c r="QH30" s="76" t="str">
        <f aca="false">IF($I30&gt;0%,IF(AND(QH$16&gt;=$F30,QH$16&lt;$F30+($G30*$I30)),"➤",""),"")</f>
        <v/>
      </c>
      <c r="QI30" s="76" t="str">
        <f aca="false">IF($I30&gt;0%,IF(AND(QI$16&gt;=$F30,QI$16&lt;$F30+($G30*$I30)),"➤",""),"")</f>
        <v/>
      </c>
      <c r="QJ30" s="76" t="str">
        <f aca="false">IF($I30&gt;0%,IF(AND(QJ$16&gt;=$F30,QJ$16&lt;$F30+($G30*$I30)),"➤",""),"")</f>
        <v/>
      </c>
      <c r="QK30" s="76" t="str">
        <f aca="false">IF($I30&gt;0%,IF(AND(QK$16&gt;=$F30,QK$16&lt;$F30+($G30*$I30)),"➤",""),"")</f>
        <v/>
      </c>
      <c r="QL30" s="76" t="str">
        <f aca="false">IF($I30&gt;0%,IF(AND(QL$16&gt;=$F30,QL$16&lt;$F30+($G30*$I30)),"➤",""),"")</f>
        <v/>
      </c>
      <c r="QM30" s="76" t="str">
        <f aca="false">IF($I30&gt;0%,IF(AND(QM$16&gt;=$F30,QM$16&lt;$F30+($G30*$I30)),"➤",""),"")</f>
        <v/>
      </c>
      <c r="QN30" s="76" t="str">
        <f aca="false">IF($I30&gt;0%,IF(AND(QN$16&gt;=$F30,QN$16&lt;$F30+($G30*$I30)),"➤",""),"")</f>
        <v/>
      </c>
      <c r="QO30" s="76" t="str">
        <f aca="false">IF($I30&gt;0%,IF(AND(QO$16&gt;=$F30,QO$16&lt;$F30+($G30*$I30)),"➤",""),"")</f>
        <v/>
      </c>
      <c r="QP30" s="76" t="str">
        <f aca="false">IF($I30&gt;0%,IF(AND(QP$16&gt;=$F30,QP$16&lt;$F30+($G30*$I30)),"➤",""),"")</f>
        <v/>
      </c>
      <c r="QQ30" s="76" t="str">
        <f aca="false">IF($I30&gt;0%,IF(AND(QQ$16&gt;=$F30,QQ$16&lt;$F30+($G30*$I30)),"➤",""),"")</f>
        <v/>
      </c>
      <c r="QR30" s="76" t="str">
        <f aca="false">IF($I30&gt;0%,IF(AND(QR$16&gt;=$F30,QR$16&lt;$F30+($G30*$I30)),"➤",""),"")</f>
        <v/>
      </c>
      <c r="QS30" s="76" t="str">
        <f aca="false">IF($I30&gt;0%,IF(AND(QS$16&gt;=$F30,QS$16&lt;$F30+($G30*$I30)),"➤",""),"")</f>
        <v/>
      </c>
      <c r="QT30" s="76" t="str">
        <f aca="false">IF($I30&gt;0%,IF(AND(QT$16&gt;=$F30,QT$16&lt;$F30+($G30*$I30)),"➤",""),"")</f>
        <v/>
      </c>
      <c r="QU30" s="76" t="str">
        <f aca="false">IF($I30&gt;0%,IF(AND(QU$16&gt;=$F30,QU$16&lt;$F30+($G30*$I30)),"➤",""),"")</f>
        <v/>
      </c>
      <c r="QV30" s="76" t="str">
        <f aca="false">IF($I30&gt;0%,IF(AND(QV$16&gt;=$F30,QV$16&lt;$F30+($G30*$I30)),"➤",""),"")</f>
        <v/>
      </c>
      <c r="QW30" s="76" t="str">
        <f aca="false">IF($I30&gt;0%,IF(AND(QW$16&gt;=$F30,QW$16&lt;$F30+($G30*$I30)),"➤",""),"")</f>
        <v/>
      </c>
      <c r="QX30" s="76" t="str">
        <f aca="false">IF($I30&gt;0%,IF(AND(QX$16&gt;=$F30,QX$16&lt;$F30+($G30*$I30)),"➤",""),"")</f>
        <v/>
      </c>
      <c r="QY30" s="76" t="str">
        <f aca="false">IF($I30&gt;0%,IF(AND(QY$16&gt;=$F30,QY$16&lt;$F30+($G30*$I30)),"➤",""),"")</f>
        <v/>
      </c>
      <c r="QZ30" s="76" t="str">
        <f aca="false">IF($I30&gt;0%,IF(AND(QZ$16&gt;=$F30,QZ$16&lt;$F30+($G30*$I30)),"➤",""),"")</f>
        <v/>
      </c>
      <c r="RA30" s="76" t="str">
        <f aca="false">IF($I30&gt;0%,IF(AND(RA$16&gt;=$F30,RA$16&lt;$F30+($G30*$I30)),"➤",""),"")</f>
        <v/>
      </c>
      <c r="RB30" s="76" t="str">
        <f aca="false">IF($I30&gt;0%,IF(AND(RB$16&gt;=$F30,RB$16&lt;$F30+($G30*$I30)),"➤",""),"")</f>
        <v/>
      </c>
      <c r="RC30" s="76" t="str">
        <f aca="false">IF($I30&gt;0%,IF(AND(RC$16&gt;=$F30,RC$16&lt;$F30+($G30*$I30)),"➤",""),"")</f>
        <v/>
      </c>
      <c r="RD30" s="76" t="str">
        <f aca="false">IF($I30&gt;0%,IF(AND(RD$16&gt;=$F30,RD$16&lt;$F30+($G30*$I30)),"➤",""),"")</f>
        <v/>
      </c>
      <c r="RE30" s="76" t="str">
        <f aca="false">IF($I30&gt;0%,IF(AND(RE$16&gt;=$F30,RE$16&lt;$F30+($G30*$I30)),"➤",""),"")</f>
        <v/>
      </c>
      <c r="RF30" s="76" t="str">
        <f aca="false">IF($I30&gt;0%,IF(AND(RF$16&gt;=$F30,RF$16&lt;$F30+($G30*$I30)),"➤",""),"")</f>
        <v/>
      </c>
      <c r="RG30" s="76" t="str">
        <f aca="false">IF($I30&gt;0%,IF(AND(RG$16&gt;=$F30,RG$16&lt;$F30+($G30*$I30)),"➤",""),"")</f>
        <v/>
      </c>
      <c r="RH30" s="76" t="str">
        <f aca="false">IF($I30&gt;0%,IF(AND(RH$16&gt;=$F30,RH$16&lt;$F30+($G30*$I30)),"➤",""),"")</f>
        <v/>
      </c>
      <c r="RI30" s="76" t="str">
        <f aca="false">IF($I30&gt;0%,IF(AND(RI$16&gt;=$F30,RI$16&lt;$F30+($G30*$I30)),"➤",""),"")</f>
        <v/>
      </c>
      <c r="RJ30" s="76" t="str">
        <f aca="false">IF($I30&gt;0%,IF(AND(RJ$16&gt;=$F30,RJ$16&lt;$F30+($G30*$I30)),"➤",""),"")</f>
        <v/>
      </c>
      <c r="RK30" s="76" t="str">
        <f aca="false">IF($I30&gt;0%,IF(AND(RK$16&gt;=$F30,RK$16&lt;$F30+($G30*$I30)),"➤",""),"")</f>
        <v/>
      </c>
      <c r="RL30" s="76" t="str">
        <f aca="false">IF($I30&gt;0%,IF(AND(RL$16&gt;=$F30,RL$16&lt;$F30+($G30*$I30)),"➤",""),"")</f>
        <v/>
      </c>
      <c r="RM30" s="76" t="str">
        <f aca="false">IF($I30&gt;0%,IF(AND(RM$16&gt;=$F30,RM$16&lt;$F30+($G30*$I30)),"➤",""),"")</f>
        <v/>
      </c>
      <c r="RN30" s="76" t="str">
        <f aca="false">IF($I30&gt;0%,IF(AND(RN$16&gt;=$F30,RN$16&lt;$F30+($G30*$I30)),"➤",""),"")</f>
        <v/>
      </c>
      <c r="RO30" s="76" t="str">
        <f aca="false">IF($I30&gt;0%,IF(AND(RO$16&gt;=$F30,RO$16&lt;$F30+($G30*$I30)),"➤",""),"")</f>
        <v/>
      </c>
      <c r="RP30" s="76" t="str">
        <f aca="false">IF($I30&gt;0%,IF(AND(RP$16&gt;=$F30,RP$16&lt;$F30+($G30*$I30)),"➤",""),"")</f>
        <v/>
      </c>
      <c r="RQ30" s="76" t="str">
        <f aca="false">IF($I30&gt;0%,IF(AND(RQ$16&gt;=$F30,RQ$16&lt;$F30+($G30*$I30)),"➤",""),"")</f>
        <v/>
      </c>
      <c r="RR30" s="76" t="str">
        <f aca="false">IF($I30&gt;0%,IF(AND(RR$16&gt;=$F30,RR$16&lt;$F30+($G30*$I30)),"➤",""),"")</f>
        <v/>
      </c>
      <c r="RS30" s="76" t="str">
        <f aca="false">IF($I30&gt;0%,IF(AND(RS$16&gt;=$F30,RS$16&lt;$F30+($G30*$I30)),"➤",""),"")</f>
        <v/>
      </c>
      <c r="RT30" s="76" t="str">
        <f aca="false">IF($I30&gt;0%,IF(AND(RT$16&gt;=$F30,RT$16&lt;$F30+($G30*$I30)),"➤",""),"")</f>
        <v/>
      </c>
      <c r="RU30" s="76" t="str">
        <f aca="false">IF($I30&gt;0%,IF(AND(RU$16&gt;=$F30,RU$16&lt;$F30+($G30*$I30)),"➤",""),"")</f>
        <v/>
      </c>
      <c r="RV30" s="76" t="str">
        <f aca="false">IF($I30&gt;0%,IF(AND(RV$16&gt;=$F30,RV$16&lt;$F30+($G30*$I30)),"➤",""),"")</f>
        <v/>
      </c>
      <c r="RW30" s="76" t="str">
        <f aca="false">IF($I30&gt;0%,IF(AND(RW$16&gt;=$F30,RW$16&lt;$F30+($G30*$I30)),"➤",""),"")</f>
        <v/>
      </c>
      <c r="RX30" s="76" t="str">
        <f aca="false">IF($I30&gt;0%,IF(AND(RX$16&gt;=$F30,RX$16&lt;$F30+($G30*$I30)),"➤",""),"")</f>
        <v/>
      </c>
      <c r="RY30" s="76" t="str">
        <f aca="false">IF($I30&gt;0%,IF(AND(RY$16&gt;=$F30,RY$16&lt;$F30+($G30*$I30)),"➤",""),"")</f>
        <v/>
      </c>
      <c r="RZ30" s="76" t="str">
        <f aca="false">IF($I30&gt;0%,IF(AND(RZ$16&gt;=$F30,RZ$16&lt;$F30+($G30*$I30)),"➤",""),"")</f>
        <v/>
      </c>
      <c r="SA30" s="76" t="str">
        <f aca="false">IF($I30&gt;0%,IF(AND(SA$16&gt;=$F30,SA$16&lt;$F30+($G30*$I30)),"➤",""),"")</f>
        <v/>
      </c>
      <c r="SB30" s="76" t="str">
        <f aca="false">IF($I30&gt;0%,IF(AND(SB$16&gt;=$F30,SB$16&lt;$F30+($G30*$I30)),"➤",""),"")</f>
        <v/>
      </c>
      <c r="SC30" s="76" t="str">
        <f aca="false">IF($I30&gt;0%,IF(AND(SC$16&gt;=$F30,SC$16&lt;$F30+($G30*$I30)),"➤",""),"")</f>
        <v/>
      </c>
      <c r="SD30" s="76" t="str">
        <f aca="false">IF($I30&gt;0%,IF(AND(SD$16&gt;=$F30,SD$16&lt;$F30+($G30*$I30)),"➤",""),"")</f>
        <v/>
      </c>
      <c r="SE30" s="76" t="str">
        <f aca="false">IF($I30&gt;0%,IF(AND(SE$16&gt;=$F30,SE$16&lt;$F30+($G30*$I30)),"➤",""),"")</f>
        <v/>
      </c>
      <c r="SF30" s="76" t="str">
        <f aca="false">IF($I30&gt;0%,IF(AND(SF$16&gt;=$F30,SF$16&lt;$F30+($G30*$I30)),"➤",""),"")</f>
        <v/>
      </c>
      <c r="SG30" s="76" t="str">
        <f aca="false">IF($I30&gt;0%,IF(AND(SG$16&gt;=$F30,SG$16&lt;$F30+($G30*$I30)),"➤",""),"")</f>
        <v/>
      </c>
      <c r="SH30" s="76" t="str">
        <f aca="false">IF($I30&gt;0%,IF(AND(SH$16&gt;=$F30,SH$16&lt;$F30+($G30*$I30)),"➤",""),"")</f>
        <v/>
      </c>
      <c r="SI30" s="76" t="str">
        <f aca="false">IF($I30&gt;0%,IF(AND(SI$16&gt;=$F30,SI$16&lt;$F30+($G30*$I30)),"➤",""),"")</f>
        <v/>
      </c>
      <c r="SJ30" s="76" t="str">
        <f aca="false">IF($I30&gt;0%,IF(AND(SJ$16&gt;=$F30,SJ$16&lt;$F30+($G30*$I30)),"➤",""),"")</f>
        <v/>
      </c>
      <c r="SK30" s="76" t="str">
        <f aca="false">IF($I30&gt;0%,IF(AND(SK$16&gt;=$F30,SK$16&lt;$F30+($G30*$I30)),"➤",""),"")</f>
        <v/>
      </c>
      <c r="SL30" s="76" t="str">
        <f aca="false">IF($I30&gt;0%,IF(AND(SL$16&gt;=$F30,SL$16&lt;$F30+($G30*$I30)),"➤",""),"")</f>
        <v/>
      </c>
      <c r="SM30" s="76" t="str">
        <f aca="false">IF($I30&gt;0%,IF(AND(SM$16&gt;=$F30,SM$16&lt;$F30+($G30*$I30)),"➤",""),"")</f>
        <v/>
      </c>
      <c r="SN30" s="76" t="str">
        <f aca="false">IF($I30&gt;0%,IF(AND(SN$16&gt;=$F30,SN$16&lt;$F30+($G30*$I30)),"➤",""),"")</f>
        <v/>
      </c>
      <c r="SO30" s="76" t="str">
        <f aca="false">IF($I30&gt;0%,IF(AND(SO$16&gt;=$F30,SO$16&lt;$F30+($G30*$I30)),"➤",""),"")</f>
        <v/>
      </c>
      <c r="SP30" s="76" t="str">
        <f aca="false">IF($I30&gt;0%,IF(AND(SP$16&gt;=$F30,SP$16&lt;$F30+($G30*$I30)),"➤",""),"")</f>
        <v/>
      </c>
      <c r="SQ30" s="76" t="str">
        <f aca="false">IF($I30&gt;0%,IF(AND(SQ$16&gt;=$F30,SQ$16&lt;$F30+($G30*$I30)),"➤",""),"")</f>
        <v/>
      </c>
      <c r="SR30" s="76" t="str">
        <f aca="false">IF($I30&gt;0%,IF(AND(SR$16&gt;=$F30,SR$16&lt;$F30+($G30*$I30)),"➤",""),"")</f>
        <v/>
      </c>
      <c r="SS30" s="76" t="str">
        <f aca="false">IF($I30&gt;0%,IF(AND(SS$16&gt;=$F30,SS$16&lt;$F30+($G30*$I30)),"➤",""),"")</f>
        <v/>
      </c>
      <c r="ST30" s="76" t="str">
        <f aca="false">IF($I30&gt;0%,IF(AND(ST$16&gt;=$F30,ST$16&lt;$F30+($G30*$I30)),"➤",""),"")</f>
        <v/>
      </c>
      <c r="SU30" s="76" t="str">
        <f aca="false">IF($I30&gt;0%,IF(AND(SU$16&gt;=$F30,SU$16&lt;$F30+($G30*$I30)),"➤",""),"")</f>
        <v/>
      </c>
      <c r="SV30" s="76" t="str">
        <f aca="false">IF($I30&gt;0%,IF(AND(SV$16&gt;=$F30,SV$16&lt;$F30+($G30*$I30)),"➤",""),"")</f>
        <v/>
      </c>
      <c r="SW30" s="77" t="str">
        <f aca="false">IF($I30&gt;0%,IF(AND(SW$16&gt;=$F30,SW$16&lt;$F30+($G30*$I30)),"➤",""),"")</f>
        <v/>
      </c>
    </row>
    <row r="31" customFormat="false" ht="14.25" hidden="false" customHeight="false" outlineLevel="0" collapsed="false">
      <c r="C31" s="10"/>
      <c r="D31" s="86" t="s">
        <v>31</v>
      </c>
      <c r="E31" s="87"/>
      <c r="F31" s="88"/>
      <c r="G31" s="88"/>
      <c r="H31" s="88"/>
      <c r="I31" s="89"/>
      <c r="J31" s="90"/>
      <c r="K31" s="90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  <c r="AQ31" s="88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88"/>
      <c r="BF31" s="88"/>
      <c r="BG31" s="88"/>
      <c r="BH31" s="88"/>
      <c r="BI31" s="88"/>
      <c r="BJ31" s="88"/>
      <c r="BK31" s="88"/>
      <c r="BL31" s="88"/>
      <c r="BM31" s="88"/>
      <c r="BN31" s="88"/>
      <c r="BO31" s="88"/>
      <c r="BP31" s="88"/>
      <c r="BQ31" s="88"/>
      <c r="BR31" s="88"/>
      <c r="BS31" s="88"/>
      <c r="BT31" s="88"/>
      <c r="BU31" s="88"/>
      <c r="BV31" s="88"/>
      <c r="BW31" s="88"/>
      <c r="BX31" s="88"/>
      <c r="BY31" s="88"/>
      <c r="BZ31" s="88"/>
      <c r="CA31" s="88"/>
      <c r="CB31" s="88"/>
      <c r="CC31" s="88"/>
      <c r="CD31" s="88"/>
      <c r="CE31" s="88"/>
      <c r="CF31" s="88"/>
      <c r="CG31" s="88"/>
      <c r="CH31" s="88"/>
      <c r="CI31" s="88"/>
      <c r="CJ31" s="88"/>
      <c r="CK31" s="88"/>
      <c r="CL31" s="88"/>
      <c r="CM31" s="88"/>
      <c r="CN31" s="88"/>
      <c r="CO31" s="88"/>
      <c r="CP31" s="88"/>
      <c r="CQ31" s="88"/>
      <c r="CR31" s="88"/>
      <c r="CS31" s="88"/>
      <c r="CT31" s="88"/>
      <c r="CU31" s="88"/>
      <c r="CV31" s="88"/>
      <c r="CW31" s="88"/>
      <c r="CX31" s="88"/>
      <c r="CY31" s="88"/>
      <c r="CZ31" s="88"/>
      <c r="DA31" s="88"/>
      <c r="DB31" s="88"/>
      <c r="DC31" s="88"/>
      <c r="DD31" s="88"/>
      <c r="DE31" s="88"/>
      <c r="DF31" s="88"/>
      <c r="DG31" s="88"/>
      <c r="DH31" s="88"/>
      <c r="DI31" s="88"/>
      <c r="DJ31" s="88"/>
      <c r="DK31" s="88"/>
      <c r="DL31" s="88"/>
      <c r="DM31" s="88"/>
      <c r="DN31" s="88"/>
      <c r="DO31" s="88"/>
      <c r="DP31" s="88"/>
      <c r="DQ31" s="88"/>
      <c r="DR31" s="88"/>
      <c r="DS31" s="88"/>
      <c r="DT31" s="88"/>
      <c r="DU31" s="88"/>
      <c r="DV31" s="88"/>
      <c r="DW31" s="88"/>
      <c r="DX31" s="88"/>
      <c r="DY31" s="88"/>
      <c r="DZ31" s="88"/>
      <c r="EA31" s="88"/>
      <c r="EB31" s="88"/>
      <c r="EC31" s="88"/>
      <c r="ED31" s="88"/>
      <c r="EE31" s="88"/>
      <c r="EF31" s="88"/>
      <c r="EG31" s="88"/>
      <c r="EH31" s="88"/>
      <c r="EI31" s="88"/>
      <c r="EJ31" s="88"/>
      <c r="EK31" s="88"/>
      <c r="EL31" s="88"/>
      <c r="EM31" s="88"/>
      <c r="EN31" s="88"/>
      <c r="EO31" s="88"/>
      <c r="EP31" s="88"/>
      <c r="EQ31" s="88"/>
      <c r="ER31" s="88"/>
      <c r="ES31" s="88"/>
      <c r="ET31" s="88"/>
      <c r="EU31" s="88"/>
      <c r="EV31" s="88"/>
      <c r="EW31" s="88"/>
      <c r="EX31" s="88"/>
      <c r="EY31" s="88"/>
      <c r="EZ31" s="88"/>
      <c r="FA31" s="88"/>
      <c r="FB31" s="88"/>
      <c r="FC31" s="88"/>
      <c r="FD31" s="88"/>
      <c r="FE31" s="88"/>
      <c r="FF31" s="88"/>
      <c r="FG31" s="88"/>
      <c r="FH31" s="88"/>
      <c r="FI31" s="88"/>
      <c r="FJ31" s="88"/>
      <c r="FK31" s="88"/>
      <c r="FL31" s="88"/>
      <c r="FM31" s="88"/>
      <c r="FN31" s="88"/>
      <c r="FO31" s="88"/>
      <c r="FP31" s="88"/>
      <c r="FQ31" s="88"/>
      <c r="FR31" s="88"/>
      <c r="FS31" s="88"/>
      <c r="FT31" s="88"/>
      <c r="FU31" s="88"/>
      <c r="FV31" s="88"/>
      <c r="FW31" s="88"/>
      <c r="FX31" s="88"/>
      <c r="FY31" s="88"/>
      <c r="FZ31" s="88"/>
      <c r="GA31" s="88"/>
      <c r="GB31" s="88"/>
      <c r="GC31" s="88"/>
      <c r="GD31" s="88"/>
      <c r="GE31" s="88"/>
      <c r="GF31" s="88"/>
      <c r="GG31" s="88"/>
      <c r="GH31" s="88"/>
      <c r="GI31" s="88"/>
      <c r="GJ31" s="88"/>
      <c r="GK31" s="88"/>
      <c r="GL31" s="88"/>
      <c r="GM31" s="88"/>
      <c r="GN31" s="88"/>
      <c r="GO31" s="88"/>
      <c r="GP31" s="88"/>
      <c r="GQ31" s="88"/>
      <c r="GR31" s="88"/>
      <c r="GS31" s="88"/>
      <c r="GT31" s="88"/>
      <c r="GU31" s="88"/>
      <c r="GV31" s="88"/>
      <c r="GW31" s="88"/>
      <c r="GX31" s="88"/>
      <c r="GY31" s="88"/>
      <c r="GZ31" s="88"/>
      <c r="HA31" s="88"/>
      <c r="HB31" s="88"/>
      <c r="HC31" s="88"/>
      <c r="HD31" s="88"/>
      <c r="HE31" s="88"/>
      <c r="HF31" s="88"/>
      <c r="HG31" s="88"/>
      <c r="HH31" s="88"/>
      <c r="HI31" s="88"/>
      <c r="HJ31" s="88"/>
      <c r="HK31" s="88"/>
      <c r="HL31" s="88"/>
      <c r="HM31" s="88"/>
      <c r="HN31" s="88"/>
      <c r="HO31" s="88"/>
      <c r="HP31" s="88"/>
      <c r="HQ31" s="88"/>
      <c r="HR31" s="88"/>
      <c r="HS31" s="88"/>
      <c r="HT31" s="88"/>
      <c r="HU31" s="88"/>
      <c r="HV31" s="88"/>
      <c r="HW31" s="88"/>
      <c r="HX31" s="88"/>
      <c r="HY31" s="88"/>
      <c r="HZ31" s="88"/>
      <c r="IA31" s="88"/>
      <c r="IB31" s="88"/>
      <c r="IC31" s="88"/>
      <c r="ID31" s="88"/>
      <c r="IE31" s="88"/>
      <c r="IF31" s="88"/>
      <c r="IG31" s="88"/>
      <c r="IH31" s="88"/>
      <c r="II31" s="88"/>
      <c r="IJ31" s="88"/>
      <c r="IK31" s="88"/>
      <c r="IL31" s="88"/>
      <c r="IM31" s="88"/>
      <c r="IN31" s="88"/>
      <c r="IO31" s="88"/>
      <c r="IP31" s="88"/>
      <c r="IQ31" s="88"/>
      <c r="IR31" s="88"/>
      <c r="IS31" s="88"/>
      <c r="IT31" s="88"/>
      <c r="IU31" s="88"/>
      <c r="IV31" s="88"/>
      <c r="IW31" s="88"/>
      <c r="IX31" s="88"/>
      <c r="IY31" s="88"/>
      <c r="IZ31" s="88"/>
      <c r="JA31" s="88"/>
      <c r="JB31" s="88"/>
      <c r="JC31" s="88"/>
      <c r="JD31" s="88"/>
      <c r="JE31" s="88"/>
      <c r="JF31" s="88"/>
      <c r="JG31" s="88"/>
      <c r="JH31" s="88"/>
      <c r="JI31" s="88"/>
      <c r="JJ31" s="88"/>
      <c r="JK31" s="88"/>
      <c r="JL31" s="88"/>
      <c r="JM31" s="88"/>
      <c r="JN31" s="88"/>
      <c r="JO31" s="88"/>
      <c r="JP31" s="88"/>
      <c r="JQ31" s="88"/>
      <c r="JR31" s="88"/>
      <c r="JS31" s="88"/>
      <c r="JT31" s="88"/>
      <c r="JU31" s="88"/>
      <c r="JV31" s="88"/>
      <c r="JW31" s="88"/>
      <c r="JX31" s="88"/>
      <c r="JY31" s="88"/>
      <c r="JZ31" s="88"/>
      <c r="KA31" s="88"/>
      <c r="KB31" s="88"/>
      <c r="KC31" s="88"/>
      <c r="KD31" s="88"/>
      <c r="KE31" s="88"/>
      <c r="KF31" s="88"/>
      <c r="KG31" s="88"/>
      <c r="KH31" s="88"/>
      <c r="KI31" s="88"/>
      <c r="KJ31" s="88"/>
      <c r="KK31" s="88"/>
      <c r="KL31" s="88"/>
      <c r="KM31" s="88"/>
      <c r="KN31" s="88"/>
      <c r="KO31" s="88"/>
      <c r="KP31" s="88"/>
      <c r="KQ31" s="88"/>
      <c r="KR31" s="88"/>
      <c r="KS31" s="88"/>
      <c r="KT31" s="88"/>
      <c r="KU31" s="88"/>
      <c r="KV31" s="88"/>
      <c r="KW31" s="88"/>
      <c r="KX31" s="88"/>
      <c r="KY31" s="88"/>
      <c r="KZ31" s="88"/>
      <c r="LA31" s="88"/>
      <c r="LB31" s="88"/>
      <c r="LC31" s="88"/>
      <c r="LD31" s="88"/>
      <c r="LE31" s="88"/>
      <c r="LF31" s="88"/>
      <c r="LG31" s="88"/>
      <c r="LH31" s="88"/>
      <c r="LI31" s="88"/>
      <c r="LJ31" s="88"/>
      <c r="LK31" s="88"/>
      <c r="LL31" s="88"/>
      <c r="LM31" s="88"/>
      <c r="LN31" s="88"/>
      <c r="LO31" s="88"/>
      <c r="LP31" s="88"/>
      <c r="LQ31" s="88"/>
      <c r="LR31" s="88"/>
      <c r="LS31" s="88"/>
      <c r="LT31" s="88"/>
      <c r="LU31" s="88"/>
      <c r="LV31" s="88"/>
      <c r="LW31" s="88"/>
      <c r="LX31" s="88"/>
      <c r="LY31" s="88"/>
      <c r="LZ31" s="88"/>
      <c r="MA31" s="88"/>
      <c r="MB31" s="88"/>
      <c r="MC31" s="88"/>
      <c r="MD31" s="88"/>
      <c r="ME31" s="88"/>
      <c r="MF31" s="88"/>
      <c r="MG31" s="88"/>
      <c r="MH31" s="88"/>
      <c r="MI31" s="88"/>
      <c r="MJ31" s="88"/>
      <c r="MK31" s="88"/>
      <c r="ML31" s="88"/>
      <c r="MM31" s="88"/>
      <c r="MN31" s="88"/>
      <c r="MO31" s="88"/>
      <c r="MP31" s="88"/>
      <c r="MQ31" s="88"/>
      <c r="MR31" s="88"/>
      <c r="MS31" s="88"/>
      <c r="MT31" s="88"/>
      <c r="MU31" s="88"/>
      <c r="MV31" s="88"/>
      <c r="MW31" s="88"/>
      <c r="MX31" s="88"/>
      <c r="MY31" s="88"/>
      <c r="MZ31" s="88"/>
      <c r="NA31" s="88"/>
      <c r="NB31" s="88"/>
      <c r="NC31" s="88"/>
      <c r="ND31" s="88"/>
      <c r="NE31" s="88"/>
      <c r="NF31" s="88"/>
      <c r="NG31" s="88"/>
      <c r="NH31" s="88"/>
      <c r="NI31" s="88"/>
      <c r="NJ31" s="88"/>
      <c r="NK31" s="88"/>
      <c r="NL31" s="88"/>
      <c r="NM31" s="88"/>
      <c r="NN31" s="88"/>
      <c r="NO31" s="88"/>
      <c r="NP31" s="88"/>
      <c r="NQ31" s="88"/>
      <c r="NR31" s="88"/>
      <c r="NS31" s="88"/>
      <c r="NT31" s="88"/>
      <c r="NU31" s="88"/>
      <c r="NV31" s="88"/>
      <c r="NW31" s="88"/>
      <c r="NX31" s="88"/>
      <c r="NY31" s="88"/>
      <c r="NZ31" s="88"/>
      <c r="OA31" s="88"/>
      <c r="OB31" s="88"/>
      <c r="OC31" s="88"/>
      <c r="OD31" s="88"/>
      <c r="OE31" s="88"/>
      <c r="OF31" s="88"/>
      <c r="OG31" s="88"/>
      <c r="OH31" s="88"/>
      <c r="OI31" s="88"/>
      <c r="OJ31" s="88"/>
      <c r="OK31" s="88"/>
      <c r="OL31" s="88"/>
      <c r="OM31" s="88"/>
      <c r="ON31" s="88"/>
      <c r="OO31" s="88"/>
      <c r="OP31" s="88"/>
      <c r="OQ31" s="88"/>
      <c r="OR31" s="88"/>
      <c r="OS31" s="88"/>
      <c r="OT31" s="88"/>
      <c r="OU31" s="88"/>
      <c r="OV31" s="88"/>
      <c r="OW31" s="88"/>
      <c r="OX31" s="88"/>
      <c r="OY31" s="88"/>
      <c r="OZ31" s="88"/>
      <c r="PA31" s="88"/>
      <c r="PB31" s="88"/>
      <c r="PC31" s="88"/>
      <c r="PD31" s="88"/>
      <c r="PE31" s="88"/>
      <c r="PF31" s="88"/>
      <c r="PG31" s="88"/>
      <c r="PH31" s="88"/>
      <c r="PI31" s="88"/>
      <c r="PJ31" s="88"/>
      <c r="PK31" s="88"/>
      <c r="PL31" s="88"/>
      <c r="PM31" s="88"/>
      <c r="PN31" s="88"/>
      <c r="PO31" s="88"/>
      <c r="PP31" s="88"/>
      <c r="PQ31" s="88"/>
      <c r="PR31" s="88"/>
      <c r="PS31" s="88"/>
      <c r="PT31" s="88"/>
      <c r="PU31" s="88"/>
      <c r="PV31" s="88"/>
      <c r="PW31" s="88"/>
      <c r="PX31" s="88"/>
      <c r="PY31" s="88"/>
      <c r="PZ31" s="88"/>
      <c r="QA31" s="88"/>
      <c r="QB31" s="88"/>
      <c r="QC31" s="88"/>
      <c r="QD31" s="88"/>
      <c r="QE31" s="88"/>
      <c r="QF31" s="88"/>
      <c r="QG31" s="88"/>
      <c r="QH31" s="88"/>
      <c r="QI31" s="88"/>
      <c r="QJ31" s="88"/>
      <c r="QK31" s="88"/>
      <c r="QL31" s="88"/>
      <c r="QM31" s="88"/>
      <c r="QN31" s="88"/>
      <c r="QO31" s="88"/>
      <c r="QP31" s="88"/>
      <c r="QQ31" s="88"/>
      <c r="QR31" s="88"/>
      <c r="QS31" s="88"/>
      <c r="QT31" s="88"/>
      <c r="QU31" s="88"/>
      <c r="QV31" s="88"/>
      <c r="QW31" s="88"/>
      <c r="QX31" s="88"/>
      <c r="QY31" s="88"/>
      <c r="QZ31" s="88"/>
      <c r="RA31" s="88"/>
      <c r="RB31" s="88"/>
      <c r="RC31" s="88"/>
      <c r="RD31" s="88"/>
      <c r="RE31" s="88"/>
      <c r="RF31" s="88"/>
      <c r="RG31" s="88"/>
      <c r="RH31" s="88"/>
      <c r="RI31" s="88"/>
      <c r="RJ31" s="88"/>
      <c r="RK31" s="88"/>
      <c r="RL31" s="88"/>
      <c r="RM31" s="88"/>
      <c r="RN31" s="88"/>
      <c r="RO31" s="88"/>
      <c r="RP31" s="88"/>
      <c r="RQ31" s="88"/>
      <c r="RR31" s="88"/>
      <c r="RS31" s="88"/>
      <c r="RT31" s="88"/>
      <c r="RU31" s="88"/>
      <c r="RV31" s="88"/>
      <c r="RW31" s="88"/>
      <c r="RX31" s="88"/>
      <c r="RY31" s="88"/>
      <c r="RZ31" s="88"/>
      <c r="SA31" s="88"/>
      <c r="SB31" s="88"/>
      <c r="SC31" s="88"/>
      <c r="SD31" s="88"/>
      <c r="SE31" s="88"/>
      <c r="SF31" s="88"/>
      <c r="SG31" s="88"/>
      <c r="SH31" s="88"/>
      <c r="SI31" s="88"/>
      <c r="SJ31" s="88"/>
      <c r="SK31" s="88"/>
      <c r="SL31" s="88"/>
      <c r="SM31" s="88"/>
      <c r="SN31" s="88"/>
      <c r="SO31" s="88"/>
      <c r="SP31" s="88"/>
      <c r="SQ31" s="88"/>
      <c r="SR31" s="88"/>
      <c r="SS31" s="88"/>
      <c r="ST31" s="88"/>
      <c r="SU31" s="88"/>
      <c r="SV31" s="88"/>
      <c r="SW31" s="91"/>
    </row>
    <row r="32" customFormat="false" ht="14.25" hidden="false" customHeight="false" outlineLevel="1" collapsed="false">
      <c r="C32" s="10"/>
      <c r="D32" s="67"/>
      <c r="E32" s="68"/>
      <c r="F32" s="92" t="n">
        <v>44155</v>
      </c>
      <c r="G32" s="93" t="n">
        <v>3</v>
      </c>
      <c r="H32" s="94" t="n">
        <f aca="false">(F32+G32)-1</f>
        <v>44157</v>
      </c>
      <c r="I32" s="95" t="n">
        <v>0.9</v>
      </c>
      <c r="J32" s="73"/>
      <c r="K32" s="74"/>
      <c r="L32" s="75" t="str">
        <f aca="false">IF($I32&gt;0%,IF(AND(L$16&gt;=$F32,L$16&lt;$F32+($G32*$I32)),"➤",""),"")</f>
        <v/>
      </c>
      <c r="M32" s="76" t="str">
        <f aca="false">IF($I32&gt;0%,IF(AND(M$16&gt;=$F32,M$16&lt;$F32+($G32*$I32)),"➤",""),"")</f>
        <v/>
      </c>
      <c r="N32" s="76" t="str">
        <f aca="false">IF($I32&gt;0%,IF(AND(N$16&gt;=$F32,N$16&lt;$F32+($G32*$I32)),"➤",""),"")</f>
        <v/>
      </c>
      <c r="O32" s="76" t="str">
        <f aca="false">IF($I32&gt;0%,IF(AND(O$16&gt;=$F32,O$16&lt;$F32+($G32*$I32)),"➤",""),"")</f>
        <v/>
      </c>
      <c r="P32" s="76" t="str">
        <f aca="false">IF($I32&gt;0%,IF(AND(P$16&gt;=$F32,P$16&lt;$F32+($G32*$I32)),"➤",""),"")</f>
        <v/>
      </c>
      <c r="Q32" s="76" t="str">
        <f aca="false">IF($I32&gt;0%,IF(AND(Q$16&gt;=$F32,Q$16&lt;$F32+($G32*$I32)),"➤",""),"")</f>
        <v/>
      </c>
      <c r="R32" s="76" t="str">
        <f aca="false">IF($I32&gt;0%,IF(AND(R$16&gt;=$F32,R$16&lt;$F32+($G32*$I32)),"➤",""),"")</f>
        <v/>
      </c>
      <c r="S32" s="76" t="str">
        <f aca="false">IF($I32&gt;0%,IF(AND(S$16&gt;=$F32,S$16&lt;$F32+($G32*$I32)),"➤",""),"")</f>
        <v/>
      </c>
      <c r="T32" s="76" t="str">
        <f aca="false">IF($I32&gt;0%,IF(AND(T$16&gt;=$F32,T$16&lt;$F32+($G32*$I32)),"➤",""),"")</f>
        <v/>
      </c>
      <c r="U32" s="76" t="str">
        <f aca="false">IF($I32&gt;0%,IF(AND(U$16&gt;=$F32,U$16&lt;$F32+($G32*$I32)),"➤",""),"")</f>
        <v/>
      </c>
      <c r="V32" s="76" t="str">
        <f aca="false">IF($I32&gt;0%,IF(AND(V$16&gt;=$F32,V$16&lt;$F32+($G32*$I32)),"➤",""),"")</f>
        <v/>
      </c>
      <c r="W32" s="76" t="str">
        <f aca="false">IF($I32&gt;0%,IF(AND(W$16&gt;=$F32,W$16&lt;$F32+($G32*$I32)),"➤",""),"")</f>
        <v/>
      </c>
      <c r="X32" s="76" t="str">
        <f aca="false">IF($I32&gt;0%,IF(AND(X$16&gt;=$F32,X$16&lt;$F32+($G32*$I32)),"➤",""),"")</f>
        <v/>
      </c>
      <c r="Y32" s="76" t="str">
        <f aca="false">IF($I32&gt;0%,IF(AND(Y$16&gt;=$F32,Y$16&lt;$F32+($G32*$I32)),"➤",""),"")</f>
        <v/>
      </c>
      <c r="Z32" s="76" t="str">
        <f aca="false">IF($I32&gt;0%,IF(AND(Z$16&gt;=$F32,Z$16&lt;$F32+($G32*$I32)),"➤",""),"")</f>
        <v/>
      </c>
      <c r="AA32" s="76" t="str">
        <f aca="false">IF($I32&gt;0%,IF(AND(AA$16&gt;=$F32,AA$16&lt;$F32+($G32*$I32)),"➤",""),"")</f>
        <v/>
      </c>
      <c r="AB32" s="76" t="str">
        <f aca="false">IF($I32&gt;0%,IF(AND(AB$16&gt;=$F32,AB$16&lt;$F32+($G32*$I32)),"➤",""),"")</f>
        <v/>
      </c>
      <c r="AC32" s="76" t="str">
        <f aca="false">IF($I32&gt;0%,IF(AND(AC$16&gt;=$F32,AC$16&lt;$F32+($G32*$I32)),"➤",""),"")</f>
        <v/>
      </c>
      <c r="AD32" s="76" t="str">
        <f aca="false">IF($I32&gt;0%,IF(AND(AD$16&gt;=$F32,AD$16&lt;$F32+($G32*$I32)),"➤",""),"")</f>
        <v/>
      </c>
      <c r="AE32" s="76" t="str">
        <f aca="false">IF($I32&gt;0%,IF(AND(AE$16&gt;=$F32,AE$16&lt;$F32+($G32*$I32)),"➤",""),"")</f>
        <v/>
      </c>
      <c r="AF32" s="76" t="str">
        <f aca="false">IF($I32&gt;0%,IF(AND(AF$16&gt;=$F32,AF$16&lt;$F32+($G32*$I32)),"➤",""),"")</f>
        <v/>
      </c>
      <c r="AG32" s="76" t="str">
        <f aca="false">IF($I32&gt;0%,IF(AND(AG$16&gt;=$F32,AG$16&lt;$F32+($G32*$I32)),"➤",""),"")</f>
        <v/>
      </c>
      <c r="AH32" s="76" t="str">
        <f aca="false">IF($I32&gt;0%,IF(AND(AH$16&gt;=$F32,AH$16&lt;$F32+($G32*$I32)),"➤",""),"")</f>
        <v/>
      </c>
      <c r="AI32" s="76" t="str">
        <f aca="false">IF($I32&gt;0%,IF(AND(AI$16&gt;=$F32,AI$16&lt;$F32+($G32*$I32)),"➤",""),"")</f>
        <v/>
      </c>
      <c r="AJ32" s="76" t="str">
        <f aca="false">IF($I32&gt;0%,IF(AND(AJ$16&gt;=$F32,AJ$16&lt;$F32+($G32*$I32)),"➤",""),"")</f>
        <v/>
      </c>
      <c r="AK32" s="76" t="str">
        <f aca="false">IF($I32&gt;0%,IF(AND(AK$16&gt;=$F32,AK$16&lt;$F32+($G32*$I32)),"➤",""),"")</f>
        <v/>
      </c>
      <c r="AL32" s="76" t="str">
        <f aca="false">IF($I32&gt;0%,IF(AND(AL$16&gt;=$F32,AL$16&lt;$F32+($G32*$I32)),"➤",""),"")</f>
        <v/>
      </c>
      <c r="AM32" s="76" t="str">
        <f aca="false">IF($I32&gt;0%,IF(AND(AM$16&gt;=$F32,AM$16&lt;$F32+($G32*$I32)),"➤",""),"")</f>
        <v/>
      </c>
      <c r="AN32" s="76" t="str">
        <f aca="false">IF($I32&gt;0%,IF(AND(AN$16&gt;=$F32,AN$16&lt;$F32+($G32*$I32)),"➤",""),"")</f>
        <v/>
      </c>
      <c r="AO32" s="76" t="str">
        <f aca="false">IF($I32&gt;0%,IF(AND(AO$16&gt;=$F32,AO$16&lt;$F32+($G32*$I32)),"➤",""),"")</f>
        <v/>
      </c>
      <c r="AP32" s="76" t="str">
        <f aca="false">IF($I32&gt;0%,IF(AND(AP$16&gt;=$F32,AP$16&lt;$F32+($G32*$I32)),"➤",""),"")</f>
        <v/>
      </c>
      <c r="AQ32" s="76" t="str">
        <f aca="false">IF($I32&gt;0%,IF(AND(AQ$16&gt;=$F32,AQ$16&lt;$F32+($G32*$I32)),"➤",""),"")</f>
        <v/>
      </c>
      <c r="AR32" s="76" t="str">
        <f aca="false">IF($I32&gt;0%,IF(AND(AR$16&gt;=$F32,AR$16&lt;$F32+($G32*$I32)),"➤",""),"")</f>
        <v/>
      </c>
      <c r="AS32" s="76" t="str">
        <f aca="false">IF($I32&gt;0%,IF(AND(AS$16&gt;=$F32,AS$16&lt;$F32+($G32*$I32)),"➤",""),"")</f>
        <v/>
      </c>
      <c r="AT32" s="76" t="str">
        <f aca="false">IF($I32&gt;0%,IF(AND(AT$16&gt;=$F32,AT$16&lt;$F32+($G32*$I32)),"➤",""),"")</f>
        <v/>
      </c>
      <c r="AU32" s="76" t="str">
        <f aca="false">IF($I32&gt;0%,IF(AND(AU$16&gt;=$F32,AU$16&lt;$F32+($G32*$I32)),"➤",""),"")</f>
        <v/>
      </c>
      <c r="AV32" s="76" t="str">
        <f aca="false">IF($I32&gt;0%,IF(AND(AV$16&gt;=$F32,AV$16&lt;$F32+($G32*$I32)),"➤",""),"")</f>
        <v/>
      </c>
      <c r="AW32" s="76" t="str">
        <f aca="false">IF($I32&gt;0%,IF(AND(AW$16&gt;=$F32,AW$16&lt;$F32+($G32*$I32)),"➤",""),"")</f>
        <v/>
      </c>
      <c r="AX32" s="76" t="str">
        <f aca="false">IF($I32&gt;0%,IF(AND(AX$16&gt;=$F32,AX$16&lt;$F32+($G32*$I32)),"➤",""),"")</f>
        <v/>
      </c>
      <c r="AY32" s="76" t="str">
        <f aca="false">IF($I32&gt;0%,IF(AND(AY$16&gt;=$F32,AY$16&lt;$F32+($G32*$I32)),"➤",""),"")</f>
        <v/>
      </c>
      <c r="AZ32" s="76" t="str">
        <f aca="false">IF($I32&gt;0%,IF(AND(AZ$16&gt;=$F32,AZ$16&lt;$F32+($G32*$I32)),"➤",""),"")</f>
        <v/>
      </c>
      <c r="BA32" s="76" t="str">
        <f aca="false">IF($I32&gt;0%,IF(AND(BA$16&gt;=$F32,BA$16&lt;$F32+($G32*$I32)),"➤",""),"")</f>
        <v/>
      </c>
      <c r="BB32" s="76" t="str">
        <f aca="false">IF($I32&gt;0%,IF(AND(BB$16&gt;=$F32,BB$16&lt;$F32+($G32*$I32)),"➤",""),"")</f>
        <v/>
      </c>
      <c r="BC32" s="76" t="str">
        <f aca="false">IF($I32&gt;0%,IF(AND(BC$16&gt;=$F32,BC$16&lt;$F32+($G32*$I32)),"➤",""),"")</f>
        <v/>
      </c>
      <c r="BD32" s="76" t="str">
        <f aca="false">IF($I32&gt;0%,IF(AND(BD$16&gt;=$F32,BD$16&lt;$F32+($G32*$I32)),"➤",""),"")</f>
        <v/>
      </c>
      <c r="BE32" s="76" t="str">
        <f aca="false">IF($I32&gt;0%,IF(AND(BE$16&gt;=$F32,BE$16&lt;$F32+($G32*$I32)),"➤",""),"")</f>
        <v/>
      </c>
      <c r="BF32" s="76" t="str">
        <f aca="false">IF($I32&gt;0%,IF(AND(BF$16&gt;=$F32,BF$16&lt;$F32+($G32*$I32)),"➤",""),"")</f>
        <v/>
      </c>
      <c r="BG32" s="76" t="str">
        <f aca="false">IF($I32&gt;0%,IF(AND(BG$16&gt;=$F32,BG$16&lt;$F32+($G32*$I32)),"➤",""),"")</f>
        <v/>
      </c>
      <c r="BH32" s="76" t="str">
        <f aca="false">IF($I32&gt;0%,IF(AND(BH$16&gt;=$F32,BH$16&lt;$F32+($G32*$I32)),"➤",""),"")</f>
        <v/>
      </c>
      <c r="BI32" s="76" t="str">
        <f aca="false">IF($I32&gt;0%,IF(AND(BI$16&gt;=$F32,BI$16&lt;$F32+($G32*$I32)),"➤",""),"")</f>
        <v/>
      </c>
      <c r="BJ32" s="76" t="str">
        <f aca="false">IF($I32&gt;0%,IF(AND(BJ$16&gt;=$F32,BJ$16&lt;$F32+($G32*$I32)),"➤",""),"")</f>
        <v/>
      </c>
      <c r="BK32" s="76" t="str">
        <f aca="false">IF($I32&gt;0%,IF(AND(BK$16&gt;=$F32,BK$16&lt;$F32+($G32*$I32)),"➤",""),"")</f>
        <v/>
      </c>
      <c r="BL32" s="76" t="str">
        <f aca="false">IF($I32&gt;0%,IF(AND(BL$16&gt;=$F32,BL$16&lt;$F32+($G32*$I32)),"➤",""),"")</f>
        <v/>
      </c>
      <c r="BM32" s="76" t="str">
        <f aca="false">IF($I32&gt;0%,IF(AND(BM$16&gt;=$F32,BM$16&lt;$F32+($G32*$I32)),"➤",""),"")</f>
        <v/>
      </c>
      <c r="BN32" s="76" t="str">
        <f aca="false">IF($I32&gt;0%,IF(AND(BN$16&gt;=$F32,BN$16&lt;$F32+($G32*$I32)),"➤",""),"")</f>
        <v/>
      </c>
      <c r="BO32" s="76" t="str">
        <f aca="false">IF($I32&gt;0%,IF(AND(BO$16&gt;=$F32,BO$16&lt;$F32+($G32*$I32)),"➤",""),"")</f>
        <v/>
      </c>
      <c r="BP32" s="76" t="str">
        <f aca="false">IF($I32&gt;0%,IF(AND(BP$16&gt;=$F32,BP$16&lt;$F32+($G32*$I32)),"➤",""),"")</f>
        <v/>
      </c>
      <c r="BQ32" s="76" t="str">
        <f aca="false">IF($I32&gt;0%,IF(AND(BQ$16&gt;=$F32,BQ$16&lt;$F32+($G32*$I32)),"➤",""),"")</f>
        <v/>
      </c>
      <c r="BR32" s="76" t="str">
        <f aca="false">IF($I32&gt;0%,IF(AND(BR$16&gt;=$F32,BR$16&lt;$F32+($G32*$I32)),"➤",""),"")</f>
        <v/>
      </c>
      <c r="BS32" s="76" t="str">
        <f aca="false">IF($I32&gt;0%,IF(AND(BS$16&gt;=$F32,BS$16&lt;$F32+($G32*$I32)),"➤",""),"")</f>
        <v/>
      </c>
      <c r="BT32" s="76" t="str">
        <f aca="false">IF($I32&gt;0%,IF(AND(BT$16&gt;=$F32,BT$16&lt;$F32+($G32*$I32)),"➤",""),"")</f>
        <v/>
      </c>
      <c r="BU32" s="76" t="str">
        <f aca="false">IF($I32&gt;0%,IF(AND(BU$16&gt;=$F32,BU$16&lt;$F32+($G32*$I32)),"➤",""),"")</f>
        <v/>
      </c>
      <c r="BV32" s="76" t="str">
        <f aca="false">IF($I32&gt;0%,IF(AND(BV$16&gt;=$F32,BV$16&lt;$F32+($G32*$I32)),"➤",""),"")</f>
        <v/>
      </c>
      <c r="BW32" s="76" t="str">
        <f aca="false">IF($I32&gt;0%,IF(AND(BW$16&gt;=$F32,BW$16&lt;$F32+($G32*$I32)),"➤",""),"")</f>
        <v/>
      </c>
      <c r="BX32" s="76" t="str">
        <f aca="false">IF($I32&gt;0%,IF(AND(BX$16&gt;=$F32,BX$16&lt;$F32+($G32*$I32)),"➤",""),"")</f>
        <v/>
      </c>
      <c r="BY32" s="76" t="str">
        <f aca="false">IF($I32&gt;0%,IF(AND(BY$16&gt;=$F32,BY$16&lt;$F32+($G32*$I32)),"➤",""),"")</f>
        <v/>
      </c>
      <c r="BZ32" s="76" t="str">
        <f aca="false">IF($I32&gt;0%,IF(AND(BZ$16&gt;=$F32,BZ$16&lt;$F32+($G32*$I32)),"➤",""),"")</f>
        <v/>
      </c>
      <c r="CA32" s="76" t="str">
        <f aca="false">IF($I32&gt;0%,IF(AND(CA$16&gt;=$F32,CA$16&lt;$F32+($G32*$I32)),"➤",""),"")</f>
        <v/>
      </c>
      <c r="CB32" s="76" t="str">
        <f aca="false">IF($I32&gt;0%,IF(AND(CB$16&gt;=$F32,CB$16&lt;$F32+($G32*$I32)),"➤",""),"")</f>
        <v/>
      </c>
      <c r="CC32" s="76" t="str">
        <f aca="false">IF($I32&gt;0%,IF(AND(CC$16&gt;=$F32,CC$16&lt;$F32+($G32*$I32)),"➤",""),"")</f>
        <v/>
      </c>
      <c r="CD32" s="76" t="str">
        <f aca="false">IF($I32&gt;0%,IF(AND(CD$16&gt;=$F32,CD$16&lt;$F32+($G32*$I32)),"➤",""),"")</f>
        <v/>
      </c>
      <c r="CE32" s="76" t="str">
        <f aca="false">IF($I32&gt;0%,IF(AND(CE$16&gt;=$F32,CE$16&lt;$F32+($G32*$I32)),"➤",""),"")</f>
        <v/>
      </c>
      <c r="CF32" s="76" t="str">
        <f aca="false">IF($I32&gt;0%,IF(AND(CF$16&gt;=$F32,CF$16&lt;$F32+($G32*$I32)),"➤",""),"")</f>
        <v/>
      </c>
      <c r="CG32" s="76" t="str">
        <f aca="false">IF($I32&gt;0%,IF(AND(CG$16&gt;=$F32,CG$16&lt;$F32+($G32*$I32)),"➤",""),"")</f>
        <v/>
      </c>
      <c r="CH32" s="76" t="str">
        <f aca="false">IF($I32&gt;0%,IF(AND(CH$16&gt;=$F32,CH$16&lt;$F32+($G32*$I32)),"➤",""),"")</f>
        <v/>
      </c>
      <c r="CI32" s="76" t="str">
        <f aca="false">IF($I32&gt;0%,IF(AND(CI$16&gt;=$F32,CI$16&lt;$F32+($G32*$I32)),"➤",""),"")</f>
        <v/>
      </c>
      <c r="CJ32" s="76" t="str">
        <f aca="false">IF($I32&gt;0%,IF(AND(CJ$16&gt;=$F32,CJ$16&lt;$F32+($G32*$I32)),"➤",""),"")</f>
        <v/>
      </c>
      <c r="CK32" s="76" t="str">
        <f aca="false">IF($I32&gt;0%,IF(AND(CK$16&gt;=$F32,CK$16&lt;$F32+($G32*$I32)),"➤",""),"")</f>
        <v/>
      </c>
      <c r="CL32" s="76" t="str">
        <f aca="false">IF($I32&gt;0%,IF(AND(CL$16&gt;=$F32,CL$16&lt;$F32+($G32*$I32)),"➤",""),"")</f>
        <v/>
      </c>
      <c r="CM32" s="76" t="str">
        <f aca="false">IF($I32&gt;0%,IF(AND(CM$16&gt;=$F32,CM$16&lt;$F32+($G32*$I32)),"➤",""),"")</f>
        <v/>
      </c>
      <c r="CN32" s="76" t="str">
        <f aca="false">IF($I32&gt;0%,IF(AND(CN$16&gt;=$F32,CN$16&lt;$F32+($G32*$I32)),"➤",""),"")</f>
        <v/>
      </c>
      <c r="CO32" s="76" t="str">
        <f aca="false">IF($I32&gt;0%,IF(AND(CO$16&gt;=$F32,CO$16&lt;$F32+($G32*$I32)),"➤",""),"")</f>
        <v/>
      </c>
      <c r="CP32" s="76" t="str">
        <f aca="false">IF($I32&gt;0%,IF(AND(CP$16&gt;=$F32,CP$16&lt;$F32+($G32*$I32)),"➤",""),"")</f>
        <v/>
      </c>
      <c r="CQ32" s="76" t="str">
        <f aca="false">IF($I32&gt;0%,IF(AND(CQ$16&gt;=$F32,CQ$16&lt;$F32+($G32*$I32)),"➤",""),"")</f>
        <v/>
      </c>
      <c r="CR32" s="76" t="str">
        <f aca="false">IF($I32&gt;0%,IF(AND(CR$16&gt;=$F32,CR$16&lt;$F32+($G32*$I32)),"➤",""),"")</f>
        <v/>
      </c>
      <c r="CS32" s="76" t="str">
        <f aca="false">IF($I32&gt;0%,IF(AND(CS$16&gt;=$F32,CS$16&lt;$F32+($G32*$I32)),"➤",""),"")</f>
        <v/>
      </c>
      <c r="CT32" s="76" t="str">
        <f aca="false">IF($I32&gt;0%,IF(AND(CT$16&gt;=$F32,CT$16&lt;$F32+($G32*$I32)),"➤",""),"")</f>
        <v/>
      </c>
      <c r="CU32" s="76" t="str">
        <f aca="false">IF($I32&gt;0%,IF(AND(CU$16&gt;=$F32,CU$16&lt;$F32+($G32*$I32)),"➤",""),"")</f>
        <v/>
      </c>
      <c r="CV32" s="76" t="str">
        <f aca="false">IF($I32&gt;0%,IF(AND(CV$16&gt;=$F32,CV$16&lt;$F32+($G32*$I32)),"➤",""),"")</f>
        <v/>
      </c>
      <c r="CW32" s="76" t="str">
        <f aca="false">IF($I32&gt;0%,IF(AND(CW$16&gt;=$F32,CW$16&lt;$F32+($G32*$I32)),"➤",""),"")</f>
        <v/>
      </c>
      <c r="CX32" s="76" t="str">
        <f aca="false">IF($I32&gt;0%,IF(AND(CX$16&gt;=$F32,CX$16&lt;$F32+($G32*$I32)),"➤",""),"")</f>
        <v/>
      </c>
      <c r="CY32" s="76" t="str">
        <f aca="false">IF($I32&gt;0%,IF(AND(CY$16&gt;=$F32,CY$16&lt;$F32+($G32*$I32)),"➤",""),"")</f>
        <v/>
      </c>
      <c r="CZ32" s="76" t="str">
        <f aca="false">IF($I32&gt;0%,IF(AND(CZ$16&gt;=$F32,CZ$16&lt;$F32+($G32*$I32)),"➤",""),"")</f>
        <v/>
      </c>
      <c r="DA32" s="76" t="str">
        <f aca="false">IF($I32&gt;0%,IF(AND(DA$16&gt;=$F32,DA$16&lt;$F32+($G32*$I32)),"➤",""),"")</f>
        <v/>
      </c>
      <c r="DB32" s="76" t="str">
        <f aca="false">IF($I32&gt;0%,IF(AND(DB$16&gt;=$F32,DB$16&lt;$F32+($G32*$I32)),"➤",""),"")</f>
        <v/>
      </c>
      <c r="DC32" s="76" t="str">
        <f aca="false">IF($I32&gt;0%,IF(AND(DC$16&gt;=$F32,DC$16&lt;$F32+($G32*$I32)),"➤",""),"")</f>
        <v/>
      </c>
      <c r="DD32" s="76" t="str">
        <f aca="false">IF($I32&gt;0%,IF(AND(DD$16&gt;=$F32,DD$16&lt;$F32+($G32*$I32)),"➤",""),"")</f>
        <v/>
      </c>
      <c r="DE32" s="76" t="str">
        <f aca="false">IF($I32&gt;0%,IF(AND(DE$16&gt;=$F32,DE$16&lt;$F32+($G32*$I32)),"➤",""),"")</f>
        <v/>
      </c>
      <c r="DF32" s="76" t="str">
        <f aca="false">IF($I32&gt;0%,IF(AND(DF$16&gt;=$F32,DF$16&lt;$F32+($G32*$I32)),"➤",""),"")</f>
        <v/>
      </c>
      <c r="DG32" s="76" t="str">
        <f aca="false">IF($I32&gt;0%,IF(AND(DG$16&gt;=$F32,DG$16&lt;$F32+($G32*$I32)),"➤",""),"")</f>
        <v/>
      </c>
      <c r="DH32" s="76" t="str">
        <f aca="false">IF($I32&gt;0%,IF(AND(DH$16&gt;=$F32,DH$16&lt;$F32+($G32*$I32)),"➤",""),"")</f>
        <v/>
      </c>
      <c r="DI32" s="76" t="str">
        <f aca="false">IF($I32&gt;0%,IF(AND(DI$16&gt;=$F32,DI$16&lt;$F32+($G32*$I32)),"➤",""),"")</f>
        <v/>
      </c>
      <c r="DJ32" s="76" t="str">
        <f aca="false">IF($I32&gt;0%,IF(AND(DJ$16&gt;=$F32,DJ$16&lt;$F32+($G32*$I32)),"➤",""),"")</f>
        <v/>
      </c>
      <c r="DK32" s="76" t="str">
        <f aca="false">IF($I32&gt;0%,IF(AND(DK$16&gt;=$F32,DK$16&lt;$F32+($G32*$I32)),"➤",""),"")</f>
        <v/>
      </c>
      <c r="DL32" s="76" t="str">
        <f aca="false">IF($I32&gt;0%,IF(AND(DL$16&gt;=$F32,DL$16&lt;$F32+($G32*$I32)),"➤",""),"")</f>
        <v/>
      </c>
      <c r="DM32" s="76" t="str">
        <f aca="false">IF($I32&gt;0%,IF(AND(DM$16&gt;=$F32,DM$16&lt;$F32+($G32*$I32)),"➤",""),"")</f>
        <v/>
      </c>
      <c r="DN32" s="76" t="str">
        <f aca="false">IF($I32&gt;0%,IF(AND(DN$16&gt;=$F32,DN$16&lt;$F32+($G32*$I32)),"➤",""),"")</f>
        <v/>
      </c>
      <c r="DO32" s="76" t="str">
        <f aca="false">IF($I32&gt;0%,IF(AND(DO$16&gt;=$F32,DO$16&lt;$F32+($G32*$I32)),"➤",""),"")</f>
        <v/>
      </c>
      <c r="DP32" s="76" t="str">
        <f aca="false">IF($I32&gt;0%,IF(AND(DP$16&gt;=$F32,DP$16&lt;$F32+($G32*$I32)),"➤",""),"")</f>
        <v/>
      </c>
      <c r="DQ32" s="76" t="str">
        <f aca="false">IF($I32&gt;0%,IF(AND(DQ$16&gt;=$F32,DQ$16&lt;$F32+($G32*$I32)),"➤",""),"")</f>
        <v/>
      </c>
      <c r="DR32" s="76" t="str">
        <f aca="false">IF($I32&gt;0%,IF(AND(DR$16&gt;=$F32,DR$16&lt;$F32+($G32*$I32)),"➤",""),"")</f>
        <v/>
      </c>
      <c r="DS32" s="76" t="str">
        <f aca="false">IF($I32&gt;0%,IF(AND(DS$16&gt;=$F32,DS$16&lt;$F32+($G32*$I32)),"➤",""),"")</f>
        <v/>
      </c>
      <c r="DT32" s="76" t="str">
        <f aca="false">IF($I32&gt;0%,IF(AND(DT$16&gt;=$F32,DT$16&lt;$F32+($G32*$I32)),"➤",""),"")</f>
        <v/>
      </c>
      <c r="DU32" s="76" t="str">
        <f aca="false">IF($I32&gt;0%,IF(AND(DU$16&gt;=$F32,DU$16&lt;$F32+($G32*$I32)),"➤",""),"")</f>
        <v/>
      </c>
      <c r="DV32" s="76" t="str">
        <f aca="false">IF($I32&gt;0%,IF(AND(DV$16&gt;=$F32,DV$16&lt;$F32+($G32*$I32)),"➤",""),"")</f>
        <v/>
      </c>
      <c r="DW32" s="76" t="str">
        <f aca="false">IF($I32&gt;0%,IF(AND(DW$16&gt;=$F32,DW$16&lt;$F32+($G32*$I32)),"➤",""),"")</f>
        <v/>
      </c>
      <c r="DX32" s="76" t="str">
        <f aca="false">IF($I32&gt;0%,IF(AND(DX$16&gt;=$F32,DX$16&lt;$F32+($G32*$I32)),"➤",""),"")</f>
        <v/>
      </c>
      <c r="DY32" s="76" t="str">
        <f aca="false">IF($I32&gt;0%,IF(AND(DY$16&gt;=$F32,DY$16&lt;$F32+($G32*$I32)),"➤",""),"")</f>
        <v/>
      </c>
      <c r="DZ32" s="76" t="str">
        <f aca="false">IF($I32&gt;0%,IF(AND(DZ$16&gt;=$F32,DZ$16&lt;$F32+($G32*$I32)),"➤",""),"")</f>
        <v/>
      </c>
      <c r="EA32" s="76" t="str">
        <f aca="false">IF($I32&gt;0%,IF(AND(EA$16&gt;=$F32,EA$16&lt;$F32+($G32*$I32)),"➤",""),"")</f>
        <v/>
      </c>
      <c r="EB32" s="76" t="str">
        <f aca="false">IF($I32&gt;0%,IF(AND(EB$16&gt;=$F32,EB$16&lt;$F32+($G32*$I32)),"➤",""),"")</f>
        <v/>
      </c>
      <c r="EC32" s="76" t="str">
        <f aca="false">IF($I32&gt;0%,IF(AND(EC$16&gt;=$F32,EC$16&lt;$F32+($G32*$I32)),"➤",""),"")</f>
        <v/>
      </c>
      <c r="ED32" s="76" t="str">
        <f aca="false">IF($I32&gt;0%,IF(AND(ED$16&gt;=$F32,ED$16&lt;$F32+($G32*$I32)),"➤",""),"")</f>
        <v/>
      </c>
      <c r="EE32" s="76" t="str">
        <f aca="false">IF($I32&gt;0%,IF(AND(EE$16&gt;=$F32,EE$16&lt;$F32+($G32*$I32)),"➤",""),"")</f>
        <v/>
      </c>
      <c r="EF32" s="76" t="str">
        <f aca="false">IF($I32&gt;0%,IF(AND(EF$16&gt;=$F32,EF$16&lt;$F32+($G32*$I32)),"➤",""),"")</f>
        <v/>
      </c>
      <c r="EG32" s="76" t="str">
        <f aca="false">IF($I32&gt;0%,IF(AND(EG$16&gt;=$F32,EG$16&lt;$F32+($G32*$I32)),"➤",""),"")</f>
        <v/>
      </c>
      <c r="EH32" s="76" t="str">
        <f aca="false">IF($I32&gt;0%,IF(AND(EH$16&gt;=$F32,EH$16&lt;$F32+($G32*$I32)),"➤",""),"")</f>
        <v/>
      </c>
      <c r="EI32" s="76" t="str">
        <f aca="false">IF($I32&gt;0%,IF(AND(EI$16&gt;=$F32,EI$16&lt;$F32+($G32*$I32)),"➤",""),"")</f>
        <v/>
      </c>
      <c r="EJ32" s="76" t="str">
        <f aca="false">IF($I32&gt;0%,IF(AND(EJ$16&gt;=$F32,EJ$16&lt;$F32+($G32*$I32)),"➤",""),"")</f>
        <v/>
      </c>
      <c r="EK32" s="76" t="str">
        <f aca="false">IF($I32&gt;0%,IF(AND(EK$16&gt;=$F32,EK$16&lt;$F32+($G32*$I32)),"➤",""),"")</f>
        <v/>
      </c>
      <c r="EL32" s="76" t="str">
        <f aca="false">IF($I32&gt;0%,IF(AND(EL$16&gt;=$F32,EL$16&lt;$F32+($G32*$I32)),"➤",""),"")</f>
        <v/>
      </c>
      <c r="EM32" s="76" t="str">
        <f aca="false">IF($I32&gt;0%,IF(AND(EM$16&gt;=$F32,EM$16&lt;$F32+($G32*$I32)),"➤",""),"")</f>
        <v/>
      </c>
      <c r="EN32" s="76" t="str">
        <f aca="false">IF($I32&gt;0%,IF(AND(EN$16&gt;=$F32,EN$16&lt;$F32+($G32*$I32)),"➤",""),"")</f>
        <v/>
      </c>
      <c r="EO32" s="76" t="str">
        <f aca="false">IF($I32&gt;0%,IF(AND(EO$16&gt;=$F32,EO$16&lt;$F32+($G32*$I32)),"➤",""),"")</f>
        <v/>
      </c>
      <c r="EP32" s="76" t="str">
        <f aca="false">IF($I32&gt;0%,IF(AND(EP$16&gt;=$F32,EP$16&lt;$F32+($G32*$I32)),"➤",""),"")</f>
        <v/>
      </c>
      <c r="EQ32" s="76" t="str">
        <f aca="false">IF($I32&gt;0%,IF(AND(EQ$16&gt;=$F32,EQ$16&lt;$F32+($G32*$I32)),"➤",""),"")</f>
        <v/>
      </c>
      <c r="ER32" s="76" t="str">
        <f aca="false">IF($I32&gt;0%,IF(AND(ER$16&gt;=$F32,ER$16&lt;$F32+($G32*$I32)),"➤",""),"")</f>
        <v/>
      </c>
      <c r="ES32" s="76" t="str">
        <f aca="false">IF($I32&gt;0%,IF(AND(ES$16&gt;=$F32,ES$16&lt;$F32+($G32*$I32)),"➤",""),"")</f>
        <v/>
      </c>
      <c r="ET32" s="76" t="str">
        <f aca="false">IF($I32&gt;0%,IF(AND(ET$16&gt;=$F32,ET$16&lt;$F32+($G32*$I32)),"➤",""),"")</f>
        <v/>
      </c>
      <c r="EU32" s="76" t="str">
        <f aca="false">IF($I32&gt;0%,IF(AND(EU$16&gt;=$F32,EU$16&lt;$F32+($G32*$I32)),"➤",""),"")</f>
        <v/>
      </c>
      <c r="EV32" s="76" t="str">
        <f aca="false">IF($I32&gt;0%,IF(AND(EV$16&gt;=$F32,EV$16&lt;$F32+($G32*$I32)),"➤",""),"")</f>
        <v/>
      </c>
      <c r="EW32" s="76" t="str">
        <f aca="false">IF($I32&gt;0%,IF(AND(EW$16&gt;=$F32,EW$16&lt;$F32+($G32*$I32)),"➤",""),"")</f>
        <v/>
      </c>
      <c r="EX32" s="76" t="str">
        <f aca="false">IF($I32&gt;0%,IF(AND(EX$16&gt;=$F32,EX$16&lt;$F32+($G32*$I32)),"➤",""),"")</f>
        <v/>
      </c>
      <c r="EY32" s="76" t="str">
        <f aca="false">IF($I32&gt;0%,IF(AND(EY$16&gt;=$F32,EY$16&lt;$F32+($G32*$I32)),"➤",""),"")</f>
        <v/>
      </c>
      <c r="EZ32" s="76" t="str">
        <f aca="false">IF($I32&gt;0%,IF(AND(EZ$16&gt;=$F32,EZ$16&lt;$F32+($G32*$I32)),"➤",""),"")</f>
        <v/>
      </c>
      <c r="FA32" s="76" t="str">
        <f aca="false">IF($I32&gt;0%,IF(AND(FA$16&gt;=$F32,FA$16&lt;$F32+($G32*$I32)),"➤",""),"")</f>
        <v/>
      </c>
      <c r="FB32" s="76" t="str">
        <f aca="false">IF($I32&gt;0%,IF(AND(FB$16&gt;=$F32,FB$16&lt;$F32+($G32*$I32)),"➤",""),"")</f>
        <v/>
      </c>
      <c r="FC32" s="76" t="str">
        <f aca="false">IF($I32&gt;0%,IF(AND(FC$16&gt;=$F32,FC$16&lt;$F32+($G32*$I32)),"➤",""),"")</f>
        <v/>
      </c>
      <c r="FD32" s="76" t="str">
        <f aca="false">IF($I32&gt;0%,IF(AND(FD$16&gt;=$F32,FD$16&lt;$F32+($G32*$I32)),"➤",""),"")</f>
        <v/>
      </c>
      <c r="FE32" s="76" t="str">
        <f aca="false">IF($I32&gt;0%,IF(AND(FE$16&gt;=$F32,FE$16&lt;$F32+($G32*$I32)),"➤",""),"")</f>
        <v/>
      </c>
      <c r="FF32" s="76" t="str">
        <f aca="false">IF($I32&gt;0%,IF(AND(FF$16&gt;=$F32,FF$16&lt;$F32+($G32*$I32)),"➤",""),"")</f>
        <v/>
      </c>
      <c r="FG32" s="76" t="str">
        <f aca="false">IF($I32&gt;0%,IF(AND(FG$16&gt;=$F32,FG$16&lt;$F32+($G32*$I32)),"➤",""),"")</f>
        <v/>
      </c>
      <c r="FH32" s="76" t="str">
        <f aca="false">IF($I32&gt;0%,IF(AND(FH$16&gt;=$F32,FH$16&lt;$F32+($G32*$I32)),"➤",""),"")</f>
        <v/>
      </c>
      <c r="FI32" s="76" t="str">
        <f aca="false">IF($I32&gt;0%,IF(AND(FI$16&gt;=$F32,FI$16&lt;$F32+($G32*$I32)),"➤",""),"")</f>
        <v/>
      </c>
      <c r="FJ32" s="76" t="str">
        <f aca="false">IF($I32&gt;0%,IF(AND(FJ$16&gt;=$F32,FJ$16&lt;$F32+($G32*$I32)),"➤",""),"")</f>
        <v/>
      </c>
      <c r="FK32" s="76" t="str">
        <f aca="false">IF($I32&gt;0%,IF(AND(FK$16&gt;=$F32,FK$16&lt;$F32+($G32*$I32)),"➤",""),"")</f>
        <v/>
      </c>
      <c r="FL32" s="76" t="str">
        <f aca="false">IF($I32&gt;0%,IF(AND(FL$16&gt;=$F32,FL$16&lt;$F32+($G32*$I32)),"➤",""),"")</f>
        <v/>
      </c>
      <c r="FM32" s="76" t="str">
        <f aca="false">IF($I32&gt;0%,IF(AND(FM$16&gt;=$F32,FM$16&lt;$F32+($G32*$I32)),"➤",""),"")</f>
        <v/>
      </c>
      <c r="FN32" s="76" t="str">
        <f aca="false">IF($I32&gt;0%,IF(AND(FN$16&gt;=$F32,FN$16&lt;$F32+($G32*$I32)),"➤",""),"")</f>
        <v/>
      </c>
      <c r="FO32" s="76" t="str">
        <f aca="false">IF($I32&gt;0%,IF(AND(FO$16&gt;=$F32,FO$16&lt;$F32+($G32*$I32)),"➤",""),"")</f>
        <v/>
      </c>
      <c r="FP32" s="76" t="str">
        <f aca="false">IF($I32&gt;0%,IF(AND(FP$16&gt;=$F32,FP$16&lt;$F32+($G32*$I32)),"➤",""),"")</f>
        <v/>
      </c>
      <c r="FQ32" s="76" t="str">
        <f aca="false">IF($I32&gt;0%,IF(AND(FQ$16&gt;=$F32,FQ$16&lt;$F32+($G32*$I32)),"➤",""),"")</f>
        <v/>
      </c>
      <c r="FR32" s="76" t="str">
        <f aca="false">IF($I32&gt;0%,IF(AND(FR$16&gt;=$F32,FR$16&lt;$F32+($G32*$I32)),"➤",""),"")</f>
        <v/>
      </c>
      <c r="FS32" s="76" t="str">
        <f aca="false">IF($I32&gt;0%,IF(AND(FS$16&gt;=$F32,FS$16&lt;$F32+($G32*$I32)),"➤",""),"")</f>
        <v/>
      </c>
      <c r="FT32" s="76" t="str">
        <f aca="false">IF($I32&gt;0%,IF(AND(FT$16&gt;=$F32,FT$16&lt;$F32+($G32*$I32)),"➤",""),"")</f>
        <v/>
      </c>
      <c r="FU32" s="76" t="str">
        <f aca="false">IF($I32&gt;0%,IF(AND(FU$16&gt;=$F32,FU$16&lt;$F32+($G32*$I32)),"➤",""),"")</f>
        <v/>
      </c>
      <c r="FV32" s="76" t="str">
        <f aca="false">IF($I32&gt;0%,IF(AND(FV$16&gt;=$F32,FV$16&lt;$F32+($G32*$I32)),"➤",""),"")</f>
        <v/>
      </c>
      <c r="FW32" s="76" t="str">
        <f aca="false">IF($I32&gt;0%,IF(AND(FW$16&gt;=$F32,FW$16&lt;$F32+($G32*$I32)),"➤",""),"")</f>
        <v/>
      </c>
      <c r="FX32" s="76" t="str">
        <f aca="false">IF($I32&gt;0%,IF(AND(FX$16&gt;=$F32,FX$16&lt;$F32+($G32*$I32)),"➤",""),"")</f>
        <v/>
      </c>
      <c r="FY32" s="76" t="str">
        <f aca="false">IF($I32&gt;0%,IF(AND(FY$16&gt;=$F32,FY$16&lt;$F32+($G32*$I32)),"➤",""),"")</f>
        <v/>
      </c>
      <c r="FZ32" s="76" t="str">
        <f aca="false">IF($I32&gt;0%,IF(AND(FZ$16&gt;=$F32,FZ$16&lt;$F32+($G32*$I32)),"➤",""),"")</f>
        <v/>
      </c>
      <c r="GA32" s="76" t="str">
        <f aca="false">IF($I32&gt;0%,IF(AND(GA$16&gt;=$F32,GA$16&lt;$F32+($G32*$I32)),"➤",""),"")</f>
        <v/>
      </c>
      <c r="GB32" s="76" t="str">
        <f aca="false">IF($I32&gt;0%,IF(AND(GB$16&gt;=$F32,GB$16&lt;$F32+($G32*$I32)),"➤",""),"")</f>
        <v/>
      </c>
      <c r="GC32" s="76" t="str">
        <f aca="false">IF($I32&gt;0%,IF(AND(GC$16&gt;=$F32,GC$16&lt;$F32+($G32*$I32)),"➤",""),"")</f>
        <v/>
      </c>
      <c r="GD32" s="76" t="str">
        <f aca="false">IF($I32&gt;0%,IF(AND(GD$16&gt;=$F32,GD$16&lt;$F32+($G32*$I32)),"➤",""),"")</f>
        <v/>
      </c>
      <c r="GE32" s="76" t="str">
        <f aca="false">IF($I32&gt;0%,IF(AND(GE$16&gt;=$F32,GE$16&lt;$F32+($G32*$I32)),"➤",""),"")</f>
        <v/>
      </c>
      <c r="GF32" s="76" t="str">
        <f aca="false">IF($I32&gt;0%,IF(AND(GF$16&gt;=$F32,GF$16&lt;$F32+($G32*$I32)),"➤",""),"")</f>
        <v/>
      </c>
      <c r="GG32" s="76" t="str">
        <f aca="false">IF($I32&gt;0%,IF(AND(GG$16&gt;=$F32,GG$16&lt;$F32+($G32*$I32)),"➤",""),"")</f>
        <v/>
      </c>
      <c r="GH32" s="76" t="str">
        <f aca="false">IF($I32&gt;0%,IF(AND(GH$16&gt;=$F32,GH$16&lt;$F32+($G32*$I32)),"➤",""),"")</f>
        <v/>
      </c>
      <c r="GI32" s="76" t="str">
        <f aca="false">IF($I32&gt;0%,IF(AND(GI$16&gt;=$F32,GI$16&lt;$F32+($G32*$I32)),"➤",""),"")</f>
        <v/>
      </c>
      <c r="GJ32" s="76" t="str">
        <f aca="false">IF($I32&gt;0%,IF(AND(GJ$16&gt;=$F32,GJ$16&lt;$F32+($G32*$I32)),"➤",""),"")</f>
        <v/>
      </c>
      <c r="GK32" s="76" t="str">
        <f aca="false">IF($I32&gt;0%,IF(AND(GK$16&gt;=$F32,GK$16&lt;$F32+($G32*$I32)),"➤",""),"")</f>
        <v/>
      </c>
      <c r="GL32" s="76" t="str">
        <f aca="false">IF($I32&gt;0%,IF(AND(GL$16&gt;=$F32,GL$16&lt;$F32+($G32*$I32)),"➤",""),"")</f>
        <v/>
      </c>
      <c r="GM32" s="76" t="str">
        <f aca="false">IF($I32&gt;0%,IF(AND(GM$16&gt;=$F32,GM$16&lt;$F32+($G32*$I32)),"➤",""),"")</f>
        <v/>
      </c>
      <c r="GN32" s="76" t="str">
        <f aca="false">IF($I32&gt;0%,IF(AND(GN$16&gt;=$F32,GN$16&lt;$F32+($G32*$I32)),"➤",""),"")</f>
        <v/>
      </c>
      <c r="GO32" s="76" t="str">
        <f aca="false">IF($I32&gt;0%,IF(AND(GO$16&gt;=$F32,GO$16&lt;$F32+($G32*$I32)),"➤",""),"")</f>
        <v/>
      </c>
      <c r="GP32" s="76" t="str">
        <f aca="false">IF($I32&gt;0%,IF(AND(GP$16&gt;=$F32,GP$16&lt;$F32+($G32*$I32)),"➤",""),"")</f>
        <v/>
      </c>
      <c r="GQ32" s="76" t="str">
        <f aca="false">IF($I32&gt;0%,IF(AND(GQ$16&gt;=$F32,GQ$16&lt;$F32+($G32*$I32)),"➤",""),"")</f>
        <v/>
      </c>
      <c r="GR32" s="76" t="str">
        <f aca="false">IF($I32&gt;0%,IF(AND(GR$16&gt;=$F32,GR$16&lt;$F32+($G32*$I32)),"➤",""),"")</f>
        <v/>
      </c>
      <c r="GS32" s="76" t="str">
        <f aca="false">IF($I32&gt;0%,IF(AND(GS$16&gt;=$F32,GS$16&lt;$F32+($G32*$I32)),"➤",""),"")</f>
        <v/>
      </c>
      <c r="GT32" s="76" t="str">
        <f aca="false">IF($I32&gt;0%,IF(AND(GT$16&gt;=$F32,GT$16&lt;$F32+($G32*$I32)),"➤",""),"")</f>
        <v/>
      </c>
      <c r="GU32" s="76" t="str">
        <f aca="false">IF($I32&gt;0%,IF(AND(GU$16&gt;=$F32,GU$16&lt;$F32+($G32*$I32)),"➤",""),"")</f>
        <v/>
      </c>
      <c r="GV32" s="76" t="str">
        <f aca="false">IF($I32&gt;0%,IF(AND(GV$16&gt;=$F32,GV$16&lt;$F32+($G32*$I32)),"➤",""),"")</f>
        <v/>
      </c>
      <c r="GW32" s="76" t="str">
        <f aca="false">IF($I32&gt;0%,IF(AND(GW$16&gt;=$F32,GW$16&lt;$F32+($G32*$I32)),"➤",""),"")</f>
        <v/>
      </c>
      <c r="GX32" s="76" t="str">
        <f aca="false">IF($I32&gt;0%,IF(AND(GX$16&gt;=$F32,GX$16&lt;$F32+($G32*$I32)),"➤",""),"")</f>
        <v/>
      </c>
      <c r="GY32" s="76" t="str">
        <f aca="false">IF($I32&gt;0%,IF(AND(GY$16&gt;=$F32,GY$16&lt;$F32+($G32*$I32)),"➤",""),"")</f>
        <v/>
      </c>
      <c r="GZ32" s="76" t="str">
        <f aca="false">IF($I32&gt;0%,IF(AND(GZ$16&gt;=$F32,GZ$16&lt;$F32+($G32*$I32)),"➤",""),"")</f>
        <v/>
      </c>
      <c r="HA32" s="76" t="str">
        <f aca="false">IF($I32&gt;0%,IF(AND(HA$16&gt;=$F32,HA$16&lt;$F32+($G32*$I32)),"➤",""),"")</f>
        <v/>
      </c>
      <c r="HB32" s="76" t="str">
        <f aca="false">IF($I32&gt;0%,IF(AND(HB$16&gt;=$F32,HB$16&lt;$F32+($G32*$I32)),"➤",""),"")</f>
        <v/>
      </c>
      <c r="HC32" s="76" t="str">
        <f aca="false">IF($I32&gt;0%,IF(AND(HC$16&gt;=$F32,HC$16&lt;$F32+($G32*$I32)),"➤",""),"")</f>
        <v/>
      </c>
      <c r="HD32" s="76" t="str">
        <f aca="false">IF($I32&gt;0%,IF(AND(HD$16&gt;=$F32,HD$16&lt;$F32+($G32*$I32)),"➤",""),"")</f>
        <v/>
      </c>
      <c r="HE32" s="76" t="str">
        <f aca="false">IF($I32&gt;0%,IF(AND(HE$16&gt;=$F32,HE$16&lt;$F32+($G32*$I32)),"➤",""),"")</f>
        <v/>
      </c>
      <c r="HF32" s="76" t="str">
        <f aca="false">IF($I32&gt;0%,IF(AND(HF$16&gt;=$F32,HF$16&lt;$F32+($G32*$I32)),"➤",""),"")</f>
        <v/>
      </c>
      <c r="HG32" s="76" t="str">
        <f aca="false">IF($I32&gt;0%,IF(AND(HG$16&gt;=$F32,HG$16&lt;$F32+($G32*$I32)),"➤",""),"")</f>
        <v/>
      </c>
      <c r="HH32" s="76" t="str">
        <f aca="false">IF($I32&gt;0%,IF(AND(HH$16&gt;=$F32,HH$16&lt;$F32+($G32*$I32)),"➤",""),"")</f>
        <v/>
      </c>
      <c r="HI32" s="76" t="str">
        <f aca="false">IF($I32&gt;0%,IF(AND(HI$16&gt;=$F32,HI$16&lt;$F32+($G32*$I32)),"➤",""),"")</f>
        <v/>
      </c>
      <c r="HJ32" s="76" t="str">
        <f aca="false">IF($I32&gt;0%,IF(AND(HJ$16&gt;=$F32,HJ$16&lt;$F32+($G32*$I32)),"➤",""),"")</f>
        <v/>
      </c>
      <c r="HK32" s="76" t="str">
        <f aca="false">IF($I32&gt;0%,IF(AND(HK$16&gt;=$F32,HK$16&lt;$F32+($G32*$I32)),"➤",""),"")</f>
        <v/>
      </c>
      <c r="HL32" s="76" t="str">
        <f aca="false">IF($I32&gt;0%,IF(AND(HL$16&gt;=$F32,HL$16&lt;$F32+($G32*$I32)),"➤",""),"")</f>
        <v/>
      </c>
      <c r="HM32" s="76" t="str">
        <f aca="false">IF($I32&gt;0%,IF(AND(HM$16&gt;=$F32,HM$16&lt;$F32+($G32*$I32)),"➤",""),"")</f>
        <v/>
      </c>
      <c r="HN32" s="76" t="str">
        <f aca="false">IF($I32&gt;0%,IF(AND(HN$16&gt;=$F32,HN$16&lt;$F32+($G32*$I32)),"➤",""),"")</f>
        <v/>
      </c>
      <c r="HO32" s="76" t="str">
        <f aca="false">IF($I32&gt;0%,IF(AND(HO$16&gt;=$F32,HO$16&lt;$F32+($G32*$I32)),"➤",""),"")</f>
        <v/>
      </c>
      <c r="HP32" s="76" t="str">
        <f aca="false">IF($I32&gt;0%,IF(AND(HP$16&gt;=$F32,HP$16&lt;$F32+($G32*$I32)),"➤",""),"")</f>
        <v/>
      </c>
      <c r="HQ32" s="76" t="str">
        <f aca="false">IF($I32&gt;0%,IF(AND(HQ$16&gt;=$F32,HQ$16&lt;$F32+($G32*$I32)),"➤",""),"")</f>
        <v/>
      </c>
      <c r="HR32" s="76" t="str">
        <f aca="false">IF($I32&gt;0%,IF(AND(HR$16&gt;=$F32,HR$16&lt;$F32+($G32*$I32)),"➤",""),"")</f>
        <v/>
      </c>
      <c r="HS32" s="76" t="str">
        <f aca="false">IF($I32&gt;0%,IF(AND(HS$16&gt;=$F32,HS$16&lt;$F32+($G32*$I32)),"➤",""),"")</f>
        <v/>
      </c>
      <c r="HT32" s="76" t="str">
        <f aca="false">IF($I32&gt;0%,IF(AND(HT$16&gt;=$F32,HT$16&lt;$F32+($G32*$I32)),"➤",""),"")</f>
        <v/>
      </c>
      <c r="HU32" s="76" t="str">
        <f aca="false">IF($I32&gt;0%,IF(AND(HU$16&gt;=$F32,HU$16&lt;$F32+($G32*$I32)),"➤",""),"")</f>
        <v/>
      </c>
      <c r="HV32" s="76" t="str">
        <f aca="false">IF($I32&gt;0%,IF(AND(HV$16&gt;=$F32,HV$16&lt;$F32+($G32*$I32)),"➤",""),"")</f>
        <v/>
      </c>
      <c r="HW32" s="76" t="str">
        <f aca="false">IF($I32&gt;0%,IF(AND(HW$16&gt;=$F32,HW$16&lt;$F32+($G32*$I32)),"➤",""),"")</f>
        <v/>
      </c>
      <c r="HX32" s="76" t="str">
        <f aca="false">IF($I32&gt;0%,IF(AND(HX$16&gt;=$F32,HX$16&lt;$F32+($G32*$I32)),"➤",""),"")</f>
        <v/>
      </c>
      <c r="HY32" s="76" t="str">
        <f aca="false">IF($I32&gt;0%,IF(AND(HY$16&gt;=$F32,HY$16&lt;$F32+($G32*$I32)),"➤",""),"")</f>
        <v/>
      </c>
      <c r="HZ32" s="76" t="str">
        <f aca="false">IF($I32&gt;0%,IF(AND(HZ$16&gt;=$F32,HZ$16&lt;$F32+($G32*$I32)),"➤",""),"")</f>
        <v/>
      </c>
      <c r="IA32" s="76" t="str">
        <f aca="false">IF($I32&gt;0%,IF(AND(IA$16&gt;=$F32,IA$16&lt;$F32+($G32*$I32)),"➤",""),"")</f>
        <v/>
      </c>
      <c r="IB32" s="76" t="str">
        <f aca="false">IF($I32&gt;0%,IF(AND(IB$16&gt;=$F32,IB$16&lt;$F32+($G32*$I32)),"➤",""),"")</f>
        <v/>
      </c>
      <c r="IC32" s="76" t="str">
        <f aca="false">IF($I32&gt;0%,IF(AND(IC$16&gt;=$F32,IC$16&lt;$F32+($G32*$I32)),"➤",""),"")</f>
        <v/>
      </c>
      <c r="ID32" s="76" t="str">
        <f aca="false">IF($I32&gt;0%,IF(AND(ID$16&gt;=$F32,ID$16&lt;$F32+($G32*$I32)),"➤",""),"")</f>
        <v/>
      </c>
      <c r="IE32" s="76" t="str">
        <f aca="false">IF($I32&gt;0%,IF(AND(IE$16&gt;=$F32,IE$16&lt;$F32+($G32*$I32)),"➤",""),"")</f>
        <v/>
      </c>
      <c r="IF32" s="76" t="str">
        <f aca="false">IF($I32&gt;0%,IF(AND(IF$16&gt;=$F32,IF$16&lt;$F32+($G32*$I32)),"➤",""),"")</f>
        <v/>
      </c>
      <c r="IG32" s="76" t="str">
        <f aca="false">IF($I32&gt;0%,IF(AND(IG$16&gt;=$F32,IG$16&lt;$F32+($G32*$I32)),"➤",""),"")</f>
        <v/>
      </c>
      <c r="IH32" s="76" t="str">
        <f aca="false">IF($I32&gt;0%,IF(AND(IH$16&gt;=$F32,IH$16&lt;$F32+($G32*$I32)),"➤",""),"")</f>
        <v/>
      </c>
      <c r="II32" s="76" t="str">
        <f aca="false">IF($I32&gt;0%,IF(AND(II$16&gt;=$F32,II$16&lt;$F32+($G32*$I32)),"➤",""),"")</f>
        <v/>
      </c>
      <c r="IJ32" s="76" t="str">
        <f aca="false">IF($I32&gt;0%,IF(AND(IJ$16&gt;=$F32,IJ$16&lt;$F32+($G32*$I32)),"➤",""),"")</f>
        <v/>
      </c>
      <c r="IK32" s="76" t="str">
        <f aca="false">IF($I32&gt;0%,IF(AND(IK$16&gt;=$F32,IK$16&lt;$F32+($G32*$I32)),"➤",""),"")</f>
        <v/>
      </c>
      <c r="IL32" s="76" t="str">
        <f aca="false">IF($I32&gt;0%,IF(AND(IL$16&gt;=$F32,IL$16&lt;$F32+($G32*$I32)),"➤",""),"")</f>
        <v/>
      </c>
      <c r="IM32" s="76" t="str">
        <f aca="false">IF($I32&gt;0%,IF(AND(IM$16&gt;=$F32,IM$16&lt;$F32+($G32*$I32)),"➤",""),"")</f>
        <v/>
      </c>
      <c r="IN32" s="76" t="str">
        <f aca="false">IF($I32&gt;0%,IF(AND(IN$16&gt;=$F32,IN$16&lt;$F32+($G32*$I32)),"➤",""),"")</f>
        <v/>
      </c>
      <c r="IO32" s="76" t="str">
        <f aca="false">IF($I32&gt;0%,IF(AND(IO$16&gt;=$F32,IO$16&lt;$F32+($G32*$I32)),"➤",""),"")</f>
        <v/>
      </c>
      <c r="IP32" s="76" t="str">
        <f aca="false">IF($I32&gt;0%,IF(AND(IP$16&gt;=$F32,IP$16&lt;$F32+($G32*$I32)),"➤",""),"")</f>
        <v/>
      </c>
      <c r="IQ32" s="76" t="str">
        <f aca="false">IF($I32&gt;0%,IF(AND(IQ$16&gt;=$F32,IQ$16&lt;$F32+($G32*$I32)),"➤",""),"")</f>
        <v/>
      </c>
      <c r="IR32" s="76" t="str">
        <f aca="false">IF($I32&gt;0%,IF(AND(IR$16&gt;=$F32,IR$16&lt;$F32+($G32*$I32)),"➤",""),"")</f>
        <v/>
      </c>
      <c r="IS32" s="76" t="str">
        <f aca="false">IF($I32&gt;0%,IF(AND(IS$16&gt;=$F32,IS$16&lt;$F32+($G32*$I32)),"➤",""),"")</f>
        <v/>
      </c>
      <c r="IT32" s="76" t="str">
        <f aca="false">IF($I32&gt;0%,IF(AND(IT$16&gt;=$F32,IT$16&lt;$F32+($G32*$I32)),"➤",""),"")</f>
        <v/>
      </c>
      <c r="IU32" s="76" t="str">
        <f aca="false">IF($I32&gt;0%,IF(AND(IU$16&gt;=$F32,IU$16&lt;$F32+($G32*$I32)),"➤",""),"")</f>
        <v/>
      </c>
      <c r="IV32" s="76" t="str">
        <f aca="false">IF($I32&gt;0%,IF(AND(IV$16&gt;=$F32,IV$16&lt;$F32+($G32*$I32)),"➤",""),"")</f>
        <v/>
      </c>
      <c r="IW32" s="76" t="str">
        <f aca="false">IF($I32&gt;0%,IF(AND(IW$16&gt;=$F32,IW$16&lt;$F32+($G32*$I32)),"➤",""),"")</f>
        <v/>
      </c>
      <c r="IX32" s="76" t="str">
        <f aca="false">IF($I32&gt;0%,IF(AND(IX$16&gt;=$F32,IX$16&lt;$F32+($G32*$I32)),"➤",""),"")</f>
        <v/>
      </c>
      <c r="IY32" s="76" t="str">
        <f aca="false">IF($I32&gt;0%,IF(AND(IY$16&gt;=$F32,IY$16&lt;$F32+($G32*$I32)),"➤",""),"")</f>
        <v/>
      </c>
      <c r="IZ32" s="76" t="str">
        <f aca="false">IF($I32&gt;0%,IF(AND(IZ$16&gt;=$F32,IZ$16&lt;$F32+($G32*$I32)),"➤",""),"")</f>
        <v/>
      </c>
      <c r="JA32" s="76" t="str">
        <f aca="false">IF($I32&gt;0%,IF(AND(JA$16&gt;=$F32,JA$16&lt;$F32+($G32*$I32)),"➤",""),"")</f>
        <v/>
      </c>
      <c r="JB32" s="76" t="str">
        <f aca="false">IF($I32&gt;0%,IF(AND(JB$16&gt;=$F32,JB$16&lt;$F32+($G32*$I32)),"➤",""),"")</f>
        <v/>
      </c>
      <c r="JC32" s="76" t="str">
        <f aca="false">IF($I32&gt;0%,IF(AND(JC$16&gt;=$F32,JC$16&lt;$F32+($G32*$I32)),"➤",""),"")</f>
        <v/>
      </c>
      <c r="JD32" s="76" t="str">
        <f aca="false">IF($I32&gt;0%,IF(AND(JD$16&gt;=$F32,JD$16&lt;$F32+($G32*$I32)),"➤",""),"")</f>
        <v/>
      </c>
      <c r="JE32" s="76" t="str">
        <f aca="false">IF($I32&gt;0%,IF(AND(JE$16&gt;=$F32,JE$16&lt;$F32+($G32*$I32)),"➤",""),"")</f>
        <v/>
      </c>
      <c r="JF32" s="76" t="str">
        <f aca="false">IF($I32&gt;0%,IF(AND(JF$16&gt;=$F32,JF$16&lt;$F32+($G32*$I32)),"➤",""),"")</f>
        <v/>
      </c>
      <c r="JG32" s="76" t="str">
        <f aca="false">IF($I32&gt;0%,IF(AND(JG$16&gt;=$F32,JG$16&lt;$F32+($G32*$I32)),"➤",""),"")</f>
        <v/>
      </c>
      <c r="JH32" s="76" t="str">
        <f aca="false">IF($I32&gt;0%,IF(AND(JH$16&gt;=$F32,JH$16&lt;$F32+($G32*$I32)),"➤",""),"")</f>
        <v/>
      </c>
      <c r="JI32" s="76" t="str">
        <f aca="false">IF($I32&gt;0%,IF(AND(JI$16&gt;=$F32,JI$16&lt;$F32+($G32*$I32)),"➤",""),"")</f>
        <v/>
      </c>
      <c r="JJ32" s="76" t="str">
        <f aca="false">IF($I32&gt;0%,IF(AND(JJ$16&gt;=$F32,JJ$16&lt;$F32+($G32*$I32)),"➤",""),"")</f>
        <v/>
      </c>
      <c r="JK32" s="76" t="str">
        <f aca="false">IF($I32&gt;0%,IF(AND(JK$16&gt;=$F32,JK$16&lt;$F32+($G32*$I32)),"➤",""),"")</f>
        <v/>
      </c>
      <c r="JL32" s="76" t="str">
        <f aca="false">IF($I32&gt;0%,IF(AND(JL$16&gt;=$F32,JL$16&lt;$F32+($G32*$I32)),"➤",""),"")</f>
        <v/>
      </c>
      <c r="JM32" s="76" t="str">
        <f aca="false">IF($I32&gt;0%,IF(AND(JM$16&gt;=$F32,JM$16&lt;$F32+($G32*$I32)),"➤",""),"")</f>
        <v/>
      </c>
      <c r="JN32" s="76" t="str">
        <f aca="false">IF($I32&gt;0%,IF(AND(JN$16&gt;=$F32,JN$16&lt;$F32+($G32*$I32)),"➤",""),"")</f>
        <v/>
      </c>
      <c r="JO32" s="76" t="str">
        <f aca="false">IF($I32&gt;0%,IF(AND(JO$16&gt;=$F32,JO$16&lt;$F32+($G32*$I32)),"➤",""),"")</f>
        <v/>
      </c>
      <c r="JP32" s="76" t="str">
        <f aca="false">IF($I32&gt;0%,IF(AND(JP$16&gt;=$F32,JP$16&lt;$F32+($G32*$I32)),"➤",""),"")</f>
        <v/>
      </c>
      <c r="JQ32" s="76" t="str">
        <f aca="false">IF($I32&gt;0%,IF(AND(JQ$16&gt;=$F32,JQ$16&lt;$F32+($G32*$I32)),"➤",""),"")</f>
        <v/>
      </c>
      <c r="JR32" s="76" t="str">
        <f aca="false">IF($I32&gt;0%,IF(AND(JR$16&gt;=$F32,JR$16&lt;$F32+($G32*$I32)),"➤",""),"")</f>
        <v/>
      </c>
      <c r="JS32" s="76" t="str">
        <f aca="false">IF($I32&gt;0%,IF(AND(JS$16&gt;=$F32,JS$16&lt;$F32+($G32*$I32)),"➤",""),"")</f>
        <v/>
      </c>
      <c r="JT32" s="76" t="str">
        <f aca="false">IF($I32&gt;0%,IF(AND(JT$16&gt;=$F32,JT$16&lt;$F32+($G32*$I32)),"➤",""),"")</f>
        <v/>
      </c>
      <c r="JU32" s="76" t="str">
        <f aca="false">IF($I32&gt;0%,IF(AND(JU$16&gt;=$F32,JU$16&lt;$F32+($G32*$I32)),"➤",""),"")</f>
        <v/>
      </c>
      <c r="JV32" s="76" t="str">
        <f aca="false">IF($I32&gt;0%,IF(AND(JV$16&gt;=$F32,JV$16&lt;$F32+($G32*$I32)),"➤",""),"")</f>
        <v/>
      </c>
      <c r="JW32" s="76" t="str">
        <f aca="false">IF($I32&gt;0%,IF(AND(JW$16&gt;=$F32,JW$16&lt;$F32+($G32*$I32)),"➤",""),"")</f>
        <v/>
      </c>
      <c r="JX32" s="76" t="str">
        <f aca="false">IF($I32&gt;0%,IF(AND(JX$16&gt;=$F32,JX$16&lt;$F32+($G32*$I32)),"➤",""),"")</f>
        <v/>
      </c>
      <c r="JY32" s="76" t="str">
        <f aca="false">IF($I32&gt;0%,IF(AND(JY$16&gt;=$F32,JY$16&lt;$F32+($G32*$I32)),"➤",""),"")</f>
        <v/>
      </c>
      <c r="JZ32" s="76" t="str">
        <f aca="false">IF($I32&gt;0%,IF(AND(JZ$16&gt;=$F32,JZ$16&lt;$F32+($G32*$I32)),"➤",""),"")</f>
        <v/>
      </c>
      <c r="KA32" s="76" t="str">
        <f aca="false">IF($I32&gt;0%,IF(AND(KA$16&gt;=$F32,KA$16&lt;$F32+($G32*$I32)),"➤",""),"")</f>
        <v/>
      </c>
      <c r="KB32" s="76" t="str">
        <f aca="false">IF($I32&gt;0%,IF(AND(KB$16&gt;=$F32,KB$16&lt;$F32+($G32*$I32)),"➤",""),"")</f>
        <v/>
      </c>
      <c r="KC32" s="76" t="str">
        <f aca="false">IF($I32&gt;0%,IF(AND(KC$16&gt;=$F32,KC$16&lt;$F32+($G32*$I32)),"➤",""),"")</f>
        <v/>
      </c>
      <c r="KD32" s="76" t="str">
        <f aca="false">IF($I32&gt;0%,IF(AND(KD$16&gt;=$F32,KD$16&lt;$F32+($G32*$I32)),"➤",""),"")</f>
        <v/>
      </c>
      <c r="KE32" s="76" t="str">
        <f aca="false">IF($I32&gt;0%,IF(AND(KE$16&gt;=$F32,KE$16&lt;$F32+($G32*$I32)),"➤",""),"")</f>
        <v/>
      </c>
      <c r="KF32" s="76" t="str">
        <f aca="false">IF($I32&gt;0%,IF(AND(KF$16&gt;=$F32,KF$16&lt;$F32+($G32*$I32)),"➤",""),"")</f>
        <v/>
      </c>
      <c r="KG32" s="76" t="str">
        <f aca="false">IF($I32&gt;0%,IF(AND(KG$16&gt;=$F32,KG$16&lt;$F32+($G32*$I32)),"➤",""),"")</f>
        <v/>
      </c>
      <c r="KH32" s="76" t="str">
        <f aca="false">IF($I32&gt;0%,IF(AND(KH$16&gt;=$F32,KH$16&lt;$F32+($G32*$I32)),"➤",""),"")</f>
        <v/>
      </c>
      <c r="KI32" s="76" t="str">
        <f aca="false">IF($I32&gt;0%,IF(AND(KI$16&gt;=$F32,KI$16&lt;$F32+($G32*$I32)),"➤",""),"")</f>
        <v/>
      </c>
      <c r="KJ32" s="76" t="str">
        <f aca="false">IF($I32&gt;0%,IF(AND(KJ$16&gt;=$F32,KJ$16&lt;$F32+($G32*$I32)),"➤",""),"")</f>
        <v/>
      </c>
      <c r="KK32" s="76" t="str">
        <f aca="false">IF($I32&gt;0%,IF(AND(KK$16&gt;=$F32,KK$16&lt;$F32+($G32*$I32)),"➤",""),"")</f>
        <v/>
      </c>
      <c r="KL32" s="76" t="str">
        <f aca="false">IF($I32&gt;0%,IF(AND(KL$16&gt;=$F32,KL$16&lt;$F32+($G32*$I32)),"➤",""),"")</f>
        <v/>
      </c>
      <c r="KM32" s="76" t="str">
        <f aca="false">IF($I32&gt;0%,IF(AND(KM$16&gt;=$F32,KM$16&lt;$F32+($G32*$I32)),"➤",""),"")</f>
        <v/>
      </c>
      <c r="KN32" s="76" t="str">
        <f aca="false">IF($I32&gt;0%,IF(AND(KN$16&gt;=$F32,KN$16&lt;$F32+($G32*$I32)),"➤",""),"")</f>
        <v/>
      </c>
      <c r="KO32" s="76" t="str">
        <f aca="false">IF($I32&gt;0%,IF(AND(KO$16&gt;=$F32,KO$16&lt;$F32+($G32*$I32)),"➤",""),"")</f>
        <v/>
      </c>
      <c r="KP32" s="76" t="str">
        <f aca="false">IF($I32&gt;0%,IF(AND(KP$16&gt;=$F32,KP$16&lt;$F32+($G32*$I32)),"➤",""),"")</f>
        <v/>
      </c>
      <c r="KQ32" s="76" t="str">
        <f aca="false">IF($I32&gt;0%,IF(AND(KQ$16&gt;=$F32,KQ$16&lt;$F32+($G32*$I32)),"➤",""),"")</f>
        <v/>
      </c>
      <c r="KR32" s="76" t="str">
        <f aca="false">IF($I32&gt;0%,IF(AND(KR$16&gt;=$F32,KR$16&lt;$F32+($G32*$I32)),"➤",""),"")</f>
        <v/>
      </c>
      <c r="KS32" s="76" t="str">
        <f aca="false">IF($I32&gt;0%,IF(AND(KS$16&gt;=$F32,KS$16&lt;$F32+($G32*$I32)),"➤",""),"")</f>
        <v/>
      </c>
      <c r="KT32" s="76" t="str">
        <f aca="false">IF($I32&gt;0%,IF(AND(KT$16&gt;=$F32,KT$16&lt;$F32+($G32*$I32)),"➤",""),"")</f>
        <v/>
      </c>
      <c r="KU32" s="76" t="str">
        <f aca="false">IF($I32&gt;0%,IF(AND(KU$16&gt;=$F32,KU$16&lt;$F32+($G32*$I32)),"➤",""),"")</f>
        <v/>
      </c>
      <c r="KV32" s="76" t="str">
        <f aca="false">IF($I32&gt;0%,IF(AND(KV$16&gt;=$F32,KV$16&lt;$F32+($G32*$I32)),"➤",""),"")</f>
        <v/>
      </c>
      <c r="KW32" s="76" t="str">
        <f aca="false">IF($I32&gt;0%,IF(AND(KW$16&gt;=$F32,KW$16&lt;$F32+($G32*$I32)),"➤",""),"")</f>
        <v/>
      </c>
      <c r="KX32" s="76" t="str">
        <f aca="false">IF($I32&gt;0%,IF(AND(KX$16&gt;=$F32,KX$16&lt;$F32+($G32*$I32)),"➤",""),"")</f>
        <v/>
      </c>
      <c r="KY32" s="76" t="str">
        <f aca="false">IF($I32&gt;0%,IF(AND(KY$16&gt;=$F32,KY$16&lt;$F32+($G32*$I32)),"➤",""),"")</f>
        <v/>
      </c>
      <c r="KZ32" s="76" t="str">
        <f aca="false">IF($I32&gt;0%,IF(AND(KZ$16&gt;=$F32,KZ$16&lt;$F32+($G32*$I32)),"➤",""),"")</f>
        <v/>
      </c>
      <c r="LA32" s="76" t="str">
        <f aca="false">IF($I32&gt;0%,IF(AND(LA$16&gt;=$F32,LA$16&lt;$F32+($G32*$I32)),"➤",""),"")</f>
        <v/>
      </c>
      <c r="LB32" s="76" t="str">
        <f aca="false">IF($I32&gt;0%,IF(AND(LB$16&gt;=$F32,LB$16&lt;$F32+($G32*$I32)),"➤",""),"")</f>
        <v/>
      </c>
      <c r="LC32" s="76" t="str">
        <f aca="false">IF($I32&gt;0%,IF(AND(LC$16&gt;=$F32,LC$16&lt;$F32+($G32*$I32)),"➤",""),"")</f>
        <v/>
      </c>
      <c r="LD32" s="76" t="str">
        <f aca="false">IF($I32&gt;0%,IF(AND(LD$16&gt;=$F32,LD$16&lt;$F32+($G32*$I32)),"➤",""),"")</f>
        <v/>
      </c>
      <c r="LE32" s="76" t="str">
        <f aca="false">IF($I32&gt;0%,IF(AND(LE$16&gt;=$F32,LE$16&lt;$F32+($G32*$I32)),"➤",""),"")</f>
        <v/>
      </c>
      <c r="LF32" s="76" t="str">
        <f aca="false">IF($I32&gt;0%,IF(AND(LF$16&gt;=$F32,LF$16&lt;$F32+($G32*$I32)),"➤",""),"")</f>
        <v/>
      </c>
      <c r="LG32" s="76" t="str">
        <f aca="false">IF($I32&gt;0%,IF(AND(LG$16&gt;=$F32,LG$16&lt;$F32+($G32*$I32)),"➤",""),"")</f>
        <v/>
      </c>
      <c r="LH32" s="76" t="str">
        <f aca="false">IF($I32&gt;0%,IF(AND(LH$16&gt;=$F32,LH$16&lt;$F32+($G32*$I32)),"➤",""),"")</f>
        <v/>
      </c>
      <c r="LI32" s="76" t="str">
        <f aca="false">IF($I32&gt;0%,IF(AND(LI$16&gt;=$F32,LI$16&lt;$F32+($G32*$I32)),"➤",""),"")</f>
        <v/>
      </c>
      <c r="LJ32" s="76" t="str">
        <f aca="false">IF($I32&gt;0%,IF(AND(LJ$16&gt;=$F32,LJ$16&lt;$F32+($G32*$I32)),"➤",""),"")</f>
        <v/>
      </c>
      <c r="LK32" s="76" t="str">
        <f aca="false">IF($I32&gt;0%,IF(AND(LK$16&gt;=$F32,LK$16&lt;$F32+($G32*$I32)),"➤",""),"")</f>
        <v/>
      </c>
      <c r="LL32" s="76" t="str">
        <f aca="false">IF($I32&gt;0%,IF(AND(LL$16&gt;=$F32,LL$16&lt;$F32+($G32*$I32)),"➤",""),"")</f>
        <v/>
      </c>
      <c r="LM32" s="76" t="str">
        <f aca="false">IF($I32&gt;0%,IF(AND(LM$16&gt;=$F32,LM$16&lt;$F32+($G32*$I32)),"➤",""),"")</f>
        <v/>
      </c>
      <c r="LN32" s="76" t="str">
        <f aca="false">IF($I32&gt;0%,IF(AND(LN$16&gt;=$F32,LN$16&lt;$F32+($G32*$I32)),"➤",""),"")</f>
        <v/>
      </c>
      <c r="LO32" s="76" t="str">
        <f aca="false">IF($I32&gt;0%,IF(AND(LO$16&gt;=$F32,LO$16&lt;$F32+($G32*$I32)),"➤",""),"")</f>
        <v/>
      </c>
      <c r="LP32" s="76" t="str">
        <f aca="false">IF($I32&gt;0%,IF(AND(LP$16&gt;=$F32,LP$16&lt;$F32+($G32*$I32)),"➤",""),"")</f>
        <v/>
      </c>
      <c r="LQ32" s="76" t="str">
        <f aca="false">IF($I32&gt;0%,IF(AND(LQ$16&gt;=$F32,LQ$16&lt;$F32+($G32*$I32)),"➤",""),"")</f>
        <v/>
      </c>
      <c r="LR32" s="76" t="str">
        <f aca="false">IF($I32&gt;0%,IF(AND(LR$16&gt;=$F32,LR$16&lt;$F32+($G32*$I32)),"➤",""),"")</f>
        <v/>
      </c>
      <c r="LS32" s="76" t="str">
        <f aca="false">IF($I32&gt;0%,IF(AND(LS$16&gt;=$F32,LS$16&lt;$F32+($G32*$I32)),"➤",""),"")</f>
        <v/>
      </c>
      <c r="LT32" s="76" t="str">
        <f aca="false">IF($I32&gt;0%,IF(AND(LT$16&gt;=$F32,LT$16&lt;$F32+($G32*$I32)),"➤",""),"")</f>
        <v/>
      </c>
      <c r="LU32" s="76" t="str">
        <f aca="false">IF($I32&gt;0%,IF(AND(LU$16&gt;=$F32,LU$16&lt;$F32+($G32*$I32)),"➤",""),"")</f>
        <v/>
      </c>
      <c r="LV32" s="76" t="str">
        <f aca="false">IF($I32&gt;0%,IF(AND(LV$16&gt;=$F32,LV$16&lt;$F32+($G32*$I32)),"➤",""),"")</f>
        <v/>
      </c>
      <c r="LW32" s="76" t="str">
        <f aca="false">IF($I32&gt;0%,IF(AND(LW$16&gt;=$F32,LW$16&lt;$F32+($G32*$I32)),"➤",""),"")</f>
        <v/>
      </c>
      <c r="LX32" s="76" t="str">
        <f aca="false">IF($I32&gt;0%,IF(AND(LX$16&gt;=$F32,LX$16&lt;$F32+($G32*$I32)),"➤",""),"")</f>
        <v/>
      </c>
      <c r="LY32" s="76" t="str">
        <f aca="false">IF($I32&gt;0%,IF(AND(LY$16&gt;=$F32,LY$16&lt;$F32+($G32*$I32)),"➤",""),"")</f>
        <v/>
      </c>
      <c r="LZ32" s="76" t="str">
        <f aca="false">IF($I32&gt;0%,IF(AND(LZ$16&gt;=$F32,LZ$16&lt;$F32+($G32*$I32)),"➤",""),"")</f>
        <v/>
      </c>
      <c r="MA32" s="76" t="str">
        <f aca="false">IF($I32&gt;0%,IF(AND(MA$16&gt;=$F32,MA$16&lt;$F32+($G32*$I32)),"➤",""),"")</f>
        <v/>
      </c>
      <c r="MB32" s="76" t="str">
        <f aca="false">IF($I32&gt;0%,IF(AND(MB$16&gt;=$F32,MB$16&lt;$F32+($G32*$I32)),"➤",""),"")</f>
        <v/>
      </c>
      <c r="MC32" s="76" t="str">
        <f aca="false">IF($I32&gt;0%,IF(AND(MC$16&gt;=$F32,MC$16&lt;$F32+($G32*$I32)),"➤",""),"")</f>
        <v/>
      </c>
      <c r="MD32" s="76" t="str">
        <f aca="false">IF($I32&gt;0%,IF(AND(MD$16&gt;=$F32,MD$16&lt;$F32+($G32*$I32)),"➤",""),"")</f>
        <v/>
      </c>
      <c r="ME32" s="76" t="str">
        <f aca="false">IF($I32&gt;0%,IF(AND(ME$16&gt;=$F32,ME$16&lt;$F32+($G32*$I32)),"➤",""),"")</f>
        <v/>
      </c>
      <c r="MF32" s="76" t="str">
        <f aca="false">IF($I32&gt;0%,IF(AND(MF$16&gt;=$F32,MF$16&lt;$F32+($G32*$I32)),"➤",""),"")</f>
        <v/>
      </c>
      <c r="MG32" s="76" t="str">
        <f aca="false">IF($I32&gt;0%,IF(AND(MG$16&gt;=$F32,MG$16&lt;$F32+($G32*$I32)),"➤",""),"")</f>
        <v/>
      </c>
      <c r="MH32" s="76" t="str">
        <f aca="false">IF($I32&gt;0%,IF(AND(MH$16&gt;=$F32,MH$16&lt;$F32+($G32*$I32)),"➤",""),"")</f>
        <v/>
      </c>
      <c r="MI32" s="76" t="str">
        <f aca="false">IF($I32&gt;0%,IF(AND(MI$16&gt;=$F32,MI$16&lt;$F32+($G32*$I32)),"➤",""),"")</f>
        <v/>
      </c>
      <c r="MJ32" s="76" t="str">
        <f aca="false">IF($I32&gt;0%,IF(AND(MJ$16&gt;=$F32,MJ$16&lt;$F32+($G32*$I32)),"➤",""),"")</f>
        <v/>
      </c>
      <c r="MK32" s="76" t="str">
        <f aca="false">IF($I32&gt;0%,IF(AND(MK$16&gt;=$F32,MK$16&lt;$F32+($G32*$I32)),"➤",""),"")</f>
        <v/>
      </c>
      <c r="ML32" s="76" t="str">
        <f aca="false">IF($I32&gt;0%,IF(AND(ML$16&gt;=$F32,ML$16&lt;$F32+($G32*$I32)),"➤",""),"")</f>
        <v/>
      </c>
      <c r="MM32" s="76" t="str">
        <f aca="false">IF($I32&gt;0%,IF(AND(MM$16&gt;=$F32,MM$16&lt;$F32+($G32*$I32)),"➤",""),"")</f>
        <v/>
      </c>
      <c r="MN32" s="76" t="str">
        <f aca="false">IF($I32&gt;0%,IF(AND(MN$16&gt;=$F32,MN$16&lt;$F32+($G32*$I32)),"➤",""),"")</f>
        <v/>
      </c>
      <c r="MO32" s="76" t="str">
        <f aca="false">IF($I32&gt;0%,IF(AND(MO$16&gt;=$F32,MO$16&lt;$F32+($G32*$I32)),"➤",""),"")</f>
        <v/>
      </c>
      <c r="MP32" s="76" t="str">
        <f aca="false">IF($I32&gt;0%,IF(AND(MP$16&gt;=$F32,MP$16&lt;$F32+($G32*$I32)),"➤",""),"")</f>
        <v/>
      </c>
      <c r="MQ32" s="76" t="str">
        <f aca="false">IF($I32&gt;0%,IF(AND(MQ$16&gt;=$F32,MQ$16&lt;$F32+($G32*$I32)),"➤",""),"")</f>
        <v/>
      </c>
      <c r="MR32" s="76" t="str">
        <f aca="false">IF($I32&gt;0%,IF(AND(MR$16&gt;=$F32,MR$16&lt;$F32+($G32*$I32)),"➤",""),"")</f>
        <v/>
      </c>
      <c r="MS32" s="76" t="str">
        <f aca="false">IF($I32&gt;0%,IF(AND(MS$16&gt;=$F32,MS$16&lt;$F32+($G32*$I32)),"➤",""),"")</f>
        <v/>
      </c>
      <c r="MT32" s="76" t="str">
        <f aca="false">IF($I32&gt;0%,IF(AND(MT$16&gt;=$F32,MT$16&lt;$F32+($G32*$I32)),"➤",""),"")</f>
        <v/>
      </c>
      <c r="MU32" s="76" t="str">
        <f aca="false">IF($I32&gt;0%,IF(AND(MU$16&gt;=$F32,MU$16&lt;$F32+($G32*$I32)),"➤",""),"")</f>
        <v/>
      </c>
      <c r="MV32" s="76" t="str">
        <f aca="false">IF($I32&gt;0%,IF(AND(MV$16&gt;=$F32,MV$16&lt;$F32+($G32*$I32)),"➤",""),"")</f>
        <v/>
      </c>
      <c r="MW32" s="76" t="str">
        <f aca="false">IF($I32&gt;0%,IF(AND(MW$16&gt;=$F32,MW$16&lt;$F32+($G32*$I32)),"➤",""),"")</f>
        <v/>
      </c>
      <c r="MX32" s="76" t="str">
        <f aca="false">IF($I32&gt;0%,IF(AND(MX$16&gt;=$F32,MX$16&lt;$F32+($G32*$I32)),"➤",""),"")</f>
        <v/>
      </c>
      <c r="MY32" s="76" t="str">
        <f aca="false">IF($I32&gt;0%,IF(AND(MY$16&gt;=$F32,MY$16&lt;$F32+($G32*$I32)),"➤",""),"")</f>
        <v/>
      </c>
      <c r="MZ32" s="76" t="str">
        <f aca="false">IF($I32&gt;0%,IF(AND(MZ$16&gt;=$F32,MZ$16&lt;$F32+($G32*$I32)),"➤",""),"")</f>
        <v/>
      </c>
      <c r="NA32" s="76" t="str">
        <f aca="false">IF($I32&gt;0%,IF(AND(NA$16&gt;=$F32,NA$16&lt;$F32+($G32*$I32)),"➤",""),"")</f>
        <v/>
      </c>
      <c r="NB32" s="76" t="str">
        <f aca="false">IF($I32&gt;0%,IF(AND(NB$16&gt;=$F32,NB$16&lt;$F32+($G32*$I32)),"➤",""),"")</f>
        <v/>
      </c>
      <c r="NC32" s="76" t="str">
        <f aca="false">IF($I32&gt;0%,IF(AND(NC$16&gt;=$F32,NC$16&lt;$F32+($G32*$I32)),"➤",""),"")</f>
        <v/>
      </c>
      <c r="ND32" s="76" t="str">
        <f aca="false">IF($I32&gt;0%,IF(AND(ND$16&gt;=$F32,ND$16&lt;$F32+($G32*$I32)),"➤",""),"")</f>
        <v/>
      </c>
      <c r="NE32" s="76" t="str">
        <f aca="false">IF($I32&gt;0%,IF(AND(NE$16&gt;=$F32,NE$16&lt;$F32+($G32*$I32)),"➤",""),"")</f>
        <v/>
      </c>
      <c r="NF32" s="76" t="str">
        <f aca="false">IF($I32&gt;0%,IF(AND(NF$16&gt;=$F32,NF$16&lt;$F32+($G32*$I32)),"➤",""),"")</f>
        <v/>
      </c>
      <c r="NG32" s="76" t="str">
        <f aca="false">IF($I32&gt;0%,IF(AND(NG$16&gt;=$F32,NG$16&lt;$F32+($G32*$I32)),"➤",""),"")</f>
        <v/>
      </c>
      <c r="NH32" s="76" t="str">
        <f aca="false">IF($I32&gt;0%,IF(AND(NH$16&gt;=$F32,NH$16&lt;$F32+($G32*$I32)),"➤",""),"")</f>
        <v/>
      </c>
      <c r="NI32" s="76" t="str">
        <f aca="false">IF($I32&gt;0%,IF(AND(NI$16&gt;=$F32,NI$16&lt;$F32+($G32*$I32)),"➤",""),"")</f>
        <v/>
      </c>
      <c r="NJ32" s="76" t="str">
        <f aca="false">IF($I32&gt;0%,IF(AND(NJ$16&gt;=$F32,NJ$16&lt;$F32+($G32*$I32)),"➤",""),"")</f>
        <v/>
      </c>
      <c r="NK32" s="76" t="str">
        <f aca="false">IF($I32&gt;0%,IF(AND(NK$16&gt;=$F32,NK$16&lt;$F32+($G32*$I32)),"➤",""),"")</f>
        <v/>
      </c>
      <c r="NL32" s="76" t="str">
        <f aca="false">IF($I32&gt;0%,IF(AND(NL$16&gt;=$F32,NL$16&lt;$F32+($G32*$I32)),"➤",""),"")</f>
        <v/>
      </c>
      <c r="NM32" s="76" t="str">
        <f aca="false">IF($I32&gt;0%,IF(AND(NM$16&gt;=$F32,NM$16&lt;$F32+($G32*$I32)),"➤",""),"")</f>
        <v/>
      </c>
      <c r="NN32" s="76" t="str">
        <f aca="false">IF($I32&gt;0%,IF(AND(NN$16&gt;=$F32,NN$16&lt;$F32+($G32*$I32)),"➤",""),"")</f>
        <v/>
      </c>
      <c r="NO32" s="76" t="str">
        <f aca="false">IF($I32&gt;0%,IF(AND(NO$16&gt;=$F32,NO$16&lt;$F32+($G32*$I32)),"➤",""),"")</f>
        <v/>
      </c>
      <c r="NP32" s="76" t="str">
        <f aca="false">IF($I32&gt;0%,IF(AND(NP$16&gt;=$F32,NP$16&lt;$F32+($G32*$I32)),"➤",""),"")</f>
        <v/>
      </c>
      <c r="NQ32" s="76" t="str">
        <f aca="false">IF($I32&gt;0%,IF(AND(NQ$16&gt;=$F32,NQ$16&lt;$F32+($G32*$I32)),"➤",""),"")</f>
        <v/>
      </c>
      <c r="NR32" s="76" t="str">
        <f aca="false">IF($I32&gt;0%,IF(AND(NR$16&gt;=$F32,NR$16&lt;$F32+($G32*$I32)),"➤",""),"")</f>
        <v/>
      </c>
      <c r="NS32" s="76" t="str">
        <f aca="false">IF($I32&gt;0%,IF(AND(NS$16&gt;=$F32,NS$16&lt;$F32+($G32*$I32)),"➤",""),"")</f>
        <v/>
      </c>
      <c r="NT32" s="76" t="str">
        <f aca="false">IF($I32&gt;0%,IF(AND(NT$16&gt;=$F32,NT$16&lt;$F32+($G32*$I32)),"➤",""),"")</f>
        <v/>
      </c>
      <c r="NU32" s="76" t="str">
        <f aca="false">IF($I32&gt;0%,IF(AND(NU$16&gt;=$F32,NU$16&lt;$F32+($G32*$I32)),"➤",""),"")</f>
        <v/>
      </c>
      <c r="NV32" s="76" t="str">
        <f aca="false">IF($I32&gt;0%,IF(AND(NV$16&gt;=$F32,NV$16&lt;$F32+($G32*$I32)),"➤",""),"")</f>
        <v/>
      </c>
      <c r="NW32" s="76" t="str">
        <f aca="false">IF($I32&gt;0%,IF(AND(NW$16&gt;=$F32,NW$16&lt;$F32+($G32*$I32)),"➤",""),"")</f>
        <v/>
      </c>
      <c r="NX32" s="76" t="str">
        <f aca="false">IF($I32&gt;0%,IF(AND(NX$16&gt;=$F32,NX$16&lt;$F32+($G32*$I32)),"➤",""),"")</f>
        <v/>
      </c>
      <c r="NY32" s="76" t="str">
        <f aca="false">IF($I32&gt;0%,IF(AND(NY$16&gt;=$F32,NY$16&lt;$F32+($G32*$I32)),"➤",""),"")</f>
        <v/>
      </c>
      <c r="NZ32" s="76" t="str">
        <f aca="false">IF($I32&gt;0%,IF(AND(NZ$16&gt;=$F32,NZ$16&lt;$F32+($G32*$I32)),"➤",""),"")</f>
        <v/>
      </c>
      <c r="OA32" s="76" t="str">
        <f aca="false">IF($I32&gt;0%,IF(AND(OA$16&gt;=$F32,OA$16&lt;$F32+($G32*$I32)),"➤",""),"")</f>
        <v/>
      </c>
      <c r="OB32" s="76" t="str">
        <f aca="false">IF($I32&gt;0%,IF(AND(OB$16&gt;=$F32,OB$16&lt;$F32+($G32*$I32)),"➤",""),"")</f>
        <v/>
      </c>
      <c r="OC32" s="76" t="str">
        <f aca="false">IF($I32&gt;0%,IF(AND(OC$16&gt;=$F32,OC$16&lt;$F32+($G32*$I32)),"➤",""),"")</f>
        <v/>
      </c>
      <c r="OD32" s="76" t="str">
        <f aca="false">IF($I32&gt;0%,IF(AND(OD$16&gt;=$F32,OD$16&lt;$F32+($G32*$I32)),"➤",""),"")</f>
        <v/>
      </c>
      <c r="OE32" s="76" t="str">
        <f aca="false">IF($I32&gt;0%,IF(AND(OE$16&gt;=$F32,OE$16&lt;$F32+($G32*$I32)),"➤",""),"")</f>
        <v/>
      </c>
      <c r="OF32" s="76" t="str">
        <f aca="false">IF($I32&gt;0%,IF(AND(OF$16&gt;=$F32,OF$16&lt;$F32+($G32*$I32)),"➤",""),"")</f>
        <v/>
      </c>
      <c r="OG32" s="76" t="str">
        <f aca="false">IF($I32&gt;0%,IF(AND(OG$16&gt;=$F32,OG$16&lt;$F32+($G32*$I32)),"➤",""),"")</f>
        <v/>
      </c>
      <c r="OH32" s="76" t="str">
        <f aca="false">IF($I32&gt;0%,IF(AND(OH$16&gt;=$F32,OH$16&lt;$F32+($G32*$I32)),"➤",""),"")</f>
        <v/>
      </c>
      <c r="OI32" s="76" t="str">
        <f aca="false">IF($I32&gt;0%,IF(AND(OI$16&gt;=$F32,OI$16&lt;$F32+($G32*$I32)),"➤",""),"")</f>
        <v/>
      </c>
      <c r="OJ32" s="76" t="str">
        <f aca="false">IF($I32&gt;0%,IF(AND(OJ$16&gt;=$F32,OJ$16&lt;$F32+($G32*$I32)),"➤",""),"")</f>
        <v/>
      </c>
      <c r="OK32" s="76" t="str">
        <f aca="false">IF($I32&gt;0%,IF(AND(OK$16&gt;=$F32,OK$16&lt;$F32+($G32*$I32)),"➤",""),"")</f>
        <v/>
      </c>
      <c r="OL32" s="76" t="str">
        <f aca="false">IF($I32&gt;0%,IF(AND(OL$16&gt;=$F32,OL$16&lt;$F32+($G32*$I32)),"➤",""),"")</f>
        <v/>
      </c>
      <c r="OM32" s="76" t="str">
        <f aca="false">IF($I32&gt;0%,IF(AND(OM$16&gt;=$F32,OM$16&lt;$F32+($G32*$I32)),"➤",""),"")</f>
        <v/>
      </c>
      <c r="ON32" s="76" t="str">
        <f aca="false">IF($I32&gt;0%,IF(AND(ON$16&gt;=$F32,ON$16&lt;$F32+($G32*$I32)),"➤",""),"")</f>
        <v/>
      </c>
      <c r="OO32" s="76" t="str">
        <f aca="false">IF($I32&gt;0%,IF(AND(OO$16&gt;=$F32,OO$16&lt;$F32+($G32*$I32)),"➤",""),"")</f>
        <v/>
      </c>
      <c r="OP32" s="76" t="str">
        <f aca="false">IF($I32&gt;0%,IF(AND(OP$16&gt;=$F32,OP$16&lt;$F32+($G32*$I32)),"➤",""),"")</f>
        <v/>
      </c>
      <c r="OQ32" s="76" t="str">
        <f aca="false">IF($I32&gt;0%,IF(AND(OQ$16&gt;=$F32,OQ$16&lt;$F32+($G32*$I32)),"➤",""),"")</f>
        <v/>
      </c>
      <c r="OR32" s="76" t="str">
        <f aca="false">IF($I32&gt;0%,IF(AND(OR$16&gt;=$F32,OR$16&lt;$F32+($G32*$I32)),"➤",""),"")</f>
        <v/>
      </c>
      <c r="OS32" s="76" t="str">
        <f aca="false">IF($I32&gt;0%,IF(AND(OS$16&gt;=$F32,OS$16&lt;$F32+($G32*$I32)),"➤",""),"")</f>
        <v/>
      </c>
      <c r="OT32" s="76" t="str">
        <f aca="false">IF($I32&gt;0%,IF(AND(OT$16&gt;=$F32,OT$16&lt;$F32+($G32*$I32)),"➤",""),"")</f>
        <v/>
      </c>
      <c r="OU32" s="76" t="str">
        <f aca="false">IF($I32&gt;0%,IF(AND(OU$16&gt;=$F32,OU$16&lt;$F32+($G32*$I32)),"➤",""),"")</f>
        <v/>
      </c>
      <c r="OV32" s="76" t="str">
        <f aca="false">IF($I32&gt;0%,IF(AND(OV$16&gt;=$F32,OV$16&lt;$F32+($G32*$I32)),"➤",""),"")</f>
        <v/>
      </c>
      <c r="OW32" s="76" t="str">
        <f aca="false">IF($I32&gt;0%,IF(AND(OW$16&gt;=$F32,OW$16&lt;$F32+($G32*$I32)),"➤",""),"")</f>
        <v/>
      </c>
      <c r="OX32" s="76" t="str">
        <f aca="false">IF($I32&gt;0%,IF(AND(OX$16&gt;=$F32,OX$16&lt;$F32+($G32*$I32)),"➤",""),"")</f>
        <v/>
      </c>
      <c r="OY32" s="76" t="str">
        <f aca="false">IF($I32&gt;0%,IF(AND(OY$16&gt;=$F32,OY$16&lt;$F32+($G32*$I32)),"➤",""),"")</f>
        <v/>
      </c>
      <c r="OZ32" s="76" t="str">
        <f aca="false">IF($I32&gt;0%,IF(AND(OZ$16&gt;=$F32,OZ$16&lt;$F32+($G32*$I32)),"➤",""),"")</f>
        <v/>
      </c>
      <c r="PA32" s="76" t="str">
        <f aca="false">IF($I32&gt;0%,IF(AND(PA$16&gt;=$F32,PA$16&lt;$F32+($G32*$I32)),"➤",""),"")</f>
        <v/>
      </c>
      <c r="PB32" s="76" t="str">
        <f aca="false">IF($I32&gt;0%,IF(AND(PB$16&gt;=$F32,PB$16&lt;$F32+($G32*$I32)),"➤",""),"")</f>
        <v/>
      </c>
      <c r="PC32" s="76" t="str">
        <f aca="false">IF($I32&gt;0%,IF(AND(PC$16&gt;=$F32,PC$16&lt;$F32+($G32*$I32)),"➤",""),"")</f>
        <v/>
      </c>
      <c r="PD32" s="76" t="str">
        <f aca="false">IF($I32&gt;0%,IF(AND(PD$16&gt;=$F32,PD$16&lt;$F32+($G32*$I32)),"➤",""),"")</f>
        <v/>
      </c>
      <c r="PE32" s="76" t="str">
        <f aca="false">IF($I32&gt;0%,IF(AND(PE$16&gt;=$F32,PE$16&lt;$F32+($G32*$I32)),"➤",""),"")</f>
        <v/>
      </c>
      <c r="PF32" s="76" t="str">
        <f aca="false">IF($I32&gt;0%,IF(AND(PF$16&gt;=$F32,PF$16&lt;$F32+($G32*$I32)),"➤",""),"")</f>
        <v/>
      </c>
      <c r="PG32" s="76" t="str">
        <f aca="false">IF($I32&gt;0%,IF(AND(PG$16&gt;=$F32,PG$16&lt;$F32+($G32*$I32)),"➤",""),"")</f>
        <v/>
      </c>
      <c r="PH32" s="76" t="str">
        <f aca="false">IF($I32&gt;0%,IF(AND(PH$16&gt;=$F32,PH$16&lt;$F32+($G32*$I32)),"➤",""),"")</f>
        <v/>
      </c>
      <c r="PI32" s="76" t="str">
        <f aca="false">IF($I32&gt;0%,IF(AND(PI$16&gt;=$F32,PI$16&lt;$F32+($G32*$I32)),"➤",""),"")</f>
        <v/>
      </c>
      <c r="PJ32" s="76" t="str">
        <f aca="false">IF($I32&gt;0%,IF(AND(PJ$16&gt;=$F32,PJ$16&lt;$F32+($G32*$I32)),"➤",""),"")</f>
        <v/>
      </c>
      <c r="PK32" s="76" t="str">
        <f aca="false">IF($I32&gt;0%,IF(AND(PK$16&gt;=$F32,PK$16&lt;$F32+($G32*$I32)),"➤",""),"")</f>
        <v/>
      </c>
      <c r="PL32" s="76" t="str">
        <f aca="false">IF($I32&gt;0%,IF(AND(PL$16&gt;=$F32,PL$16&lt;$F32+($G32*$I32)),"➤",""),"")</f>
        <v/>
      </c>
      <c r="PM32" s="76" t="str">
        <f aca="false">IF($I32&gt;0%,IF(AND(PM$16&gt;=$F32,PM$16&lt;$F32+($G32*$I32)),"➤",""),"")</f>
        <v/>
      </c>
      <c r="PN32" s="76" t="str">
        <f aca="false">IF($I32&gt;0%,IF(AND(PN$16&gt;=$F32,PN$16&lt;$F32+($G32*$I32)),"➤",""),"")</f>
        <v/>
      </c>
      <c r="PO32" s="76" t="str">
        <f aca="false">IF($I32&gt;0%,IF(AND(PO$16&gt;=$F32,PO$16&lt;$F32+($G32*$I32)),"➤",""),"")</f>
        <v/>
      </c>
      <c r="PP32" s="76" t="str">
        <f aca="false">IF($I32&gt;0%,IF(AND(PP$16&gt;=$F32,PP$16&lt;$F32+($G32*$I32)),"➤",""),"")</f>
        <v/>
      </c>
      <c r="PQ32" s="76" t="str">
        <f aca="false">IF($I32&gt;0%,IF(AND(PQ$16&gt;=$F32,PQ$16&lt;$F32+($G32*$I32)),"➤",""),"")</f>
        <v/>
      </c>
      <c r="PR32" s="76" t="str">
        <f aca="false">IF($I32&gt;0%,IF(AND(PR$16&gt;=$F32,PR$16&lt;$F32+($G32*$I32)),"➤",""),"")</f>
        <v/>
      </c>
      <c r="PS32" s="76" t="str">
        <f aca="false">IF($I32&gt;0%,IF(AND(PS$16&gt;=$F32,PS$16&lt;$F32+($G32*$I32)),"➤",""),"")</f>
        <v/>
      </c>
      <c r="PT32" s="76" t="str">
        <f aca="false">IF($I32&gt;0%,IF(AND(PT$16&gt;=$F32,PT$16&lt;$F32+($G32*$I32)),"➤",""),"")</f>
        <v/>
      </c>
      <c r="PU32" s="76" t="str">
        <f aca="false">IF($I32&gt;0%,IF(AND(PU$16&gt;=$F32,PU$16&lt;$F32+($G32*$I32)),"➤",""),"")</f>
        <v/>
      </c>
      <c r="PV32" s="76" t="str">
        <f aca="false">IF($I32&gt;0%,IF(AND(PV$16&gt;=$F32,PV$16&lt;$F32+($G32*$I32)),"➤",""),"")</f>
        <v/>
      </c>
      <c r="PW32" s="76" t="str">
        <f aca="false">IF($I32&gt;0%,IF(AND(PW$16&gt;=$F32,PW$16&lt;$F32+($G32*$I32)),"➤",""),"")</f>
        <v/>
      </c>
      <c r="PX32" s="76" t="str">
        <f aca="false">IF($I32&gt;0%,IF(AND(PX$16&gt;=$F32,PX$16&lt;$F32+($G32*$I32)),"➤",""),"")</f>
        <v/>
      </c>
      <c r="PY32" s="76" t="str">
        <f aca="false">IF($I32&gt;0%,IF(AND(PY$16&gt;=$F32,PY$16&lt;$F32+($G32*$I32)),"➤",""),"")</f>
        <v/>
      </c>
      <c r="PZ32" s="76" t="str">
        <f aca="false">IF($I32&gt;0%,IF(AND(PZ$16&gt;=$F32,PZ$16&lt;$F32+($G32*$I32)),"➤",""),"")</f>
        <v/>
      </c>
      <c r="QA32" s="76" t="str">
        <f aca="false">IF($I32&gt;0%,IF(AND(QA$16&gt;=$F32,QA$16&lt;$F32+($G32*$I32)),"➤",""),"")</f>
        <v/>
      </c>
      <c r="QB32" s="76" t="str">
        <f aca="false">IF($I32&gt;0%,IF(AND(QB$16&gt;=$F32,QB$16&lt;$F32+($G32*$I32)),"➤",""),"")</f>
        <v/>
      </c>
      <c r="QC32" s="76" t="str">
        <f aca="false">IF($I32&gt;0%,IF(AND(QC$16&gt;=$F32,QC$16&lt;$F32+($G32*$I32)),"➤",""),"")</f>
        <v/>
      </c>
      <c r="QD32" s="76" t="str">
        <f aca="false">IF($I32&gt;0%,IF(AND(QD$16&gt;=$F32,QD$16&lt;$F32+($G32*$I32)),"➤",""),"")</f>
        <v/>
      </c>
      <c r="QE32" s="76" t="str">
        <f aca="false">IF($I32&gt;0%,IF(AND(QE$16&gt;=$F32,QE$16&lt;$F32+($G32*$I32)),"➤",""),"")</f>
        <v/>
      </c>
      <c r="QF32" s="76" t="str">
        <f aca="false">IF($I32&gt;0%,IF(AND(QF$16&gt;=$F32,QF$16&lt;$F32+($G32*$I32)),"➤",""),"")</f>
        <v/>
      </c>
      <c r="QG32" s="76" t="str">
        <f aca="false">IF($I32&gt;0%,IF(AND(QG$16&gt;=$F32,QG$16&lt;$F32+($G32*$I32)),"➤",""),"")</f>
        <v/>
      </c>
      <c r="QH32" s="76" t="str">
        <f aca="false">IF($I32&gt;0%,IF(AND(QH$16&gt;=$F32,QH$16&lt;$F32+($G32*$I32)),"➤",""),"")</f>
        <v/>
      </c>
      <c r="QI32" s="76" t="str">
        <f aca="false">IF($I32&gt;0%,IF(AND(QI$16&gt;=$F32,QI$16&lt;$F32+($G32*$I32)),"➤",""),"")</f>
        <v/>
      </c>
      <c r="QJ32" s="76" t="str">
        <f aca="false">IF($I32&gt;0%,IF(AND(QJ$16&gt;=$F32,QJ$16&lt;$F32+($G32*$I32)),"➤",""),"")</f>
        <v/>
      </c>
      <c r="QK32" s="76" t="str">
        <f aca="false">IF($I32&gt;0%,IF(AND(QK$16&gt;=$F32,QK$16&lt;$F32+($G32*$I32)),"➤",""),"")</f>
        <v/>
      </c>
      <c r="QL32" s="76" t="str">
        <f aca="false">IF($I32&gt;0%,IF(AND(QL$16&gt;=$F32,QL$16&lt;$F32+($G32*$I32)),"➤",""),"")</f>
        <v/>
      </c>
      <c r="QM32" s="76" t="str">
        <f aca="false">IF($I32&gt;0%,IF(AND(QM$16&gt;=$F32,QM$16&lt;$F32+($G32*$I32)),"➤",""),"")</f>
        <v/>
      </c>
      <c r="QN32" s="76" t="str">
        <f aca="false">IF($I32&gt;0%,IF(AND(QN$16&gt;=$F32,QN$16&lt;$F32+($G32*$I32)),"➤",""),"")</f>
        <v/>
      </c>
      <c r="QO32" s="76" t="str">
        <f aca="false">IF($I32&gt;0%,IF(AND(QO$16&gt;=$F32,QO$16&lt;$F32+($G32*$I32)),"➤",""),"")</f>
        <v/>
      </c>
      <c r="QP32" s="76" t="str">
        <f aca="false">IF($I32&gt;0%,IF(AND(QP$16&gt;=$F32,QP$16&lt;$F32+($G32*$I32)),"➤",""),"")</f>
        <v/>
      </c>
      <c r="QQ32" s="76" t="str">
        <f aca="false">IF($I32&gt;0%,IF(AND(QQ$16&gt;=$F32,QQ$16&lt;$F32+($G32*$I32)),"➤",""),"")</f>
        <v/>
      </c>
      <c r="QR32" s="76" t="str">
        <f aca="false">IF($I32&gt;0%,IF(AND(QR$16&gt;=$F32,QR$16&lt;$F32+($G32*$I32)),"➤",""),"")</f>
        <v/>
      </c>
      <c r="QS32" s="76" t="str">
        <f aca="false">IF($I32&gt;0%,IF(AND(QS$16&gt;=$F32,QS$16&lt;$F32+($G32*$I32)),"➤",""),"")</f>
        <v/>
      </c>
      <c r="QT32" s="76" t="str">
        <f aca="false">IF($I32&gt;0%,IF(AND(QT$16&gt;=$F32,QT$16&lt;$F32+($G32*$I32)),"➤",""),"")</f>
        <v/>
      </c>
      <c r="QU32" s="76" t="str">
        <f aca="false">IF($I32&gt;0%,IF(AND(QU$16&gt;=$F32,QU$16&lt;$F32+($G32*$I32)),"➤",""),"")</f>
        <v/>
      </c>
      <c r="QV32" s="76" t="str">
        <f aca="false">IF($I32&gt;0%,IF(AND(QV$16&gt;=$F32,QV$16&lt;$F32+($G32*$I32)),"➤",""),"")</f>
        <v/>
      </c>
      <c r="QW32" s="76" t="str">
        <f aca="false">IF($I32&gt;0%,IF(AND(QW$16&gt;=$F32,QW$16&lt;$F32+($G32*$I32)),"➤",""),"")</f>
        <v/>
      </c>
      <c r="QX32" s="76" t="str">
        <f aca="false">IF($I32&gt;0%,IF(AND(QX$16&gt;=$F32,QX$16&lt;$F32+($G32*$I32)),"➤",""),"")</f>
        <v/>
      </c>
      <c r="QY32" s="76" t="str">
        <f aca="false">IF($I32&gt;0%,IF(AND(QY$16&gt;=$F32,QY$16&lt;$F32+($G32*$I32)),"➤",""),"")</f>
        <v/>
      </c>
      <c r="QZ32" s="76" t="str">
        <f aca="false">IF($I32&gt;0%,IF(AND(QZ$16&gt;=$F32,QZ$16&lt;$F32+($G32*$I32)),"➤",""),"")</f>
        <v/>
      </c>
      <c r="RA32" s="76" t="str">
        <f aca="false">IF($I32&gt;0%,IF(AND(RA$16&gt;=$F32,RA$16&lt;$F32+($G32*$I32)),"➤",""),"")</f>
        <v/>
      </c>
      <c r="RB32" s="76" t="str">
        <f aca="false">IF($I32&gt;0%,IF(AND(RB$16&gt;=$F32,RB$16&lt;$F32+($G32*$I32)),"➤",""),"")</f>
        <v/>
      </c>
      <c r="RC32" s="76" t="str">
        <f aca="false">IF($I32&gt;0%,IF(AND(RC$16&gt;=$F32,RC$16&lt;$F32+($G32*$I32)),"➤",""),"")</f>
        <v/>
      </c>
      <c r="RD32" s="76" t="str">
        <f aca="false">IF($I32&gt;0%,IF(AND(RD$16&gt;=$F32,RD$16&lt;$F32+($G32*$I32)),"➤",""),"")</f>
        <v/>
      </c>
      <c r="RE32" s="76" t="str">
        <f aca="false">IF($I32&gt;0%,IF(AND(RE$16&gt;=$F32,RE$16&lt;$F32+($G32*$I32)),"➤",""),"")</f>
        <v/>
      </c>
      <c r="RF32" s="76" t="str">
        <f aca="false">IF($I32&gt;0%,IF(AND(RF$16&gt;=$F32,RF$16&lt;$F32+($G32*$I32)),"➤",""),"")</f>
        <v/>
      </c>
      <c r="RG32" s="76" t="str">
        <f aca="false">IF($I32&gt;0%,IF(AND(RG$16&gt;=$F32,RG$16&lt;$F32+($G32*$I32)),"➤",""),"")</f>
        <v/>
      </c>
      <c r="RH32" s="76" t="str">
        <f aca="false">IF($I32&gt;0%,IF(AND(RH$16&gt;=$F32,RH$16&lt;$F32+($G32*$I32)),"➤",""),"")</f>
        <v/>
      </c>
      <c r="RI32" s="76" t="str">
        <f aca="false">IF($I32&gt;0%,IF(AND(RI$16&gt;=$F32,RI$16&lt;$F32+($G32*$I32)),"➤",""),"")</f>
        <v/>
      </c>
      <c r="RJ32" s="76" t="str">
        <f aca="false">IF($I32&gt;0%,IF(AND(RJ$16&gt;=$F32,RJ$16&lt;$F32+($G32*$I32)),"➤",""),"")</f>
        <v/>
      </c>
      <c r="RK32" s="76" t="str">
        <f aca="false">IF($I32&gt;0%,IF(AND(RK$16&gt;=$F32,RK$16&lt;$F32+($G32*$I32)),"➤",""),"")</f>
        <v/>
      </c>
      <c r="RL32" s="76" t="str">
        <f aca="false">IF($I32&gt;0%,IF(AND(RL$16&gt;=$F32,RL$16&lt;$F32+($G32*$I32)),"➤",""),"")</f>
        <v/>
      </c>
      <c r="RM32" s="76" t="str">
        <f aca="false">IF($I32&gt;0%,IF(AND(RM$16&gt;=$F32,RM$16&lt;$F32+($G32*$I32)),"➤",""),"")</f>
        <v/>
      </c>
      <c r="RN32" s="76" t="str">
        <f aca="false">IF($I32&gt;0%,IF(AND(RN$16&gt;=$F32,RN$16&lt;$F32+($G32*$I32)),"➤",""),"")</f>
        <v/>
      </c>
      <c r="RO32" s="76" t="str">
        <f aca="false">IF($I32&gt;0%,IF(AND(RO$16&gt;=$F32,RO$16&lt;$F32+($G32*$I32)),"➤",""),"")</f>
        <v/>
      </c>
      <c r="RP32" s="76" t="str">
        <f aca="false">IF($I32&gt;0%,IF(AND(RP$16&gt;=$F32,RP$16&lt;$F32+($G32*$I32)),"➤",""),"")</f>
        <v/>
      </c>
      <c r="RQ32" s="76" t="str">
        <f aca="false">IF($I32&gt;0%,IF(AND(RQ$16&gt;=$F32,RQ$16&lt;$F32+($G32*$I32)),"➤",""),"")</f>
        <v/>
      </c>
      <c r="RR32" s="76" t="str">
        <f aca="false">IF($I32&gt;0%,IF(AND(RR$16&gt;=$F32,RR$16&lt;$F32+($G32*$I32)),"➤",""),"")</f>
        <v/>
      </c>
      <c r="RS32" s="76" t="str">
        <f aca="false">IF($I32&gt;0%,IF(AND(RS$16&gt;=$F32,RS$16&lt;$F32+($G32*$I32)),"➤",""),"")</f>
        <v/>
      </c>
      <c r="RT32" s="76" t="str">
        <f aca="false">IF($I32&gt;0%,IF(AND(RT$16&gt;=$F32,RT$16&lt;$F32+($G32*$I32)),"➤",""),"")</f>
        <v/>
      </c>
      <c r="RU32" s="76" t="str">
        <f aca="false">IF($I32&gt;0%,IF(AND(RU$16&gt;=$F32,RU$16&lt;$F32+($G32*$I32)),"➤",""),"")</f>
        <v/>
      </c>
      <c r="RV32" s="76" t="str">
        <f aca="false">IF($I32&gt;0%,IF(AND(RV$16&gt;=$F32,RV$16&lt;$F32+($G32*$I32)),"➤",""),"")</f>
        <v/>
      </c>
      <c r="RW32" s="76" t="str">
        <f aca="false">IF($I32&gt;0%,IF(AND(RW$16&gt;=$F32,RW$16&lt;$F32+($G32*$I32)),"➤",""),"")</f>
        <v/>
      </c>
      <c r="RX32" s="76" t="str">
        <f aca="false">IF($I32&gt;0%,IF(AND(RX$16&gt;=$F32,RX$16&lt;$F32+($G32*$I32)),"➤",""),"")</f>
        <v/>
      </c>
      <c r="RY32" s="76" t="str">
        <f aca="false">IF($I32&gt;0%,IF(AND(RY$16&gt;=$F32,RY$16&lt;$F32+($G32*$I32)),"➤",""),"")</f>
        <v/>
      </c>
      <c r="RZ32" s="76" t="str">
        <f aca="false">IF($I32&gt;0%,IF(AND(RZ$16&gt;=$F32,RZ$16&lt;$F32+($G32*$I32)),"➤",""),"")</f>
        <v/>
      </c>
      <c r="SA32" s="76" t="str">
        <f aca="false">IF($I32&gt;0%,IF(AND(SA$16&gt;=$F32,SA$16&lt;$F32+($G32*$I32)),"➤",""),"")</f>
        <v/>
      </c>
      <c r="SB32" s="76" t="str">
        <f aca="false">IF($I32&gt;0%,IF(AND(SB$16&gt;=$F32,SB$16&lt;$F32+($G32*$I32)),"➤",""),"")</f>
        <v/>
      </c>
      <c r="SC32" s="76" t="str">
        <f aca="false">IF($I32&gt;0%,IF(AND(SC$16&gt;=$F32,SC$16&lt;$F32+($G32*$I32)),"➤",""),"")</f>
        <v/>
      </c>
      <c r="SD32" s="76" t="str">
        <f aca="false">IF($I32&gt;0%,IF(AND(SD$16&gt;=$F32,SD$16&lt;$F32+($G32*$I32)),"➤",""),"")</f>
        <v/>
      </c>
      <c r="SE32" s="76" t="str">
        <f aca="false">IF($I32&gt;0%,IF(AND(SE$16&gt;=$F32,SE$16&lt;$F32+($G32*$I32)),"➤",""),"")</f>
        <v/>
      </c>
      <c r="SF32" s="76" t="str">
        <f aca="false">IF($I32&gt;0%,IF(AND(SF$16&gt;=$F32,SF$16&lt;$F32+($G32*$I32)),"➤",""),"")</f>
        <v/>
      </c>
      <c r="SG32" s="76" t="str">
        <f aca="false">IF($I32&gt;0%,IF(AND(SG$16&gt;=$F32,SG$16&lt;$F32+($G32*$I32)),"➤",""),"")</f>
        <v/>
      </c>
      <c r="SH32" s="76" t="str">
        <f aca="false">IF($I32&gt;0%,IF(AND(SH$16&gt;=$F32,SH$16&lt;$F32+($G32*$I32)),"➤",""),"")</f>
        <v/>
      </c>
      <c r="SI32" s="76" t="str">
        <f aca="false">IF($I32&gt;0%,IF(AND(SI$16&gt;=$F32,SI$16&lt;$F32+($G32*$I32)),"➤",""),"")</f>
        <v/>
      </c>
      <c r="SJ32" s="76" t="str">
        <f aca="false">IF($I32&gt;0%,IF(AND(SJ$16&gt;=$F32,SJ$16&lt;$F32+($G32*$I32)),"➤",""),"")</f>
        <v/>
      </c>
      <c r="SK32" s="76" t="str">
        <f aca="false">IF($I32&gt;0%,IF(AND(SK$16&gt;=$F32,SK$16&lt;$F32+($G32*$I32)),"➤",""),"")</f>
        <v/>
      </c>
      <c r="SL32" s="76" t="str">
        <f aca="false">IF($I32&gt;0%,IF(AND(SL$16&gt;=$F32,SL$16&lt;$F32+($G32*$I32)),"➤",""),"")</f>
        <v/>
      </c>
      <c r="SM32" s="76" t="str">
        <f aca="false">IF($I32&gt;0%,IF(AND(SM$16&gt;=$F32,SM$16&lt;$F32+($G32*$I32)),"➤",""),"")</f>
        <v/>
      </c>
      <c r="SN32" s="76" t="str">
        <f aca="false">IF($I32&gt;0%,IF(AND(SN$16&gt;=$F32,SN$16&lt;$F32+($G32*$I32)),"➤",""),"")</f>
        <v/>
      </c>
      <c r="SO32" s="76" t="str">
        <f aca="false">IF($I32&gt;0%,IF(AND(SO$16&gt;=$F32,SO$16&lt;$F32+($G32*$I32)),"➤",""),"")</f>
        <v/>
      </c>
      <c r="SP32" s="76" t="str">
        <f aca="false">IF($I32&gt;0%,IF(AND(SP$16&gt;=$F32,SP$16&lt;$F32+($G32*$I32)),"➤",""),"")</f>
        <v/>
      </c>
      <c r="SQ32" s="76" t="str">
        <f aca="false">IF($I32&gt;0%,IF(AND(SQ$16&gt;=$F32,SQ$16&lt;$F32+($G32*$I32)),"➤",""),"")</f>
        <v/>
      </c>
      <c r="SR32" s="76" t="str">
        <f aca="false">IF($I32&gt;0%,IF(AND(SR$16&gt;=$F32,SR$16&lt;$F32+($G32*$I32)),"➤",""),"")</f>
        <v/>
      </c>
      <c r="SS32" s="76" t="str">
        <f aca="false">IF($I32&gt;0%,IF(AND(SS$16&gt;=$F32,SS$16&lt;$F32+($G32*$I32)),"➤",""),"")</f>
        <v/>
      </c>
      <c r="ST32" s="76" t="str">
        <f aca="false">IF($I32&gt;0%,IF(AND(ST$16&gt;=$F32,ST$16&lt;$F32+($G32*$I32)),"➤",""),"")</f>
        <v/>
      </c>
      <c r="SU32" s="76" t="str">
        <f aca="false">IF($I32&gt;0%,IF(AND(SU$16&gt;=$F32,SU$16&lt;$F32+($G32*$I32)),"➤",""),"")</f>
        <v/>
      </c>
      <c r="SV32" s="76" t="str">
        <f aca="false">IF($I32&gt;0%,IF(AND(SV$16&gt;=$F32,SV$16&lt;$F32+($G32*$I32)),"➤",""),"")</f>
        <v/>
      </c>
      <c r="SW32" s="77" t="str">
        <f aca="false">IF($I32&gt;0%,IF(AND(SW$16&gt;=$F32,SW$16&lt;$F32+($G32*$I32)),"➤",""),"")</f>
        <v/>
      </c>
    </row>
    <row r="33" customFormat="false" ht="14.25" hidden="false" customHeight="false" outlineLevel="1" collapsed="false">
      <c r="C33" s="10"/>
      <c r="D33" s="78"/>
      <c r="E33" s="79"/>
      <c r="F33" s="92" t="n">
        <v>44155</v>
      </c>
      <c r="G33" s="93" t="n">
        <v>4</v>
      </c>
      <c r="H33" s="94" t="n">
        <f aca="false">(F33+G33)-1</f>
        <v>44158</v>
      </c>
      <c r="I33" s="95" t="n">
        <v>0.95</v>
      </c>
      <c r="J33" s="84"/>
      <c r="K33" s="85"/>
      <c r="L33" s="75" t="str">
        <f aca="false">IF($I33&gt;0%,IF(AND(L$16&gt;=$F33,L$16&lt;$F33+($G33*$I33)),"➤",""),"")</f>
        <v/>
      </c>
      <c r="M33" s="76" t="str">
        <f aca="false">IF($I33&gt;0%,IF(AND(M$16&gt;=$F33,M$16&lt;$F33+($G33*$I33)),"➤",""),"")</f>
        <v/>
      </c>
      <c r="N33" s="76" t="str">
        <f aca="false">IF($I33&gt;0%,IF(AND(N$16&gt;=$F33,N$16&lt;$F33+($G33*$I33)),"➤",""),"")</f>
        <v/>
      </c>
      <c r="O33" s="76" t="str">
        <f aca="false">IF($I33&gt;0%,IF(AND(O$16&gt;=$F33,O$16&lt;$F33+($G33*$I33)),"➤",""),"")</f>
        <v/>
      </c>
      <c r="P33" s="76" t="str">
        <f aca="false">IF($I33&gt;0%,IF(AND(P$16&gt;=$F33,P$16&lt;$F33+($G33*$I33)),"➤",""),"")</f>
        <v/>
      </c>
      <c r="Q33" s="76" t="str">
        <f aca="false">IF($I33&gt;0%,IF(AND(Q$16&gt;=$F33,Q$16&lt;$F33+($G33*$I33)),"➤",""),"")</f>
        <v/>
      </c>
      <c r="R33" s="76" t="str">
        <f aca="false">IF($I33&gt;0%,IF(AND(R$16&gt;=$F33,R$16&lt;$F33+($G33*$I33)),"➤",""),"")</f>
        <v/>
      </c>
      <c r="S33" s="76" t="str">
        <f aca="false">IF($I33&gt;0%,IF(AND(S$16&gt;=$F33,S$16&lt;$F33+($G33*$I33)),"➤",""),"")</f>
        <v/>
      </c>
      <c r="T33" s="76" t="str">
        <f aca="false">IF($I33&gt;0%,IF(AND(T$16&gt;=$F33,T$16&lt;$F33+($G33*$I33)),"➤",""),"")</f>
        <v/>
      </c>
      <c r="U33" s="76" t="str">
        <f aca="false">IF($I33&gt;0%,IF(AND(U$16&gt;=$F33,U$16&lt;$F33+($G33*$I33)),"➤",""),"")</f>
        <v/>
      </c>
      <c r="V33" s="76" t="str">
        <f aca="false">IF($I33&gt;0%,IF(AND(V$16&gt;=$F33,V$16&lt;$F33+($G33*$I33)),"➤",""),"")</f>
        <v/>
      </c>
      <c r="W33" s="76" t="str">
        <f aca="false">IF($I33&gt;0%,IF(AND(W$16&gt;=$F33,W$16&lt;$F33+($G33*$I33)),"➤",""),"")</f>
        <v/>
      </c>
      <c r="X33" s="76" t="str">
        <f aca="false">IF($I33&gt;0%,IF(AND(X$16&gt;=$F33,X$16&lt;$F33+($G33*$I33)),"➤",""),"")</f>
        <v/>
      </c>
      <c r="Y33" s="76" t="str">
        <f aca="false">IF($I33&gt;0%,IF(AND(Y$16&gt;=$F33,Y$16&lt;$F33+($G33*$I33)),"➤",""),"")</f>
        <v/>
      </c>
      <c r="Z33" s="76" t="str">
        <f aca="false">IF($I33&gt;0%,IF(AND(Z$16&gt;=$F33,Z$16&lt;$F33+($G33*$I33)),"➤",""),"")</f>
        <v/>
      </c>
      <c r="AA33" s="76" t="str">
        <f aca="false">IF($I33&gt;0%,IF(AND(AA$16&gt;=$F33,AA$16&lt;$F33+($G33*$I33)),"➤",""),"")</f>
        <v/>
      </c>
      <c r="AB33" s="76" t="str">
        <f aca="false">IF($I33&gt;0%,IF(AND(AB$16&gt;=$F33,AB$16&lt;$F33+($G33*$I33)),"➤",""),"")</f>
        <v/>
      </c>
      <c r="AC33" s="76" t="str">
        <f aca="false">IF($I33&gt;0%,IF(AND(AC$16&gt;=$F33,AC$16&lt;$F33+($G33*$I33)),"➤",""),"")</f>
        <v/>
      </c>
      <c r="AD33" s="76" t="str">
        <f aca="false">IF($I33&gt;0%,IF(AND(AD$16&gt;=$F33,AD$16&lt;$F33+($G33*$I33)),"➤",""),"")</f>
        <v/>
      </c>
      <c r="AE33" s="76" t="str">
        <f aca="false">IF($I33&gt;0%,IF(AND(AE$16&gt;=$F33,AE$16&lt;$F33+($G33*$I33)),"➤",""),"")</f>
        <v/>
      </c>
      <c r="AF33" s="76" t="str">
        <f aca="false">IF($I33&gt;0%,IF(AND(AF$16&gt;=$F33,AF$16&lt;$F33+($G33*$I33)),"➤",""),"")</f>
        <v/>
      </c>
      <c r="AG33" s="76" t="str">
        <f aca="false">IF($I33&gt;0%,IF(AND(AG$16&gt;=$F33,AG$16&lt;$F33+($G33*$I33)),"➤",""),"")</f>
        <v/>
      </c>
      <c r="AH33" s="76" t="str">
        <f aca="false">IF($I33&gt;0%,IF(AND(AH$16&gt;=$F33,AH$16&lt;$F33+($G33*$I33)),"➤",""),"")</f>
        <v/>
      </c>
      <c r="AI33" s="76" t="str">
        <f aca="false">IF($I33&gt;0%,IF(AND(AI$16&gt;=$F33,AI$16&lt;$F33+($G33*$I33)),"➤",""),"")</f>
        <v/>
      </c>
      <c r="AJ33" s="76" t="str">
        <f aca="false">IF($I33&gt;0%,IF(AND(AJ$16&gt;=$F33,AJ$16&lt;$F33+($G33*$I33)),"➤",""),"")</f>
        <v/>
      </c>
      <c r="AK33" s="76" t="str">
        <f aca="false">IF($I33&gt;0%,IF(AND(AK$16&gt;=$F33,AK$16&lt;$F33+($G33*$I33)),"➤",""),"")</f>
        <v/>
      </c>
      <c r="AL33" s="76" t="str">
        <f aca="false">IF($I33&gt;0%,IF(AND(AL$16&gt;=$F33,AL$16&lt;$F33+($G33*$I33)),"➤",""),"")</f>
        <v/>
      </c>
      <c r="AM33" s="76" t="str">
        <f aca="false">IF($I33&gt;0%,IF(AND(AM$16&gt;=$F33,AM$16&lt;$F33+($G33*$I33)),"➤",""),"")</f>
        <v/>
      </c>
      <c r="AN33" s="76" t="str">
        <f aca="false">IF($I33&gt;0%,IF(AND(AN$16&gt;=$F33,AN$16&lt;$F33+($G33*$I33)),"➤",""),"")</f>
        <v/>
      </c>
      <c r="AO33" s="76" t="str">
        <f aca="false">IF($I33&gt;0%,IF(AND(AO$16&gt;=$F33,AO$16&lt;$F33+($G33*$I33)),"➤",""),"")</f>
        <v/>
      </c>
      <c r="AP33" s="76" t="str">
        <f aca="false">IF($I33&gt;0%,IF(AND(AP$16&gt;=$F33,AP$16&lt;$F33+($G33*$I33)),"➤",""),"")</f>
        <v/>
      </c>
      <c r="AQ33" s="76" t="str">
        <f aca="false">IF($I33&gt;0%,IF(AND(AQ$16&gt;=$F33,AQ$16&lt;$F33+($G33*$I33)),"➤",""),"")</f>
        <v/>
      </c>
      <c r="AR33" s="76" t="str">
        <f aca="false">IF($I33&gt;0%,IF(AND(AR$16&gt;=$F33,AR$16&lt;$F33+($G33*$I33)),"➤",""),"")</f>
        <v/>
      </c>
      <c r="AS33" s="76" t="str">
        <f aca="false">IF($I33&gt;0%,IF(AND(AS$16&gt;=$F33,AS$16&lt;$F33+($G33*$I33)),"➤",""),"")</f>
        <v/>
      </c>
      <c r="AT33" s="76" t="str">
        <f aca="false">IF($I33&gt;0%,IF(AND(AT$16&gt;=$F33,AT$16&lt;$F33+($G33*$I33)),"➤",""),"")</f>
        <v/>
      </c>
      <c r="AU33" s="76" t="str">
        <f aca="false">IF($I33&gt;0%,IF(AND(AU$16&gt;=$F33,AU$16&lt;$F33+($G33*$I33)),"➤",""),"")</f>
        <v/>
      </c>
      <c r="AV33" s="76" t="str">
        <f aca="false">IF($I33&gt;0%,IF(AND(AV$16&gt;=$F33,AV$16&lt;$F33+($G33*$I33)),"➤",""),"")</f>
        <v/>
      </c>
      <c r="AW33" s="76" t="str">
        <f aca="false">IF($I33&gt;0%,IF(AND(AW$16&gt;=$F33,AW$16&lt;$F33+($G33*$I33)),"➤",""),"")</f>
        <v/>
      </c>
      <c r="AX33" s="76" t="str">
        <f aca="false">IF($I33&gt;0%,IF(AND(AX$16&gt;=$F33,AX$16&lt;$F33+($G33*$I33)),"➤",""),"")</f>
        <v/>
      </c>
      <c r="AY33" s="76" t="str">
        <f aca="false">IF($I33&gt;0%,IF(AND(AY$16&gt;=$F33,AY$16&lt;$F33+($G33*$I33)),"➤",""),"")</f>
        <v/>
      </c>
      <c r="AZ33" s="76" t="str">
        <f aca="false">IF($I33&gt;0%,IF(AND(AZ$16&gt;=$F33,AZ$16&lt;$F33+($G33*$I33)),"➤",""),"")</f>
        <v/>
      </c>
      <c r="BA33" s="76" t="str">
        <f aca="false">IF($I33&gt;0%,IF(AND(BA$16&gt;=$F33,BA$16&lt;$F33+($G33*$I33)),"➤",""),"")</f>
        <v/>
      </c>
      <c r="BB33" s="76" t="str">
        <f aca="false">IF($I33&gt;0%,IF(AND(BB$16&gt;=$F33,BB$16&lt;$F33+($G33*$I33)),"➤",""),"")</f>
        <v/>
      </c>
      <c r="BC33" s="76" t="str">
        <f aca="false">IF($I33&gt;0%,IF(AND(BC$16&gt;=$F33,BC$16&lt;$F33+($G33*$I33)),"➤",""),"")</f>
        <v/>
      </c>
      <c r="BD33" s="76" t="str">
        <f aca="false">IF($I33&gt;0%,IF(AND(BD$16&gt;=$F33,BD$16&lt;$F33+($G33*$I33)),"➤",""),"")</f>
        <v/>
      </c>
      <c r="BE33" s="76" t="str">
        <f aca="false">IF($I33&gt;0%,IF(AND(BE$16&gt;=$F33,BE$16&lt;$F33+($G33*$I33)),"➤",""),"")</f>
        <v/>
      </c>
      <c r="BF33" s="76" t="str">
        <f aca="false">IF($I33&gt;0%,IF(AND(BF$16&gt;=$F33,BF$16&lt;$F33+($G33*$I33)),"➤",""),"")</f>
        <v/>
      </c>
      <c r="BG33" s="76" t="str">
        <f aca="false">IF($I33&gt;0%,IF(AND(BG$16&gt;=$F33,BG$16&lt;$F33+($G33*$I33)),"➤",""),"")</f>
        <v/>
      </c>
      <c r="BH33" s="76" t="str">
        <f aca="false">IF($I33&gt;0%,IF(AND(BH$16&gt;=$F33,BH$16&lt;$F33+($G33*$I33)),"➤",""),"")</f>
        <v/>
      </c>
      <c r="BI33" s="76" t="str">
        <f aca="false">IF($I33&gt;0%,IF(AND(BI$16&gt;=$F33,BI$16&lt;$F33+($G33*$I33)),"➤",""),"")</f>
        <v/>
      </c>
      <c r="BJ33" s="76" t="str">
        <f aca="false">IF($I33&gt;0%,IF(AND(BJ$16&gt;=$F33,BJ$16&lt;$F33+($G33*$I33)),"➤",""),"")</f>
        <v/>
      </c>
      <c r="BK33" s="76" t="str">
        <f aca="false">IF($I33&gt;0%,IF(AND(BK$16&gt;=$F33,BK$16&lt;$F33+($G33*$I33)),"➤",""),"")</f>
        <v/>
      </c>
      <c r="BL33" s="76" t="str">
        <f aca="false">IF($I33&gt;0%,IF(AND(BL$16&gt;=$F33,BL$16&lt;$F33+($G33*$I33)),"➤",""),"")</f>
        <v/>
      </c>
      <c r="BM33" s="76" t="str">
        <f aca="false">IF($I33&gt;0%,IF(AND(BM$16&gt;=$F33,BM$16&lt;$F33+($G33*$I33)),"➤",""),"")</f>
        <v/>
      </c>
      <c r="BN33" s="76" t="str">
        <f aca="false">IF($I33&gt;0%,IF(AND(BN$16&gt;=$F33,BN$16&lt;$F33+($G33*$I33)),"➤",""),"")</f>
        <v/>
      </c>
      <c r="BO33" s="76" t="str">
        <f aca="false">IF($I33&gt;0%,IF(AND(BO$16&gt;=$F33,BO$16&lt;$F33+($G33*$I33)),"➤",""),"")</f>
        <v/>
      </c>
      <c r="BP33" s="76" t="str">
        <f aca="false">IF($I33&gt;0%,IF(AND(BP$16&gt;=$F33,BP$16&lt;$F33+($G33*$I33)),"➤",""),"")</f>
        <v/>
      </c>
      <c r="BQ33" s="76" t="str">
        <f aca="false">IF($I33&gt;0%,IF(AND(BQ$16&gt;=$F33,BQ$16&lt;$F33+($G33*$I33)),"➤",""),"")</f>
        <v/>
      </c>
      <c r="BR33" s="76" t="str">
        <f aca="false">IF($I33&gt;0%,IF(AND(BR$16&gt;=$F33,BR$16&lt;$F33+($G33*$I33)),"➤",""),"")</f>
        <v/>
      </c>
      <c r="BS33" s="76" t="str">
        <f aca="false">IF($I33&gt;0%,IF(AND(BS$16&gt;=$F33,BS$16&lt;$F33+($G33*$I33)),"➤",""),"")</f>
        <v/>
      </c>
      <c r="BT33" s="76" t="str">
        <f aca="false">IF($I33&gt;0%,IF(AND(BT$16&gt;=$F33,BT$16&lt;$F33+($G33*$I33)),"➤",""),"")</f>
        <v/>
      </c>
      <c r="BU33" s="76" t="str">
        <f aca="false">IF($I33&gt;0%,IF(AND(BU$16&gt;=$F33,BU$16&lt;$F33+($G33*$I33)),"➤",""),"")</f>
        <v/>
      </c>
      <c r="BV33" s="76" t="str">
        <f aca="false">IF($I33&gt;0%,IF(AND(BV$16&gt;=$F33,BV$16&lt;$F33+($G33*$I33)),"➤",""),"")</f>
        <v/>
      </c>
      <c r="BW33" s="76" t="str">
        <f aca="false">IF($I33&gt;0%,IF(AND(BW$16&gt;=$F33,BW$16&lt;$F33+($G33*$I33)),"➤",""),"")</f>
        <v/>
      </c>
      <c r="BX33" s="76" t="str">
        <f aca="false">IF($I33&gt;0%,IF(AND(BX$16&gt;=$F33,BX$16&lt;$F33+($G33*$I33)),"➤",""),"")</f>
        <v/>
      </c>
      <c r="BY33" s="76" t="str">
        <f aca="false">IF($I33&gt;0%,IF(AND(BY$16&gt;=$F33,BY$16&lt;$F33+($G33*$I33)),"➤",""),"")</f>
        <v/>
      </c>
      <c r="BZ33" s="76" t="str">
        <f aca="false">IF($I33&gt;0%,IF(AND(BZ$16&gt;=$F33,BZ$16&lt;$F33+($G33*$I33)),"➤",""),"")</f>
        <v/>
      </c>
      <c r="CA33" s="76" t="str">
        <f aca="false">IF($I33&gt;0%,IF(AND(CA$16&gt;=$F33,CA$16&lt;$F33+($G33*$I33)),"➤",""),"")</f>
        <v/>
      </c>
      <c r="CB33" s="76" t="str">
        <f aca="false">IF($I33&gt;0%,IF(AND(CB$16&gt;=$F33,CB$16&lt;$F33+($G33*$I33)),"➤",""),"")</f>
        <v/>
      </c>
      <c r="CC33" s="76" t="str">
        <f aca="false">IF($I33&gt;0%,IF(AND(CC$16&gt;=$F33,CC$16&lt;$F33+($G33*$I33)),"➤",""),"")</f>
        <v/>
      </c>
      <c r="CD33" s="76" t="str">
        <f aca="false">IF($I33&gt;0%,IF(AND(CD$16&gt;=$F33,CD$16&lt;$F33+($G33*$I33)),"➤",""),"")</f>
        <v/>
      </c>
      <c r="CE33" s="76" t="str">
        <f aca="false">IF($I33&gt;0%,IF(AND(CE$16&gt;=$F33,CE$16&lt;$F33+($G33*$I33)),"➤",""),"")</f>
        <v/>
      </c>
      <c r="CF33" s="76" t="str">
        <f aca="false">IF($I33&gt;0%,IF(AND(CF$16&gt;=$F33,CF$16&lt;$F33+($G33*$I33)),"➤",""),"")</f>
        <v/>
      </c>
      <c r="CG33" s="76" t="str">
        <f aca="false">IF($I33&gt;0%,IF(AND(CG$16&gt;=$F33,CG$16&lt;$F33+($G33*$I33)),"➤",""),"")</f>
        <v/>
      </c>
      <c r="CH33" s="76" t="str">
        <f aca="false">IF($I33&gt;0%,IF(AND(CH$16&gt;=$F33,CH$16&lt;$F33+($G33*$I33)),"➤",""),"")</f>
        <v/>
      </c>
      <c r="CI33" s="76" t="str">
        <f aca="false">IF($I33&gt;0%,IF(AND(CI$16&gt;=$F33,CI$16&lt;$F33+($G33*$I33)),"➤",""),"")</f>
        <v/>
      </c>
      <c r="CJ33" s="76" t="str">
        <f aca="false">IF($I33&gt;0%,IF(AND(CJ$16&gt;=$F33,CJ$16&lt;$F33+($G33*$I33)),"➤",""),"")</f>
        <v/>
      </c>
      <c r="CK33" s="76" t="str">
        <f aca="false">IF($I33&gt;0%,IF(AND(CK$16&gt;=$F33,CK$16&lt;$F33+($G33*$I33)),"➤",""),"")</f>
        <v/>
      </c>
      <c r="CL33" s="76" t="str">
        <f aca="false">IF($I33&gt;0%,IF(AND(CL$16&gt;=$F33,CL$16&lt;$F33+($G33*$I33)),"➤",""),"")</f>
        <v/>
      </c>
      <c r="CM33" s="76" t="str">
        <f aca="false">IF($I33&gt;0%,IF(AND(CM$16&gt;=$F33,CM$16&lt;$F33+($G33*$I33)),"➤",""),"")</f>
        <v/>
      </c>
      <c r="CN33" s="76" t="str">
        <f aca="false">IF($I33&gt;0%,IF(AND(CN$16&gt;=$F33,CN$16&lt;$F33+($G33*$I33)),"➤",""),"")</f>
        <v/>
      </c>
      <c r="CO33" s="76" t="str">
        <f aca="false">IF($I33&gt;0%,IF(AND(CO$16&gt;=$F33,CO$16&lt;$F33+($G33*$I33)),"➤",""),"")</f>
        <v/>
      </c>
      <c r="CP33" s="76" t="str">
        <f aca="false">IF($I33&gt;0%,IF(AND(CP$16&gt;=$F33,CP$16&lt;$F33+($G33*$I33)),"➤",""),"")</f>
        <v/>
      </c>
      <c r="CQ33" s="76" t="str">
        <f aca="false">IF($I33&gt;0%,IF(AND(CQ$16&gt;=$F33,CQ$16&lt;$F33+($G33*$I33)),"➤",""),"")</f>
        <v/>
      </c>
      <c r="CR33" s="76" t="str">
        <f aca="false">IF($I33&gt;0%,IF(AND(CR$16&gt;=$F33,CR$16&lt;$F33+($G33*$I33)),"➤",""),"")</f>
        <v/>
      </c>
      <c r="CS33" s="76" t="str">
        <f aca="false">IF($I33&gt;0%,IF(AND(CS$16&gt;=$F33,CS$16&lt;$F33+($G33*$I33)),"➤",""),"")</f>
        <v/>
      </c>
      <c r="CT33" s="76" t="str">
        <f aca="false">IF($I33&gt;0%,IF(AND(CT$16&gt;=$F33,CT$16&lt;$F33+($G33*$I33)),"➤",""),"")</f>
        <v/>
      </c>
      <c r="CU33" s="76" t="str">
        <f aca="false">IF($I33&gt;0%,IF(AND(CU$16&gt;=$F33,CU$16&lt;$F33+($G33*$I33)),"➤",""),"")</f>
        <v/>
      </c>
      <c r="CV33" s="76" t="str">
        <f aca="false">IF($I33&gt;0%,IF(AND(CV$16&gt;=$F33,CV$16&lt;$F33+($G33*$I33)),"➤",""),"")</f>
        <v/>
      </c>
      <c r="CW33" s="76" t="str">
        <f aca="false">IF($I33&gt;0%,IF(AND(CW$16&gt;=$F33,CW$16&lt;$F33+($G33*$I33)),"➤",""),"")</f>
        <v/>
      </c>
      <c r="CX33" s="76" t="str">
        <f aca="false">IF($I33&gt;0%,IF(AND(CX$16&gt;=$F33,CX$16&lt;$F33+($G33*$I33)),"➤",""),"")</f>
        <v/>
      </c>
      <c r="CY33" s="76" t="str">
        <f aca="false">IF($I33&gt;0%,IF(AND(CY$16&gt;=$F33,CY$16&lt;$F33+($G33*$I33)),"➤",""),"")</f>
        <v/>
      </c>
      <c r="CZ33" s="76" t="str">
        <f aca="false">IF($I33&gt;0%,IF(AND(CZ$16&gt;=$F33,CZ$16&lt;$F33+($G33*$I33)),"➤",""),"")</f>
        <v/>
      </c>
      <c r="DA33" s="76" t="str">
        <f aca="false">IF($I33&gt;0%,IF(AND(DA$16&gt;=$F33,DA$16&lt;$F33+($G33*$I33)),"➤",""),"")</f>
        <v/>
      </c>
      <c r="DB33" s="76" t="str">
        <f aca="false">IF($I33&gt;0%,IF(AND(DB$16&gt;=$F33,DB$16&lt;$F33+($G33*$I33)),"➤",""),"")</f>
        <v/>
      </c>
      <c r="DC33" s="76" t="str">
        <f aca="false">IF($I33&gt;0%,IF(AND(DC$16&gt;=$F33,DC$16&lt;$F33+($G33*$I33)),"➤",""),"")</f>
        <v/>
      </c>
      <c r="DD33" s="76" t="str">
        <f aca="false">IF($I33&gt;0%,IF(AND(DD$16&gt;=$F33,DD$16&lt;$F33+($G33*$I33)),"➤",""),"")</f>
        <v/>
      </c>
      <c r="DE33" s="76" t="str">
        <f aca="false">IF($I33&gt;0%,IF(AND(DE$16&gt;=$F33,DE$16&lt;$F33+($G33*$I33)),"➤",""),"")</f>
        <v/>
      </c>
      <c r="DF33" s="76" t="str">
        <f aca="false">IF($I33&gt;0%,IF(AND(DF$16&gt;=$F33,DF$16&lt;$F33+($G33*$I33)),"➤",""),"")</f>
        <v/>
      </c>
      <c r="DG33" s="76" t="str">
        <f aca="false">IF($I33&gt;0%,IF(AND(DG$16&gt;=$F33,DG$16&lt;$F33+($G33*$I33)),"➤",""),"")</f>
        <v/>
      </c>
      <c r="DH33" s="76" t="str">
        <f aca="false">IF($I33&gt;0%,IF(AND(DH$16&gt;=$F33,DH$16&lt;$F33+($G33*$I33)),"➤",""),"")</f>
        <v/>
      </c>
      <c r="DI33" s="76" t="str">
        <f aca="false">IF($I33&gt;0%,IF(AND(DI$16&gt;=$F33,DI$16&lt;$F33+($G33*$I33)),"➤",""),"")</f>
        <v/>
      </c>
      <c r="DJ33" s="76" t="str">
        <f aca="false">IF($I33&gt;0%,IF(AND(DJ$16&gt;=$F33,DJ$16&lt;$F33+($G33*$I33)),"➤",""),"")</f>
        <v/>
      </c>
      <c r="DK33" s="76" t="str">
        <f aca="false">IF($I33&gt;0%,IF(AND(DK$16&gt;=$F33,DK$16&lt;$F33+($G33*$I33)),"➤",""),"")</f>
        <v/>
      </c>
      <c r="DL33" s="76" t="str">
        <f aca="false">IF($I33&gt;0%,IF(AND(DL$16&gt;=$F33,DL$16&lt;$F33+($G33*$I33)),"➤",""),"")</f>
        <v/>
      </c>
      <c r="DM33" s="76" t="str">
        <f aca="false">IF($I33&gt;0%,IF(AND(DM$16&gt;=$F33,DM$16&lt;$F33+($G33*$I33)),"➤",""),"")</f>
        <v/>
      </c>
      <c r="DN33" s="76" t="str">
        <f aca="false">IF($I33&gt;0%,IF(AND(DN$16&gt;=$F33,DN$16&lt;$F33+($G33*$I33)),"➤",""),"")</f>
        <v/>
      </c>
      <c r="DO33" s="76" t="str">
        <f aca="false">IF($I33&gt;0%,IF(AND(DO$16&gt;=$F33,DO$16&lt;$F33+($G33*$I33)),"➤",""),"")</f>
        <v/>
      </c>
      <c r="DP33" s="76" t="str">
        <f aca="false">IF($I33&gt;0%,IF(AND(DP$16&gt;=$F33,DP$16&lt;$F33+($G33*$I33)),"➤",""),"")</f>
        <v/>
      </c>
      <c r="DQ33" s="76" t="str">
        <f aca="false">IF($I33&gt;0%,IF(AND(DQ$16&gt;=$F33,DQ$16&lt;$F33+($G33*$I33)),"➤",""),"")</f>
        <v/>
      </c>
      <c r="DR33" s="76" t="str">
        <f aca="false">IF($I33&gt;0%,IF(AND(DR$16&gt;=$F33,DR$16&lt;$F33+($G33*$I33)),"➤",""),"")</f>
        <v/>
      </c>
      <c r="DS33" s="76" t="str">
        <f aca="false">IF($I33&gt;0%,IF(AND(DS$16&gt;=$F33,DS$16&lt;$F33+($G33*$I33)),"➤",""),"")</f>
        <v/>
      </c>
      <c r="DT33" s="76" t="str">
        <f aca="false">IF($I33&gt;0%,IF(AND(DT$16&gt;=$F33,DT$16&lt;$F33+($G33*$I33)),"➤",""),"")</f>
        <v/>
      </c>
      <c r="DU33" s="76" t="str">
        <f aca="false">IF($I33&gt;0%,IF(AND(DU$16&gt;=$F33,DU$16&lt;$F33+($G33*$I33)),"➤",""),"")</f>
        <v/>
      </c>
      <c r="DV33" s="76" t="str">
        <f aca="false">IF($I33&gt;0%,IF(AND(DV$16&gt;=$F33,DV$16&lt;$F33+($G33*$I33)),"➤",""),"")</f>
        <v/>
      </c>
      <c r="DW33" s="76" t="str">
        <f aca="false">IF($I33&gt;0%,IF(AND(DW$16&gt;=$F33,DW$16&lt;$F33+($G33*$I33)),"➤",""),"")</f>
        <v/>
      </c>
      <c r="DX33" s="76" t="str">
        <f aca="false">IF($I33&gt;0%,IF(AND(DX$16&gt;=$F33,DX$16&lt;$F33+($G33*$I33)),"➤",""),"")</f>
        <v/>
      </c>
      <c r="DY33" s="76" t="str">
        <f aca="false">IF($I33&gt;0%,IF(AND(DY$16&gt;=$F33,DY$16&lt;$F33+($G33*$I33)),"➤",""),"")</f>
        <v/>
      </c>
      <c r="DZ33" s="76" t="str">
        <f aca="false">IF($I33&gt;0%,IF(AND(DZ$16&gt;=$F33,DZ$16&lt;$F33+($G33*$I33)),"➤",""),"")</f>
        <v/>
      </c>
      <c r="EA33" s="76" t="str">
        <f aca="false">IF($I33&gt;0%,IF(AND(EA$16&gt;=$F33,EA$16&lt;$F33+($G33*$I33)),"➤",""),"")</f>
        <v/>
      </c>
      <c r="EB33" s="76" t="str">
        <f aca="false">IF($I33&gt;0%,IF(AND(EB$16&gt;=$F33,EB$16&lt;$F33+($G33*$I33)),"➤",""),"")</f>
        <v/>
      </c>
      <c r="EC33" s="76" t="str">
        <f aca="false">IF($I33&gt;0%,IF(AND(EC$16&gt;=$F33,EC$16&lt;$F33+($G33*$I33)),"➤",""),"")</f>
        <v/>
      </c>
      <c r="ED33" s="76" t="str">
        <f aca="false">IF($I33&gt;0%,IF(AND(ED$16&gt;=$F33,ED$16&lt;$F33+($G33*$I33)),"➤",""),"")</f>
        <v/>
      </c>
      <c r="EE33" s="76" t="str">
        <f aca="false">IF($I33&gt;0%,IF(AND(EE$16&gt;=$F33,EE$16&lt;$F33+($G33*$I33)),"➤",""),"")</f>
        <v/>
      </c>
      <c r="EF33" s="76" t="str">
        <f aca="false">IF($I33&gt;0%,IF(AND(EF$16&gt;=$F33,EF$16&lt;$F33+($G33*$I33)),"➤",""),"")</f>
        <v/>
      </c>
      <c r="EG33" s="76" t="str">
        <f aca="false">IF($I33&gt;0%,IF(AND(EG$16&gt;=$F33,EG$16&lt;$F33+($G33*$I33)),"➤",""),"")</f>
        <v/>
      </c>
      <c r="EH33" s="76" t="str">
        <f aca="false">IF($I33&gt;0%,IF(AND(EH$16&gt;=$F33,EH$16&lt;$F33+($G33*$I33)),"➤",""),"")</f>
        <v/>
      </c>
      <c r="EI33" s="76" t="str">
        <f aca="false">IF($I33&gt;0%,IF(AND(EI$16&gt;=$F33,EI$16&lt;$F33+($G33*$I33)),"➤",""),"")</f>
        <v/>
      </c>
      <c r="EJ33" s="76" t="str">
        <f aca="false">IF($I33&gt;0%,IF(AND(EJ$16&gt;=$F33,EJ$16&lt;$F33+($G33*$I33)),"➤",""),"")</f>
        <v/>
      </c>
      <c r="EK33" s="76" t="str">
        <f aca="false">IF($I33&gt;0%,IF(AND(EK$16&gt;=$F33,EK$16&lt;$F33+($G33*$I33)),"➤",""),"")</f>
        <v/>
      </c>
      <c r="EL33" s="76" t="str">
        <f aca="false">IF($I33&gt;0%,IF(AND(EL$16&gt;=$F33,EL$16&lt;$F33+($G33*$I33)),"➤",""),"")</f>
        <v/>
      </c>
      <c r="EM33" s="76" t="str">
        <f aca="false">IF($I33&gt;0%,IF(AND(EM$16&gt;=$F33,EM$16&lt;$F33+($G33*$I33)),"➤",""),"")</f>
        <v/>
      </c>
      <c r="EN33" s="76" t="str">
        <f aca="false">IF($I33&gt;0%,IF(AND(EN$16&gt;=$F33,EN$16&lt;$F33+($G33*$I33)),"➤",""),"")</f>
        <v/>
      </c>
      <c r="EO33" s="76" t="str">
        <f aca="false">IF($I33&gt;0%,IF(AND(EO$16&gt;=$F33,EO$16&lt;$F33+($G33*$I33)),"➤",""),"")</f>
        <v/>
      </c>
      <c r="EP33" s="76" t="str">
        <f aca="false">IF($I33&gt;0%,IF(AND(EP$16&gt;=$F33,EP$16&lt;$F33+($G33*$I33)),"➤",""),"")</f>
        <v/>
      </c>
      <c r="EQ33" s="76" t="str">
        <f aca="false">IF($I33&gt;0%,IF(AND(EQ$16&gt;=$F33,EQ$16&lt;$F33+($G33*$I33)),"➤",""),"")</f>
        <v/>
      </c>
      <c r="ER33" s="76" t="str">
        <f aca="false">IF($I33&gt;0%,IF(AND(ER$16&gt;=$F33,ER$16&lt;$F33+($G33*$I33)),"➤",""),"")</f>
        <v/>
      </c>
      <c r="ES33" s="76" t="str">
        <f aca="false">IF($I33&gt;0%,IF(AND(ES$16&gt;=$F33,ES$16&lt;$F33+($G33*$I33)),"➤",""),"")</f>
        <v/>
      </c>
      <c r="ET33" s="76" t="str">
        <f aca="false">IF($I33&gt;0%,IF(AND(ET$16&gt;=$F33,ET$16&lt;$F33+($G33*$I33)),"➤",""),"")</f>
        <v/>
      </c>
      <c r="EU33" s="76" t="str">
        <f aca="false">IF($I33&gt;0%,IF(AND(EU$16&gt;=$F33,EU$16&lt;$F33+($G33*$I33)),"➤",""),"")</f>
        <v/>
      </c>
      <c r="EV33" s="76" t="str">
        <f aca="false">IF($I33&gt;0%,IF(AND(EV$16&gt;=$F33,EV$16&lt;$F33+($G33*$I33)),"➤",""),"")</f>
        <v/>
      </c>
      <c r="EW33" s="76" t="str">
        <f aca="false">IF($I33&gt;0%,IF(AND(EW$16&gt;=$F33,EW$16&lt;$F33+($G33*$I33)),"➤",""),"")</f>
        <v/>
      </c>
      <c r="EX33" s="76" t="str">
        <f aca="false">IF($I33&gt;0%,IF(AND(EX$16&gt;=$F33,EX$16&lt;$F33+($G33*$I33)),"➤",""),"")</f>
        <v/>
      </c>
      <c r="EY33" s="76" t="str">
        <f aca="false">IF($I33&gt;0%,IF(AND(EY$16&gt;=$F33,EY$16&lt;$F33+($G33*$I33)),"➤",""),"")</f>
        <v/>
      </c>
      <c r="EZ33" s="76" t="str">
        <f aca="false">IF($I33&gt;0%,IF(AND(EZ$16&gt;=$F33,EZ$16&lt;$F33+($G33*$I33)),"➤",""),"")</f>
        <v/>
      </c>
      <c r="FA33" s="76" t="str">
        <f aca="false">IF($I33&gt;0%,IF(AND(FA$16&gt;=$F33,FA$16&lt;$F33+($G33*$I33)),"➤",""),"")</f>
        <v/>
      </c>
      <c r="FB33" s="76" t="str">
        <f aca="false">IF($I33&gt;0%,IF(AND(FB$16&gt;=$F33,FB$16&lt;$F33+($G33*$I33)),"➤",""),"")</f>
        <v/>
      </c>
      <c r="FC33" s="76" t="str">
        <f aca="false">IF($I33&gt;0%,IF(AND(FC$16&gt;=$F33,FC$16&lt;$F33+($G33*$I33)),"➤",""),"")</f>
        <v/>
      </c>
      <c r="FD33" s="76" t="str">
        <f aca="false">IF($I33&gt;0%,IF(AND(FD$16&gt;=$F33,FD$16&lt;$F33+($G33*$I33)),"➤",""),"")</f>
        <v/>
      </c>
      <c r="FE33" s="76" t="str">
        <f aca="false">IF($I33&gt;0%,IF(AND(FE$16&gt;=$F33,FE$16&lt;$F33+($G33*$I33)),"➤",""),"")</f>
        <v/>
      </c>
      <c r="FF33" s="76" t="str">
        <f aca="false">IF($I33&gt;0%,IF(AND(FF$16&gt;=$F33,FF$16&lt;$F33+($G33*$I33)),"➤",""),"")</f>
        <v/>
      </c>
      <c r="FG33" s="76" t="str">
        <f aca="false">IF($I33&gt;0%,IF(AND(FG$16&gt;=$F33,FG$16&lt;$F33+($G33*$I33)),"➤",""),"")</f>
        <v/>
      </c>
      <c r="FH33" s="76" t="str">
        <f aca="false">IF($I33&gt;0%,IF(AND(FH$16&gt;=$F33,FH$16&lt;$F33+($G33*$I33)),"➤",""),"")</f>
        <v/>
      </c>
      <c r="FI33" s="76" t="str">
        <f aca="false">IF($I33&gt;0%,IF(AND(FI$16&gt;=$F33,FI$16&lt;$F33+($G33*$I33)),"➤",""),"")</f>
        <v/>
      </c>
      <c r="FJ33" s="76" t="str">
        <f aca="false">IF($I33&gt;0%,IF(AND(FJ$16&gt;=$F33,FJ$16&lt;$F33+($G33*$I33)),"➤",""),"")</f>
        <v/>
      </c>
      <c r="FK33" s="76" t="str">
        <f aca="false">IF($I33&gt;0%,IF(AND(FK$16&gt;=$F33,FK$16&lt;$F33+($G33*$I33)),"➤",""),"")</f>
        <v/>
      </c>
      <c r="FL33" s="76" t="str">
        <f aca="false">IF($I33&gt;0%,IF(AND(FL$16&gt;=$F33,FL$16&lt;$F33+($G33*$I33)),"➤",""),"")</f>
        <v/>
      </c>
      <c r="FM33" s="76" t="str">
        <f aca="false">IF($I33&gt;0%,IF(AND(FM$16&gt;=$F33,FM$16&lt;$F33+($G33*$I33)),"➤",""),"")</f>
        <v/>
      </c>
      <c r="FN33" s="76" t="str">
        <f aca="false">IF($I33&gt;0%,IF(AND(FN$16&gt;=$F33,FN$16&lt;$F33+($G33*$I33)),"➤",""),"")</f>
        <v/>
      </c>
      <c r="FO33" s="76" t="str">
        <f aca="false">IF($I33&gt;0%,IF(AND(FO$16&gt;=$F33,FO$16&lt;$F33+($G33*$I33)),"➤",""),"")</f>
        <v/>
      </c>
      <c r="FP33" s="76" t="str">
        <f aca="false">IF($I33&gt;0%,IF(AND(FP$16&gt;=$F33,FP$16&lt;$F33+($G33*$I33)),"➤",""),"")</f>
        <v/>
      </c>
      <c r="FQ33" s="76" t="str">
        <f aca="false">IF($I33&gt;0%,IF(AND(FQ$16&gt;=$F33,FQ$16&lt;$F33+($G33*$I33)),"➤",""),"")</f>
        <v/>
      </c>
      <c r="FR33" s="76" t="str">
        <f aca="false">IF($I33&gt;0%,IF(AND(FR$16&gt;=$F33,FR$16&lt;$F33+($G33*$I33)),"➤",""),"")</f>
        <v/>
      </c>
      <c r="FS33" s="76" t="str">
        <f aca="false">IF($I33&gt;0%,IF(AND(FS$16&gt;=$F33,FS$16&lt;$F33+($G33*$I33)),"➤",""),"")</f>
        <v/>
      </c>
      <c r="FT33" s="76" t="str">
        <f aca="false">IF($I33&gt;0%,IF(AND(FT$16&gt;=$F33,FT$16&lt;$F33+($G33*$I33)),"➤",""),"")</f>
        <v/>
      </c>
      <c r="FU33" s="76" t="str">
        <f aca="false">IF($I33&gt;0%,IF(AND(FU$16&gt;=$F33,FU$16&lt;$F33+($G33*$I33)),"➤",""),"")</f>
        <v/>
      </c>
      <c r="FV33" s="76" t="str">
        <f aca="false">IF($I33&gt;0%,IF(AND(FV$16&gt;=$F33,FV$16&lt;$F33+($G33*$I33)),"➤",""),"")</f>
        <v/>
      </c>
      <c r="FW33" s="76" t="str">
        <f aca="false">IF($I33&gt;0%,IF(AND(FW$16&gt;=$F33,FW$16&lt;$F33+($G33*$I33)),"➤",""),"")</f>
        <v/>
      </c>
      <c r="FX33" s="76" t="str">
        <f aca="false">IF($I33&gt;0%,IF(AND(FX$16&gt;=$F33,FX$16&lt;$F33+($G33*$I33)),"➤",""),"")</f>
        <v/>
      </c>
      <c r="FY33" s="76" t="str">
        <f aca="false">IF($I33&gt;0%,IF(AND(FY$16&gt;=$F33,FY$16&lt;$F33+($G33*$I33)),"➤",""),"")</f>
        <v/>
      </c>
      <c r="FZ33" s="76" t="str">
        <f aca="false">IF($I33&gt;0%,IF(AND(FZ$16&gt;=$F33,FZ$16&lt;$F33+($G33*$I33)),"➤",""),"")</f>
        <v/>
      </c>
      <c r="GA33" s="76" t="str">
        <f aca="false">IF($I33&gt;0%,IF(AND(GA$16&gt;=$F33,GA$16&lt;$F33+($G33*$I33)),"➤",""),"")</f>
        <v/>
      </c>
      <c r="GB33" s="76" t="str">
        <f aca="false">IF($I33&gt;0%,IF(AND(GB$16&gt;=$F33,GB$16&lt;$F33+($G33*$I33)),"➤",""),"")</f>
        <v/>
      </c>
      <c r="GC33" s="76" t="str">
        <f aca="false">IF($I33&gt;0%,IF(AND(GC$16&gt;=$F33,GC$16&lt;$F33+($G33*$I33)),"➤",""),"")</f>
        <v/>
      </c>
      <c r="GD33" s="76" t="str">
        <f aca="false">IF($I33&gt;0%,IF(AND(GD$16&gt;=$F33,GD$16&lt;$F33+($G33*$I33)),"➤",""),"")</f>
        <v/>
      </c>
      <c r="GE33" s="76" t="str">
        <f aca="false">IF($I33&gt;0%,IF(AND(GE$16&gt;=$F33,GE$16&lt;$F33+($G33*$I33)),"➤",""),"")</f>
        <v/>
      </c>
      <c r="GF33" s="76" t="str">
        <f aca="false">IF($I33&gt;0%,IF(AND(GF$16&gt;=$F33,GF$16&lt;$F33+($G33*$I33)),"➤",""),"")</f>
        <v/>
      </c>
      <c r="GG33" s="76" t="str">
        <f aca="false">IF($I33&gt;0%,IF(AND(GG$16&gt;=$F33,GG$16&lt;$F33+($G33*$I33)),"➤",""),"")</f>
        <v/>
      </c>
      <c r="GH33" s="76" t="str">
        <f aca="false">IF($I33&gt;0%,IF(AND(GH$16&gt;=$F33,GH$16&lt;$F33+($G33*$I33)),"➤",""),"")</f>
        <v/>
      </c>
      <c r="GI33" s="76" t="str">
        <f aca="false">IF($I33&gt;0%,IF(AND(GI$16&gt;=$F33,GI$16&lt;$F33+($G33*$I33)),"➤",""),"")</f>
        <v/>
      </c>
      <c r="GJ33" s="76" t="str">
        <f aca="false">IF($I33&gt;0%,IF(AND(GJ$16&gt;=$F33,GJ$16&lt;$F33+($G33*$I33)),"➤",""),"")</f>
        <v/>
      </c>
      <c r="GK33" s="76" t="str">
        <f aca="false">IF($I33&gt;0%,IF(AND(GK$16&gt;=$F33,GK$16&lt;$F33+($G33*$I33)),"➤",""),"")</f>
        <v/>
      </c>
      <c r="GL33" s="76" t="str">
        <f aca="false">IF($I33&gt;0%,IF(AND(GL$16&gt;=$F33,GL$16&lt;$F33+($G33*$I33)),"➤",""),"")</f>
        <v/>
      </c>
      <c r="GM33" s="76" t="str">
        <f aca="false">IF($I33&gt;0%,IF(AND(GM$16&gt;=$F33,GM$16&lt;$F33+($G33*$I33)),"➤",""),"")</f>
        <v/>
      </c>
      <c r="GN33" s="76" t="str">
        <f aca="false">IF($I33&gt;0%,IF(AND(GN$16&gt;=$F33,GN$16&lt;$F33+($G33*$I33)),"➤",""),"")</f>
        <v/>
      </c>
      <c r="GO33" s="76" t="str">
        <f aca="false">IF($I33&gt;0%,IF(AND(GO$16&gt;=$F33,GO$16&lt;$F33+($G33*$I33)),"➤",""),"")</f>
        <v/>
      </c>
      <c r="GP33" s="76" t="str">
        <f aca="false">IF($I33&gt;0%,IF(AND(GP$16&gt;=$F33,GP$16&lt;$F33+($G33*$I33)),"➤",""),"")</f>
        <v/>
      </c>
      <c r="GQ33" s="76" t="str">
        <f aca="false">IF($I33&gt;0%,IF(AND(GQ$16&gt;=$F33,GQ$16&lt;$F33+($G33*$I33)),"➤",""),"")</f>
        <v/>
      </c>
      <c r="GR33" s="76" t="str">
        <f aca="false">IF($I33&gt;0%,IF(AND(GR$16&gt;=$F33,GR$16&lt;$F33+($G33*$I33)),"➤",""),"")</f>
        <v/>
      </c>
      <c r="GS33" s="76" t="str">
        <f aca="false">IF($I33&gt;0%,IF(AND(GS$16&gt;=$F33,GS$16&lt;$F33+($G33*$I33)),"➤",""),"")</f>
        <v/>
      </c>
      <c r="GT33" s="76" t="str">
        <f aca="false">IF($I33&gt;0%,IF(AND(GT$16&gt;=$F33,GT$16&lt;$F33+($G33*$I33)),"➤",""),"")</f>
        <v/>
      </c>
      <c r="GU33" s="76" t="str">
        <f aca="false">IF($I33&gt;0%,IF(AND(GU$16&gt;=$F33,GU$16&lt;$F33+($G33*$I33)),"➤",""),"")</f>
        <v/>
      </c>
      <c r="GV33" s="76" t="str">
        <f aca="false">IF($I33&gt;0%,IF(AND(GV$16&gt;=$F33,GV$16&lt;$F33+($G33*$I33)),"➤",""),"")</f>
        <v/>
      </c>
      <c r="GW33" s="76" t="str">
        <f aca="false">IF($I33&gt;0%,IF(AND(GW$16&gt;=$F33,GW$16&lt;$F33+($G33*$I33)),"➤",""),"")</f>
        <v/>
      </c>
      <c r="GX33" s="76" t="str">
        <f aca="false">IF($I33&gt;0%,IF(AND(GX$16&gt;=$F33,GX$16&lt;$F33+($G33*$I33)),"➤",""),"")</f>
        <v/>
      </c>
      <c r="GY33" s="76" t="str">
        <f aca="false">IF($I33&gt;0%,IF(AND(GY$16&gt;=$F33,GY$16&lt;$F33+($G33*$I33)),"➤",""),"")</f>
        <v/>
      </c>
      <c r="GZ33" s="76" t="str">
        <f aca="false">IF($I33&gt;0%,IF(AND(GZ$16&gt;=$F33,GZ$16&lt;$F33+($G33*$I33)),"➤",""),"")</f>
        <v/>
      </c>
      <c r="HA33" s="76" t="str">
        <f aca="false">IF($I33&gt;0%,IF(AND(HA$16&gt;=$F33,HA$16&lt;$F33+($G33*$I33)),"➤",""),"")</f>
        <v/>
      </c>
      <c r="HB33" s="76" t="str">
        <f aca="false">IF($I33&gt;0%,IF(AND(HB$16&gt;=$F33,HB$16&lt;$F33+($G33*$I33)),"➤",""),"")</f>
        <v/>
      </c>
      <c r="HC33" s="76" t="str">
        <f aca="false">IF($I33&gt;0%,IF(AND(HC$16&gt;=$F33,HC$16&lt;$F33+($G33*$I33)),"➤",""),"")</f>
        <v/>
      </c>
      <c r="HD33" s="76" t="str">
        <f aca="false">IF($I33&gt;0%,IF(AND(HD$16&gt;=$F33,HD$16&lt;$F33+($G33*$I33)),"➤",""),"")</f>
        <v/>
      </c>
      <c r="HE33" s="76" t="str">
        <f aca="false">IF($I33&gt;0%,IF(AND(HE$16&gt;=$F33,HE$16&lt;$F33+($G33*$I33)),"➤",""),"")</f>
        <v/>
      </c>
      <c r="HF33" s="76" t="str">
        <f aca="false">IF($I33&gt;0%,IF(AND(HF$16&gt;=$F33,HF$16&lt;$F33+($G33*$I33)),"➤",""),"")</f>
        <v/>
      </c>
      <c r="HG33" s="76" t="str">
        <f aca="false">IF($I33&gt;0%,IF(AND(HG$16&gt;=$F33,HG$16&lt;$F33+($G33*$I33)),"➤",""),"")</f>
        <v/>
      </c>
      <c r="HH33" s="76" t="str">
        <f aca="false">IF($I33&gt;0%,IF(AND(HH$16&gt;=$F33,HH$16&lt;$F33+($G33*$I33)),"➤",""),"")</f>
        <v/>
      </c>
      <c r="HI33" s="76" t="str">
        <f aca="false">IF($I33&gt;0%,IF(AND(HI$16&gt;=$F33,HI$16&lt;$F33+($G33*$I33)),"➤",""),"")</f>
        <v/>
      </c>
      <c r="HJ33" s="76" t="str">
        <f aca="false">IF($I33&gt;0%,IF(AND(HJ$16&gt;=$F33,HJ$16&lt;$F33+($G33*$I33)),"➤",""),"")</f>
        <v/>
      </c>
      <c r="HK33" s="76" t="str">
        <f aca="false">IF($I33&gt;0%,IF(AND(HK$16&gt;=$F33,HK$16&lt;$F33+($G33*$I33)),"➤",""),"")</f>
        <v/>
      </c>
      <c r="HL33" s="76" t="str">
        <f aca="false">IF($I33&gt;0%,IF(AND(HL$16&gt;=$F33,HL$16&lt;$F33+($G33*$I33)),"➤",""),"")</f>
        <v/>
      </c>
      <c r="HM33" s="76" t="str">
        <f aca="false">IF($I33&gt;0%,IF(AND(HM$16&gt;=$F33,HM$16&lt;$F33+($G33*$I33)),"➤",""),"")</f>
        <v/>
      </c>
      <c r="HN33" s="76" t="str">
        <f aca="false">IF($I33&gt;0%,IF(AND(HN$16&gt;=$F33,HN$16&lt;$F33+($G33*$I33)),"➤",""),"")</f>
        <v/>
      </c>
      <c r="HO33" s="76" t="str">
        <f aca="false">IF($I33&gt;0%,IF(AND(HO$16&gt;=$F33,HO$16&lt;$F33+($G33*$I33)),"➤",""),"")</f>
        <v/>
      </c>
      <c r="HP33" s="76" t="str">
        <f aca="false">IF($I33&gt;0%,IF(AND(HP$16&gt;=$F33,HP$16&lt;$F33+($G33*$I33)),"➤",""),"")</f>
        <v/>
      </c>
      <c r="HQ33" s="76" t="str">
        <f aca="false">IF($I33&gt;0%,IF(AND(HQ$16&gt;=$F33,HQ$16&lt;$F33+($G33*$I33)),"➤",""),"")</f>
        <v/>
      </c>
      <c r="HR33" s="76" t="str">
        <f aca="false">IF($I33&gt;0%,IF(AND(HR$16&gt;=$F33,HR$16&lt;$F33+($G33*$I33)),"➤",""),"")</f>
        <v/>
      </c>
      <c r="HS33" s="76" t="str">
        <f aca="false">IF($I33&gt;0%,IF(AND(HS$16&gt;=$F33,HS$16&lt;$F33+($G33*$I33)),"➤",""),"")</f>
        <v/>
      </c>
      <c r="HT33" s="76" t="str">
        <f aca="false">IF($I33&gt;0%,IF(AND(HT$16&gt;=$F33,HT$16&lt;$F33+($G33*$I33)),"➤",""),"")</f>
        <v/>
      </c>
      <c r="HU33" s="76" t="str">
        <f aca="false">IF($I33&gt;0%,IF(AND(HU$16&gt;=$F33,HU$16&lt;$F33+($G33*$I33)),"➤",""),"")</f>
        <v/>
      </c>
      <c r="HV33" s="76" t="str">
        <f aca="false">IF($I33&gt;0%,IF(AND(HV$16&gt;=$F33,HV$16&lt;$F33+($G33*$I33)),"➤",""),"")</f>
        <v/>
      </c>
      <c r="HW33" s="76" t="str">
        <f aca="false">IF($I33&gt;0%,IF(AND(HW$16&gt;=$F33,HW$16&lt;$F33+($G33*$I33)),"➤",""),"")</f>
        <v/>
      </c>
      <c r="HX33" s="76" t="str">
        <f aca="false">IF($I33&gt;0%,IF(AND(HX$16&gt;=$F33,HX$16&lt;$F33+($G33*$I33)),"➤",""),"")</f>
        <v/>
      </c>
      <c r="HY33" s="76" t="str">
        <f aca="false">IF($I33&gt;0%,IF(AND(HY$16&gt;=$F33,HY$16&lt;$F33+($G33*$I33)),"➤",""),"")</f>
        <v/>
      </c>
      <c r="HZ33" s="76" t="str">
        <f aca="false">IF($I33&gt;0%,IF(AND(HZ$16&gt;=$F33,HZ$16&lt;$F33+($G33*$I33)),"➤",""),"")</f>
        <v/>
      </c>
      <c r="IA33" s="76" t="str">
        <f aca="false">IF($I33&gt;0%,IF(AND(IA$16&gt;=$F33,IA$16&lt;$F33+($G33*$I33)),"➤",""),"")</f>
        <v/>
      </c>
      <c r="IB33" s="76" t="str">
        <f aca="false">IF($I33&gt;0%,IF(AND(IB$16&gt;=$F33,IB$16&lt;$F33+($G33*$I33)),"➤",""),"")</f>
        <v/>
      </c>
      <c r="IC33" s="76" t="str">
        <f aca="false">IF($I33&gt;0%,IF(AND(IC$16&gt;=$F33,IC$16&lt;$F33+($G33*$I33)),"➤",""),"")</f>
        <v/>
      </c>
      <c r="ID33" s="76" t="str">
        <f aca="false">IF($I33&gt;0%,IF(AND(ID$16&gt;=$F33,ID$16&lt;$F33+($G33*$I33)),"➤",""),"")</f>
        <v/>
      </c>
      <c r="IE33" s="76" t="str">
        <f aca="false">IF($I33&gt;0%,IF(AND(IE$16&gt;=$F33,IE$16&lt;$F33+($G33*$I33)),"➤",""),"")</f>
        <v/>
      </c>
      <c r="IF33" s="76" t="str">
        <f aca="false">IF($I33&gt;0%,IF(AND(IF$16&gt;=$F33,IF$16&lt;$F33+($G33*$I33)),"➤",""),"")</f>
        <v/>
      </c>
      <c r="IG33" s="76" t="str">
        <f aca="false">IF($I33&gt;0%,IF(AND(IG$16&gt;=$F33,IG$16&lt;$F33+($G33*$I33)),"➤",""),"")</f>
        <v/>
      </c>
      <c r="IH33" s="76" t="str">
        <f aca="false">IF($I33&gt;0%,IF(AND(IH$16&gt;=$F33,IH$16&lt;$F33+($G33*$I33)),"➤",""),"")</f>
        <v/>
      </c>
      <c r="II33" s="76" t="str">
        <f aca="false">IF($I33&gt;0%,IF(AND(II$16&gt;=$F33,II$16&lt;$F33+($G33*$I33)),"➤",""),"")</f>
        <v/>
      </c>
      <c r="IJ33" s="76" t="str">
        <f aca="false">IF($I33&gt;0%,IF(AND(IJ$16&gt;=$F33,IJ$16&lt;$F33+($G33*$I33)),"➤",""),"")</f>
        <v/>
      </c>
      <c r="IK33" s="76" t="str">
        <f aca="false">IF($I33&gt;0%,IF(AND(IK$16&gt;=$F33,IK$16&lt;$F33+($G33*$I33)),"➤",""),"")</f>
        <v/>
      </c>
      <c r="IL33" s="76" t="str">
        <f aca="false">IF($I33&gt;0%,IF(AND(IL$16&gt;=$F33,IL$16&lt;$F33+($G33*$I33)),"➤",""),"")</f>
        <v/>
      </c>
      <c r="IM33" s="76" t="str">
        <f aca="false">IF($I33&gt;0%,IF(AND(IM$16&gt;=$F33,IM$16&lt;$F33+($G33*$I33)),"➤",""),"")</f>
        <v/>
      </c>
      <c r="IN33" s="76" t="str">
        <f aca="false">IF($I33&gt;0%,IF(AND(IN$16&gt;=$F33,IN$16&lt;$F33+($G33*$I33)),"➤",""),"")</f>
        <v/>
      </c>
      <c r="IO33" s="76" t="str">
        <f aca="false">IF($I33&gt;0%,IF(AND(IO$16&gt;=$F33,IO$16&lt;$F33+($G33*$I33)),"➤",""),"")</f>
        <v/>
      </c>
      <c r="IP33" s="76" t="str">
        <f aca="false">IF($I33&gt;0%,IF(AND(IP$16&gt;=$F33,IP$16&lt;$F33+($G33*$I33)),"➤",""),"")</f>
        <v/>
      </c>
      <c r="IQ33" s="76" t="str">
        <f aca="false">IF($I33&gt;0%,IF(AND(IQ$16&gt;=$F33,IQ$16&lt;$F33+($G33*$I33)),"➤",""),"")</f>
        <v/>
      </c>
      <c r="IR33" s="76" t="str">
        <f aca="false">IF($I33&gt;0%,IF(AND(IR$16&gt;=$F33,IR$16&lt;$F33+($G33*$I33)),"➤",""),"")</f>
        <v/>
      </c>
      <c r="IS33" s="76" t="str">
        <f aca="false">IF($I33&gt;0%,IF(AND(IS$16&gt;=$F33,IS$16&lt;$F33+($G33*$I33)),"➤",""),"")</f>
        <v/>
      </c>
      <c r="IT33" s="76" t="str">
        <f aca="false">IF($I33&gt;0%,IF(AND(IT$16&gt;=$F33,IT$16&lt;$F33+($G33*$I33)),"➤",""),"")</f>
        <v/>
      </c>
      <c r="IU33" s="76" t="str">
        <f aca="false">IF($I33&gt;0%,IF(AND(IU$16&gt;=$F33,IU$16&lt;$F33+($G33*$I33)),"➤",""),"")</f>
        <v/>
      </c>
      <c r="IV33" s="76" t="str">
        <f aca="false">IF($I33&gt;0%,IF(AND(IV$16&gt;=$F33,IV$16&lt;$F33+($G33*$I33)),"➤",""),"")</f>
        <v/>
      </c>
      <c r="IW33" s="76" t="str">
        <f aca="false">IF($I33&gt;0%,IF(AND(IW$16&gt;=$F33,IW$16&lt;$F33+($G33*$I33)),"➤",""),"")</f>
        <v/>
      </c>
      <c r="IX33" s="76" t="str">
        <f aca="false">IF($I33&gt;0%,IF(AND(IX$16&gt;=$F33,IX$16&lt;$F33+($G33*$I33)),"➤",""),"")</f>
        <v/>
      </c>
      <c r="IY33" s="76" t="str">
        <f aca="false">IF($I33&gt;0%,IF(AND(IY$16&gt;=$F33,IY$16&lt;$F33+($G33*$I33)),"➤",""),"")</f>
        <v/>
      </c>
      <c r="IZ33" s="76" t="str">
        <f aca="false">IF($I33&gt;0%,IF(AND(IZ$16&gt;=$F33,IZ$16&lt;$F33+($G33*$I33)),"➤",""),"")</f>
        <v/>
      </c>
      <c r="JA33" s="76" t="str">
        <f aca="false">IF($I33&gt;0%,IF(AND(JA$16&gt;=$F33,JA$16&lt;$F33+($G33*$I33)),"➤",""),"")</f>
        <v/>
      </c>
      <c r="JB33" s="76" t="str">
        <f aca="false">IF($I33&gt;0%,IF(AND(JB$16&gt;=$F33,JB$16&lt;$F33+($G33*$I33)),"➤",""),"")</f>
        <v/>
      </c>
      <c r="JC33" s="76" t="str">
        <f aca="false">IF($I33&gt;0%,IF(AND(JC$16&gt;=$F33,JC$16&lt;$F33+($G33*$I33)),"➤",""),"")</f>
        <v/>
      </c>
      <c r="JD33" s="76" t="str">
        <f aca="false">IF($I33&gt;0%,IF(AND(JD$16&gt;=$F33,JD$16&lt;$F33+($G33*$I33)),"➤",""),"")</f>
        <v/>
      </c>
      <c r="JE33" s="76" t="str">
        <f aca="false">IF($I33&gt;0%,IF(AND(JE$16&gt;=$F33,JE$16&lt;$F33+($G33*$I33)),"➤",""),"")</f>
        <v/>
      </c>
      <c r="JF33" s="76" t="str">
        <f aca="false">IF($I33&gt;0%,IF(AND(JF$16&gt;=$F33,JF$16&lt;$F33+($G33*$I33)),"➤",""),"")</f>
        <v/>
      </c>
      <c r="JG33" s="76" t="str">
        <f aca="false">IF($I33&gt;0%,IF(AND(JG$16&gt;=$F33,JG$16&lt;$F33+($G33*$I33)),"➤",""),"")</f>
        <v/>
      </c>
      <c r="JH33" s="76" t="str">
        <f aca="false">IF($I33&gt;0%,IF(AND(JH$16&gt;=$F33,JH$16&lt;$F33+($G33*$I33)),"➤",""),"")</f>
        <v/>
      </c>
      <c r="JI33" s="76" t="str">
        <f aca="false">IF($I33&gt;0%,IF(AND(JI$16&gt;=$F33,JI$16&lt;$F33+($G33*$I33)),"➤",""),"")</f>
        <v/>
      </c>
      <c r="JJ33" s="76" t="str">
        <f aca="false">IF($I33&gt;0%,IF(AND(JJ$16&gt;=$F33,JJ$16&lt;$F33+($G33*$I33)),"➤",""),"")</f>
        <v/>
      </c>
      <c r="JK33" s="76" t="str">
        <f aca="false">IF($I33&gt;0%,IF(AND(JK$16&gt;=$F33,JK$16&lt;$F33+($G33*$I33)),"➤",""),"")</f>
        <v/>
      </c>
      <c r="JL33" s="76" t="str">
        <f aca="false">IF($I33&gt;0%,IF(AND(JL$16&gt;=$F33,JL$16&lt;$F33+($G33*$I33)),"➤",""),"")</f>
        <v/>
      </c>
      <c r="JM33" s="76" t="str">
        <f aca="false">IF($I33&gt;0%,IF(AND(JM$16&gt;=$F33,JM$16&lt;$F33+($G33*$I33)),"➤",""),"")</f>
        <v/>
      </c>
      <c r="JN33" s="76" t="str">
        <f aca="false">IF($I33&gt;0%,IF(AND(JN$16&gt;=$F33,JN$16&lt;$F33+($G33*$I33)),"➤",""),"")</f>
        <v/>
      </c>
      <c r="JO33" s="76" t="str">
        <f aca="false">IF($I33&gt;0%,IF(AND(JO$16&gt;=$F33,JO$16&lt;$F33+($G33*$I33)),"➤",""),"")</f>
        <v/>
      </c>
      <c r="JP33" s="76" t="str">
        <f aca="false">IF($I33&gt;0%,IF(AND(JP$16&gt;=$F33,JP$16&lt;$F33+($G33*$I33)),"➤",""),"")</f>
        <v/>
      </c>
      <c r="JQ33" s="76" t="str">
        <f aca="false">IF($I33&gt;0%,IF(AND(JQ$16&gt;=$F33,JQ$16&lt;$F33+($G33*$I33)),"➤",""),"")</f>
        <v/>
      </c>
      <c r="JR33" s="76" t="str">
        <f aca="false">IF($I33&gt;0%,IF(AND(JR$16&gt;=$F33,JR$16&lt;$F33+($G33*$I33)),"➤",""),"")</f>
        <v/>
      </c>
      <c r="JS33" s="76" t="str">
        <f aca="false">IF($I33&gt;0%,IF(AND(JS$16&gt;=$F33,JS$16&lt;$F33+($G33*$I33)),"➤",""),"")</f>
        <v/>
      </c>
      <c r="JT33" s="76" t="str">
        <f aca="false">IF($I33&gt;0%,IF(AND(JT$16&gt;=$F33,JT$16&lt;$F33+($G33*$I33)),"➤",""),"")</f>
        <v/>
      </c>
      <c r="JU33" s="76" t="str">
        <f aca="false">IF($I33&gt;0%,IF(AND(JU$16&gt;=$F33,JU$16&lt;$F33+($G33*$I33)),"➤",""),"")</f>
        <v/>
      </c>
      <c r="JV33" s="76" t="str">
        <f aca="false">IF($I33&gt;0%,IF(AND(JV$16&gt;=$F33,JV$16&lt;$F33+($G33*$I33)),"➤",""),"")</f>
        <v/>
      </c>
      <c r="JW33" s="76" t="str">
        <f aca="false">IF($I33&gt;0%,IF(AND(JW$16&gt;=$F33,JW$16&lt;$F33+($G33*$I33)),"➤",""),"")</f>
        <v/>
      </c>
      <c r="JX33" s="76" t="str">
        <f aca="false">IF($I33&gt;0%,IF(AND(JX$16&gt;=$F33,JX$16&lt;$F33+($G33*$I33)),"➤",""),"")</f>
        <v/>
      </c>
      <c r="JY33" s="76" t="str">
        <f aca="false">IF($I33&gt;0%,IF(AND(JY$16&gt;=$F33,JY$16&lt;$F33+($G33*$I33)),"➤",""),"")</f>
        <v/>
      </c>
      <c r="JZ33" s="76" t="str">
        <f aca="false">IF($I33&gt;0%,IF(AND(JZ$16&gt;=$F33,JZ$16&lt;$F33+($G33*$I33)),"➤",""),"")</f>
        <v/>
      </c>
      <c r="KA33" s="76" t="str">
        <f aca="false">IF($I33&gt;0%,IF(AND(KA$16&gt;=$F33,KA$16&lt;$F33+($G33*$I33)),"➤",""),"")</f>
        <v/>
      </c>
      <c r="KB33" s="76" t="str">
        <f aca="false">IF($I33&gt;0%,IF(AND(KB$16&gt;=$F33,KB$16&lt;$F33+($G33*$I33)),"➤",""),"")</f>
        <v/>
      </c>
      <c r="KC33" s="76" t="str">
        <f aca="false">IF($I33&gt;0%,IF(AND(KC$16&gt;=$F33,KC$16&lt;$F33+($G33*$I33)),"➤",""),"")</f>
        <v/>
      </c>
      <c r="KD33" s="76" t="str">
        <f aca="false">IF($I33&gt;0%,IF(AND(KD$16&gt;=$F33,KD$16&lt;$F33+($G33*$I33)),"➤",""),"")</f>
        <v/>
      </c>
      <c r="KE33" s="76" t="str">
        <f aca="false">IF($I33&gt;0%,IF(AND(KE$16&gt;=$F33,KE$16&lt;$F33+($G33*$I33)),"➤",""),"")</f>
        <v/>
      </c>
      <c r="KF33" s="76" t="str">
        <f aca="false">IF($I33&gt;0%,IF(AND(KF$16&gt;=$F33,KF$16&lt;$F33+($G33*$I33)),"➤",""),"")</f>
        <v/>
      </c>
      <c r="KG33" s="76" t="str">
        <f aca="false">IF($I33&gt;0%,IF(AND(KG$16&gt;=$F33,KG$16&lt;$F33+($G33*$I33)),"➤",""),"")</f>
        <v/>
      </c>
      <c r="KH33" s="76" t="str">
        <f aca="false">IF($I33&gt;0%,IF(AND(KH$16&gt;=$F33,KH$16&lt;$F33+($G33*$I33)),"➤",""),"")</f>
        <v/>
      </c>
      <c r="KI33" s="76" t="str">
        <f aca="false">IF($I33&gt;0%,IF(AND(KI$16&gt;=$F33,KI$16&lt;$F33+($G33*$I33)),"➤",""),"")</f>
        <v/>
      </c>
      <c r="KJ33" s="76" t="str">
        <f aca="false">IF($I33&gt;0%,IF(AND(KJ$16&gt;=$F33,KJ$16&lt;$F33+($G33*$I33)),"➤",""),"")</f>
        <v/>
      </c>
      <c r="KK33" s="76" t="str">
        <f aca="false">IF($I33&gt;0%,IF(AND(KK$16&gt;=$F33,KK$16&lt;$F33+($G33*$I33)),"➤",""),"")</f>
        <v/>
      </c>
      <c r="KL33" s="76" t="str">
        <f aca="false">IF($I33&gt;0%,IF(AND(KL$16&gt;=$F33,KL$16&lt;$F33+($G33*$I33)),"➤",""),"")</f>
        <v/>
      </c>
      <c r="KM33" s="76" t="str">
        <f aca="false">IF($I33&gt;0%,IF(AND(KM$16&gt;=$F33,KM$16&lt;$F33+($G33*$I33)),"➤",""),"")</f>
        <v/>
      </c>
      <c r="KN33" s="76" t="str">
        <f aca="false">IF($I33&gt;0%,IF(AND(KN$16&gt;=$F33,KN$16&lt;$F33+($G33*$I33)),"➤",""),"")</f>
        <v/>
      </c>
      <c r="KO33" s="76" t="str">
        <f aca="false">IF($I33&gt;0%,IF(AND(KO$16&gt;=$F33,KO$16&lt;$F33+($G33*$I33)),"➤",""),"")</f>
        <v/>
      </c>
      <c r="KP33" s="76" t="str">
        <f aca="false">IF($I33&gt;0%,IF(AND(KP$16&gt;=$F33,KP$16&lt;$F33+($G33*$I33)),"➤",""),"")</f>
        <v/>
      </c>
      <c r="KQ33" s="76" t="str">
        <f aca="false">IF($I33&gt;0%,IF(AND(KQ$16&gt;=$F33,KQ$16&lt;$F33+($G33*$I33)),"➤",""),"")</f>
        <v/>
      </c>
      <c r="KR33" s="76" t="str">
        <f aca="false">IF($I33&gt;0%,IF(AND(KR$16&gt;=$F33,KR$16&lt;$F33+($G33*$I33)),"➤",""),"")</f>
        <v/>
      </c>
      <c r="KS33" s="76" t="str">
        <f aca="false">IF($I33&gt;0%,IF(AND(KS$16&gt;=$F33,KS$16&lt;$F33+($G33*$I33)),"➤",""),"")</f>
        <v/>
      </c>
      <c r="KT33" s="76" t="str">
        <f aca="false">IF($I33&gt;0%,IF(AND(KT$16&gt;=$F33,KT$16&lt;$F33+($G33*$I33)),"➤",""),"")</f>
        <v/>
      </c>
      <c r="KU33" s="76" t="str">
        <f aca="false">IF($I33&gt;0%,IF(AND(KU$16&gt;=$F33,KU$16&lt;$F33+($G33*$I33)),"➤",""),"")</f>
        <v/>
      </c>
      <c r="KV33" s="76" t="str">
        <f aca="false">IF($I33&gt;0%,IF(AND(KV$16&gt;=$F33,KV$16&lt;$F33+($G33*$I33)),"➤",""),"")</f>
        <v/>
      </c>
      <c r="KW33" s="76" t="str">
        <f aca="false">IF($I33&gt;0%,IF(AND(KW$16&gt;=$F33,KW$16&lt;$F33+($G33*$I33)),"➤",""),"")</f>
        <v/>
      </c>
      <c r="KX33" s="76" t="str">
        <f aca="false">IF($I33&gt;0%,IF(AND(KX$16&gt;=$F33,KX$16&lt;$F33+($G33*$I33)),"➤",""),"")</f>
        <v/>
      </c>
      <c r="KY33" s="76" t="str">
        <f aca="false">IF($I33&gt;0%,IF(AND(KY$16&gt;=$F33,KY$16&lt;$F33+($G33*$I33)),"➤",""),"")</f>
        <v/>
      </c>
      <c r="KZ33" s="76" t="str">
        <f aca="false">IF($I33&gt;0%,IF(AND(KZ$16&gt;=$F33,KZ$16&lt;$F33+($G33*$I33)),"➤",""),"")</f>
        <v/>
      </c>
      <c r="LA33" s="76" t="str">
        <f aca="false">IF($I33&gt;0%,IF(AND(LA$16&gt;=$F33,LA$16&lt;$F33+($G33*$I33)),"➤",""),"")</f>
        <v/>
      </c>
      <c r="LB33" s="76" t="str">
        <f aca="false">IF($I33&gt;0%,IF(AND(LB$16&gt;=$F33,LB$16&lt;$F33+($G33*$I33)),"➤",""),"")</f>
        <v/>
      </c>
      <c r="LC33" s="76" t="str">
        <f aca="false">IF($I33&gt;0%,IF(AND(LC$16&gt;=$F33,LC$16&lt;$F33+($G33*$I33)),"➤",""),"")</f>
        <v/>
      </c>
      <c r="LD33" s="76" t="str">
        <f aca="false">IF($I33&gt;0%,IF(AND(LD$16&gt;=$F33,LD$16&lt;$F33+($G33*$I33)),"➤",""),"")</f>
        <v/>
      </c>
      <c r="LE33" s="76" t="str">
        <f aca="false">IF($I33&gt;0%,IF(AND(LE$16&gt;=$F33,LE$16&lt;$F33+($G33*$I33)),"➤",""),"")</f>
        <v/>
      </c>
      <c r="LF33" s="76" t="str">
        <f aca="false">IF($I33&gt;0%,IF(AND(LF$16&gt;=$F33,LF$16&lt;$F33+($G33*$I33)),"➤",""),"")</f>
        <v/>
      </c>
      <c r="LG33" s="76" t="str">
        <f aca="false">IF($I33&gt;0%,IF(AND(LG$16&gt;=$F33,LG$16&lt;$F33+($G33*$I33)),"➤",""),"")</f>
        <v/>
      </c>
      <c r="LH33" s="76" t="str">
        <f aca="false">IF($I33&gt;0%,IF(AND(LH$16&gt;=$F33,LH$16&lt;$F33+($G33*$I33)),"➤",""),"")</f>
        <v/>
      </c>
      <c r="LI33" s="76" t="str">
        <f aca="false">IF($I33&gt;0%,IF(AND(LI$16&gt;=$F33,LI$16&lt;$F33+($G33*$I33)),"➤",""),"")</f>
        <v/>
      </c>
      <c r="LJ33" s="76" t="str">
        <f aca="false">IF($I33&gt;0%,IF(AND(LJ$16&gt;=$F33,LJ$16&lt;$F33+($G33*$I33)),"➤",""),"")</f>
        <v/>
      </c>
      <c r="LK33" s="76" t="str">
        <f aca="false">IF($I33&gt;0%,IF(AND(LK$16&gt;=$F33,LK$16&lt;$F33+($G33*$I33)),"➤",""),"")</f>
        <v/>
      </c>
      <c r="LL33" s="76" t="str">
        <f aca="false">IF($I33&gt;0%,IF(AND(LL$16&gt;=$F33,LL$16&lt;$F33+($G33*$I33)),"➤",""),"")</f>
        <v/>
      </c>
      <c r="LM33" s="76" t="str">
        <f aca="false">IF($I33&gt;0%,IF(AND(LM$16&gt;=$F33,LM$16&lt;$F33+($G33*$I33)),"➤",""),"")</f>
        <v/>
      </c>
      <c r="LN33" s="76" t="str">
        <f aca="false">IF($I33&gt;0%,IF(AND(LN$16&gt;=$F33,LN$16&lt;$F33+($G33*$I33)),"➤",""),"")</f>
        <v/>
      </c>
      <c r="LO33" s="76" t="str">
        <f aca="false">IF($I33&gt;0%,IF(AND(LO$16&gt;=$F33,LO$16&lt;$F33+($G33*$I33)),"➤",""),"")</f>
        <v/>
      </c>
      <c r="LP33" s="76" t="str">
        <f aca="false">IF($I33&gt;0%,IF(AND(LP$16&gt;=$F33,LP$16&lt;$F33+($G33*$I33)),"➤",""),"")</f>
        <v/>
      </c>
      <c r="LQ33" s="76" t="str">
        <f aca="false">IF($I33&gt;0%,IF(AND(LQ$16&gt;=$F33,LQ$16&lt;$F33+($G33*$I33)),"➤",""),"")</f>
        <v/>
      </c>
      <c r="LR33" s="76" t="str">
        <f aca="false">IF($I33&gt;0%,IF(AND(LR$16&gt;=$F33,LR$16&lt;$F33+($G33*$I33)),"➤",""),"")</f>
        <v/>
      </c>
      <c r="LS33" s="76" t="str">
        <f aca="false">IF($I33&gt;0%,IF(AND(LS$16&gt;=$F33,LS$16&lt;$F33+($G33*$I33)),"➤",""),"")</f>
        <v/>
      </c>
      <c r="LT33" s="76" t="str">
        <f aca="false">IF($I33&gt;0%,IF(AND(LT$16&gt;=$F33,LT$16&lt;$F33+($G33*$I33)),"➤",""),"")</f>
        <v/>
      </c>
      <c r="LU33" s="76" t="str">
        <f aca="false">IF($I33&gt;0%,IF(AND(LU$16&gt;=$F33,LU$16&lt;$F33+($G33*$I33)),"➤",""),"")</f>
        <v/>
      </c>
      <c r="LV33" s="76" t="str">
        <f aca="false">IF($I33&gt;0%,IF(AND(LV$16&gt;=$F33,LV$16&lt;$F33+($G33*$I33)),"➤",""),"")</f>
        <v/>
      </c>
      <c r="LW33" s="76" t="str">
        <f aca="false">IF($I33&gt;0%,IF(AND(LW$16&gt;=$F33,LW$16&lt;$F33+($G33*$I33)),"➤",""),"")</f>
        <v/>
      </c>
      <c r="LX33" s="76" t="str">
        <f aca="false">IF($I33&gt;0%,IF(AND(LX$16&gt;=$F33,LX$16&lt;$F33+($G33*$I33)),"➤",""),"")</f>
        <v/>
      </c>
      <c r="LY33" s="76" t="str">
        <f aca="false">IF($I33&gt;0%,IF(AND(LY$16&gt;=$F33,LY$16&lt;$F33+($G33*$I33)),"➤",""),"")</f>
        <v/>
      </c>
      <c r="LZ33" s="76" t="str">
        <f aca="false">IF($I33&gt;0%,IF(AND(LZ$16&gt;=$F33,LZ$16&lt;$F33+($G33*$I33)),"➤",""),"")</f>
        <v/>
      </c>
      <c r="MA33" s="76" t="str">
        <f aca="false">IF($I33&gt;0%,IF(AND(MA$16&gt;=$F33,MA$16&lt;$F33+($G33*$I33)),"➤",""),"")</f>
        <v/>
      </c>
      <c r="MB33" s="76" t="str">
        <f aca="false">IF($I33&gt;0%,IF(AND(MB$16&gt;=$F33,MB$16&lt;$F33+($G33*$I33)),"➤",""),"")</f>
        <v/>
      </c>
      <c r="MC33" s="76" t="str">
        <f aca="false">IF($I33&gt;0%,IF(AND(MC$16&gt;=$F33,MC$16&lt;$F33+($G33*$I33)),"➤",""),"")</f>
        <v/>
      </c>
      <c r="MD33" s="76" t="str">
        <f aca="false">IF($I33&gt;0%,IF(AND(MD$16&gt;=$F33,MD$16&lt;$F33+($G33*$I33)),"➤",""),"")</f>
        <v/>
      </c>
      <c r="ME33" s="76" t="str">
        <f aca="false">IF($I33&gt;0%,IF(AND(ME$16&gt;=$F33,ME$16&lt;$F33+($G33*$I33)),"➤",""),"")</f>
        <v/>
      </c>
      <c r="MF33" s="76" t="str">
        <f aca="false">IF($I33&gt;0%,IF(AND(MF$16&gt;=$F33,MF$16&lt;$F33+($G33*$I33)),"➤",""),"")</f>
        <v/>
      </c>
      <c r="MG33" s="76" t="str">
        <f aca="false">IF($I33&gt;0%,IF(AND(MG$16&gt;=$F33,MG$16&lt;$F33+($G33*$I33)),"➤",""),"")</f>
        <v/>
      </c>
      <c r="MH33" s="76" t="str">
        <f aca="false">IF($I33&gt;0%,IF(AND(MH$16&gt;=$F33,MH$16&lt;$F33+($G33*$I33)),"➤",""),"")</f>
        <v/>
      </c>
      <c r="MI33" s="76" t="str">
        <f aca="false">IF($I33&gt;0%,IF(AND(MI$16&gt;=$F33,MI$16&lt;$F33+($G33*$I33)),"➤",""),"")</f>
        <v/>
      </c>
      <c r="MJ33" s="76" t="str">
        <f aca="false">IF($I33&gt;0%,IF(AND(MJ$16&gt;=$F33,MJ$16&lt;$F33+($G33*$I33)),"➤",""),"")</f>
        <v/>
      </c>
      <c r="MK33" s="76" t="str">
        <f aca="false">IF($I33&gt;0%,IF(AND(MK$16&gt;=$F33,MK$16&lt;$F33+($G33*$I33)),"➤",""),"")</f>
        <v/>
      </c>
      <c r="ML33" s="76" t="str">
        <f aca="false">IF($I33&gt;0%,IF(AND(ML$16&gt;=$F33,ML$16&lt;$F33+($G33*$I33)),"➤",""),"")</f>
        <v/>
      </c>
      <c r="MM33" s="76" t="str">
        <f aca="false">IF($I33&gt;0%,IF(AND(MM$16&gt;=$F33,MM$16&lt;$F33+($G33*$I33)),"➤",""),"")</f>
        <v/>
      </c>
      <c r="MN33" s="76" t="str">
        <f aca="false">IF($I33&gt;0%,IF(AND(MN$16&gt;=$F33,MN$16&lt;$F33+($G33*$I33)),"➤",""),"")</f>
        <v/>
      </c>
      <c r="MO33" s="76" t="str">
        <f aca="false">IF($I33&gt;0%,IF(AND(MO$16&gt;=$F33,MO$16&lt;$F33+($G33*$I33)),"➤",""),"")</f>
        <v/>
      </c>
      <c r="MP33" s="76" t="str">
        <f aca="false">IF($I33&gt;0%,IF(AND(MP$16&gt;=$F33,MP$16&lt;$F33+($G33*$I33)),"➤",""),"")</f>
        <v/>
      </c>
      <c r="MQ33" s="76" t="str">
        <f aca="false">IF($I33&gt;0%,IF(AND(MQ$16&gt;=$F33,MQ$16&lt;$F33+($G33*$I33)),"➤",""),"")</f>
        <v/>
      </c>
      <c r="MR33" s="76" t="str">
        <f aca="false">IF($I33&gt;0%,IF(AND(MR$16&gt;=$F33,MR$16&lt;$F33+($G33*$I33)),"➤",""),"")</f>
        <v/>
      </c>
      <c r="MS33" s="76" t="str">
        <f aca="false">IF($I33&gt;0%,IF(AND(MS$16&gt;=$F33,MS$16&lt;$F33+($G33*$I33)),"➤",""),"")</f>
        <v/>
      </c>
      <c r="MT33" s="76" t="str">
        <f aca="false">IF($I33&gt;0%,IF(AND(MT$16&gt;=$F33,MT$16&lt;$F33+($G33*$I33)),"➤",""),"")</f>
        <v/>
      </c>
      <c r="MU33" s="76" t="str">
        <f aca="false">IF($I33&gt;0%,IF(AND(MU$16&gt;=$F33,MU$16&lt;$F33+($G33*$I33)),"➤",""),"")</f>
        <v/>
      </c>
      <c r="MV33" s="76" t="str">
        <f aca="false">IF($I33&gt;0%,IF(AND(MV$16&gt;=$F33,MV$16&lt;$F33+($G33*$I33)),"➤",""),"")</f>
        <v/>
      </c>
      <c r="MW33" s="76" t="str">
        <f aca="false">IF($I33&gt;0%,IF(AND(MW$16&gt;=$F33,MW$16&lt;$F33+($G33*$I33)),"➤",""),"")</f>
        <v/>
      </c>
      <c r="MX33" s="76" t="str">
        <f aca="false">IF($I33&gt;0%,IF(AND(MX$16&gt;=$F33,MX$16&lt;$F33+($G33*$I33)),"➤",""),"")</f>
        <v/>
      </c>
      <c r="MY33" s="76" t="str">
        <f aca="false">IF($I33&gt;0%,IF(AND(MY$16&gt;=$F33,MY$16&lt;$F33+($G33*$I33)),"➤",""),"")</f>
        <v/>
      </c>
      <c r="MZ33" s="76" t="str">
        <f aca="false">IF($I33&gt;0%,IF(AND(MZ$16&gt;=$F33,MZ$16&lt;$F33+($G33*$I33)),"➤",""),"")</f>
        <v/>
      </c>
      <c r="NA33" s="76" t="str">
        <f aca="false">IF($I33&gt;0%,IF(AND(NA$16&gt;=$F33,NA$16&lt;$F33+($G33*$I33)),"➤",""),"")</f>
        <v/>
      </c>
      <c r="NB33" s="76" t="str">
        <f aca="false">IF($I33&gt;0%,IF(AND(NB$16&gt;=$F33,NB$16&lt;$F33+($G33*$I33)),"➤",""),"")</f>
        <v/>
      </c>
      <c r="NC33" s="76" t="str">
        <f aca="false">IF($I33&gt;0%,IF(AND(NC$16&gt;=$F33,NC$16&lt;$F33+($G33*$I33)),"➤",""),"")</f>
        <v/>
      </c>
      <c r="ND33" s="76" t="str">
        <f aca="false">IF($I33&gt;0%,IF(AND(ND$16&gt;=$F33,ND$16&lt;$F33+($G33*$I33)),"➤",""),"")</f>
        <v/>
      </c>
      <c r="NE33" s="76" t="str">
        <f aca="false">IF($I33&gt;0%,IF(AND(NE$16&gt;=$F33,NE$16&lt;$F33+($G33*$I33)),"➤",""),"")</f>
        <v/>
      </c>
      <c r="NF33" s="76" t="str">
        <f aca="false">IF($I33&gt;0%,IF(AND(NF$16&gt;=$F33,NF$16&lt;$F33+($G33*$I33)),"➤",""),"")</f>
        <v/>
      </c>
      <c r="NG33" s="76" t="str">
        <f aca="false">IF($I33&gt;0%,IF(AND(NG$16&gt;=$F33,NG$16&lt;$F33+($G33*$I33)),"➤",""),"")</f>
        <v/>
      </c>
      <c r="NH33" s="76" t="str">
        <f aca="false">IF($I33&gt;0%,IF(AND(NH$16&gt;=$F33,NH$16&lt;$F33+($G33*$I33)),"➤",""),"")</f>
        <v/>
      </c>
      <c r="NI33" s="76" t="str">
        <f aca="false">IF($I33&gt;0%,IF(AND(NI$16&gt;=$F33,NI$16&lt;$F33+($G33*$I33)),"➤",""),"")</f>
        <v/>
      </c>
      <c r="NJ33" s="76" t="str">
        <f aca="false">IF($I33&gt;0%,IF(AND(NJ$16&gt;=$F33,NJ$16&lt;$F33+($G33*$I33)),"➤",""),"")</f>
        <v/>
      </c>
      <c r="NK33" s="76" t="str">
        <f aca="false">IF($I33&gt;0%,IF(AND(NK$16&gt;=$F33,NK$16&lt;$F33+($G33*$I33)),"➤",""),"")</f>
        <v/>
      </c>
      <c r="NL33" s="76" t="str">
        <f aca="false">IF($I33&gt;0%,IF(AND(NL$16&gt;=$F33,NL$16&lt;$F33+($G33*$I33)),"➤",""),"")</f>
        <v/>
      </c>
      <c r="NM33" s="76" t="str">
        <f aca="false">IF($I33&gt;0%,IF(AND(NM$16&gt;=$F33,NM$16&lt;$F33+($G33*$I33)),"➤",""),"")</f>
        <v/>
      </c>
      <c r="NN33" s="76" t="str">
        <f aca="false">IF($I33&gt;0%,IF(AND(NN$16&gt;=$F33,NN$16&lt;$F33+($G33*$I33)),"➤",""),"")</f>
        <v/>
      </c>
      <c r="NO33" s="76" t="str">
        <f aca="false">IF($I33&gt;0%,IF(AND(NO$16&gt;=$F33,NO$16&lt;$F33+($G33*$I33)),"➤",""),"")</f>
        <v/>
      </c>
      <c r="NP33" s="76" t="str">
        <f aca="false">IF($I33&gt;0%,IF(AND(NP$16&gt;=$F33,NP$16&lt;$F33+($G33*$I33)),"➤",""),"")</f>
        <v/>
      </c>
      <c r="NQ33" s="76" t="str">
        <f aca="false">IF($I33&gt;0%,IF(AND(NQ$16&gt;=$F33,NQ$16&lt;$F33+($G33*$I33)),"➤",""),"")</f>
        <v/>
      </c>
      <c r="NR33" s="76" t="str">
        <f aca="false">IF($I33&gt;0%,IF(AND(NR$16&gt;=$F33,NR$16&lt;$F33+($G33*$I33)),"➤",""),"")</f>
        <v/>
      </c>
      <c r="NS33" s="76" t="str">
        <f aca="false">IF($I33&gt;0%,IF(AND(NS$16&gt;=$F33,NS$16&lt;$F33+($G33*$I33)),"➤",""),"")</f>
        <v/>
      </c>
      <c r="NT33" s="76" t="str">
        <f aca="false">IF($I33&gt;0%,IF(AND(NT$16&gt;=$F33,NT$16&lt;$F33+($G33*$I33)),"➤",""),"")</f>
        <v/>
      </c>
      <c r="NU33" s="76" t="str">
        <f aca="false">IF($I33&gt;0%,IF(AND(NU$16&gt;=$F33,NU$16&lt;$F33+($G33*$I33)),"➤",""),"")</f>
        <v/>
      </c>
      <c r="NV33" s="76" t="str">
        <f aca="false">IF($I33&gt;0%,IF(AND(NV$16&gt;=$F33,NV$16&lt;$F33+($G33*$I33)),"➤",""),"")</f>
        <v/>
      </c>
      <c r="NW33" s="76" t="str">
        <f aca="false">IF($I33&gt;0%,IF(AND(NW$16&gt;=$F33,NW$16&lt;$F33+($G33*$I33)),"➤",""),"")</f>
        <v/>
      </c>
      <c r="NX33" s="76" t="str">
        <f aca="false">IF($I33&gt;0%,IF(AND(NX$16&gt;=$F33,NX$16&lt;$F33+($G33*$I33)),"➤",""),"")</f>
        <v/>
      </c>
      <c r="NY33" s="76" t="str">
        <f aca="false">IF($I33&gt;0%,IF(AND(NY$16&gt;=$F33,NY$16&lt;$F33+($G33*$I33)),"➤",""),"")</f>
        <v/>
      </c>
      <c r="NZ33" s="76" t="str">
        <f aca="false">IF($I33&gt;0%,IF(AND(NZ$16&gt;=$F33,NZ$16&lt;$F33+($G33*$I33)),"➤",""),"")</f>
        <v/>
      </c>
      <c r="OA33" s="76" t="str">
        <f aca="false">IF($I33&gt;0%,IF(AND(OA$16&gt;=$F33,OA$16&lt;$F33+($G33*$I33)),"➤",""),"")</f>
        <v/>
      </c>
      <c r="OB33" s="76" t="str">
        <f aca="false">IF($I33&gt;0%,IF(AND(OB$16&gt;=$F33,OB$16&lt;$F33+($G33*$I33)),"➤",""),"")</f>
        <v/>
      </c>
      <c r="OC33" s="76" t="str">
        <f aca="false">IF($I33&gt;0%,IF(AND(OC$16&gt;=$F33,OC$16&lt;$F33+($G33*$I33)),"➤",""),"")</f>
        <v/>
      </c>
      <c r="OD33" s="76" t="str">
        <f aca="false">IF($I33&gt;0%,IF(AND(OD$16&gt;=$F33,OD$16&lt;$F33+($G33*$I33)),"➤",""),"")</f>
        <v/>
      </c>
      <c r="OE33" s="76" t="str">
        <f aca="false">IF($I33&gt;0%,IF(AND(OE$16&gt;=$F33,OE$16&lt;$F33+($G33*$I33)),"➤",""),"")</f>
        <v/>
      </c>
      <c r="OF33" s="76" t="str">
        <f aca="false">IF($I33&gt;0%,IF(AND(OF$16&gt;=$F33,OF$16&lt;$F33+($G33*$I33)),"➤",""),"")</f>
        <v/>
      </c>
      <c r="OG33" s="76" t="str">
        <f aca="false">IF($I33&gt;0%,IF(AND(OG$16&gt;=$F33,OG$16&lt;$F33+($G33*$I33)),"➤",""),"")</f>
        <v/>
      </c>
      <c r="OH33" s="76" t="str">
        <f aca="false">IF($I33&gt;0%,IF(AND(OH$16&gt;=$F33,OH$16&lt;$F33+($G33*$I33)),"➤",""),"")</f>
        <v/>
      </c>
      <c r="OI33" s="76" t="str">
        <f aca="false">IF($I33&gt;0%,IF(AND(OI$16&gt;=$F33,OI$16&lt;$F33+($G33*$I33)),"➤",""),"")</f>
        <v/>
      </c>
      <c r="OJ33" s="76" t="str">
        <f aca="false">IF($I33&gt;0%,IF(AND(OJ$16&gt;=$F33,OJ$16&lt;$F33+($G33*$I33)),"➤",""),"")</f>
        <v/>
      </c>
      <c r="OK33" s="76" t="str">
        <f aca="false">IF($I33&gt;0%,IF(AND(OK$16&gt;=$F33,OK$16&lt;$F33+($G33*$I33)),"➤",""),"")</f>
        <v/>
      </c>
      <c r="OL33" s="76" t="str">
        <f aca="false">IF($I33&gt;0%,IF(AND(OL$16&gt;=$F33,OL$16&lt;$F33+($G33*$I33)),"➤",""),"")</f>
        <v/>
      </c>
      <c r="OM33" s="76" t="str">
        <f aca="false">IF($I33&gt;0%,IF(AND(OM$16&gt;=$F33,OM$16&lt;$F33+($G33*$I33)),"➤",""),"")</f>
        <v/>
      </c>
      <c r="ON33" s="76" t="str">
        <f aca="false">IF($I33&gt;0%,IF(AND(ON$16&gt;=$F33,ON$16&lt;$F33+($G33*$I33)),"➤",""),"")</f>
        <v/>
      </c>
      <c r="OO33" s="76" t="str">
        <f aca="false">IF($I33&gt;0%,IF(AND(OO$16&gt;=$F33,OO$16&lt;$F33+($G33*$I33)),"➤",""),"")</f>
        <v/>
      </c>
      <c r="OP33" s="76" t="str">
        <f aca="false">IF($I33&gt;0%,IF(AND(OP$16&gt;=$F33,OP$16&lt;$F33+($G33*$I33)),"➤",""),"")</f>
        <v/>
      </c>
      <c r="OQ33" s="76" t="str">
        <f aca="false">IF($I33&gt;0%,IF(AND(OQ$16&gt;=$F33,OQ$16&lt;$F33+($G33*$I33)),"➤",""),"")</f>
        <v/>
      </c>
      <c r="OR33" s="76" t="str">
        <f aca="false">IF($I33&gt;0%,IF(AND(OR$16&gt;=$F33,OR$16&lt;$F33+($G33*$I33)),"➤",""),"")</f>
        <v/>
      </c>
      <c r="OS33" s="76" t="str">
        <f aca="false">IF($I33&gt;0%,IF(AND(OS$16&gt;=$F33,OS$16&lt;$F33+($G33*$I33)),"➤",""),"")</f>
        <v/>
      </c>
      <c r="OT33" s="76" t="str">
        <f aca="false">IF($I33&gt;0%,IF(AND(OT$16&gt;=$F33,OT$16&lt;$F33+($G33*$I33)),"➤",""),"")</f>
        <v/>
      </c>
      <c r="OU33" s="76" t="str">
        <f aca="false">IF($I33&gt;0%,IF(AND(OU$16&gt;=$F33,OU$16&lt;$F33+($G33*$I33)),"➤",""),"")</f>
        <v/>
      </c>
      <c r="OV33" s="76" t="str">
        <f aca="false">IF($I33&gt;0%,IF(AND(OV$16&gt;=$F33,OV$16&lt;$F33+($G33*$I33)),"➤",""),"")</f>
        <v/>
      </c>
      <c r="OW33" s="76" t="str">
        <f aca="false">IF($I33&gt;0%,IF(AND(OW$16&gt;=$F33,OW$16&lt;$F33+($G33*$I33)),"➤",""),"")</f>
        <v/>
      </c>
      <c r="OX33" s="76" t="str">
        <f aca="false">IF($I33&gt;0%,IF(AND(OX$16&gt;=$F33,OX$16&lt;$F33+($G33*$I33)),"➤",""),"")</f>
        <v/>
      </c>
      <c r="OY33" s="76" t="str">
        <f aca="false">IF($I33&gt;0%,IF(AND(OY$16&gt;=$F33,OY$16&lt;$F33+($G33*$I33)),"➤",""),"")</f>
        <v/>
      </c>
      <c r="OZ33" s="76" t="str">
        <f aca="false">IF($I33&gt;0%,IF(AND(OZ$16&gt;=$F33,OZ$16&lt;$F33+($G33*$I33)),"➤",""),"")</f>
        <v/>
      </c>
      <c r="PA33" s="76" t="str">
        <f aca="false">IF($I33&gt;0%,IF(AND(PA$16&gt;=$F33,PA$16&lt;$F33+($G33*$I33)),"➤",""),"")</f>
        <v/>
      </c>
      <c r="PB33" s="76" t="str">
        <f aca="false">IF($I33&gt;0%,IF(AND(PB$16&gt;=$F33,PB$16&lt;$F33+($G33*$I33)),"➤",""),"")</f>
        <v/>
      </c>
      <c r="PC33" s="76" t="str">
        <f aca="false">IF($I33&gt;0%,IF(AND(PC$16&gt;=$F33,PC$16&lt;$F33+($G33*$I33)),"➤",""),"")</f>
        <v/>
      </c>
      <c r="PD33" s="76" t="str">
        <f aca="false">IF($I33&gt;0%,IF(AND(PD$16&gt;=$F33,PD$16&lt;$F33+($G33*$I33)),"➤",""),"")</f>
        <v/>
      </c>
      <c r="PE33" s="76" t="str">
        <f aca="false">IF($I33&gt;0%,IF(AND(PE$16&gt;=$F33,PE$16&lt;$F33+($G33*$I33)),"➤",""),"")</f>
        <v/>
      </c>
      <c r="PF33" s="76" t="str">
        <f aca="false">IF($I33&gt;0%,IF(AND(PF$16&gt;=$F33,PF$16&lt;$F33+($G33*$I33)),"➤",""),"")</f>
        <v/>
      </c>
      <c r="PG33" s="76" t="str">
        <f aca="false">IF($I33&gt;0%,IF(AND(PG$16&gt;=$F33,PG$16&lt;$F33+($G33*$I33)),"➤",""),"")</f>
        <v/>
      </c>
      <c r="PH33" s="76" t="str">
        <f aca="false">IF($I33&gt;0%,IF(AND(PH$16&gt;=$F33,PH$16&lt;$F33+($G33*$I33)),"➤",""),"")</f>
        <v/>
      </c>
      <c r="PI33" s="76" t="str">
        <f aca="false">IF($I33&gt;0%,IF(AND(PI$16&gt;=$F33,PI$16&lt;$F33+($G33*$I33)),"➤",""),"")</f>
        <v/>
      </c>
      <c r="PJ33" s="76" t="str">
        <f aca="false">IF($I33&gt;0%,IF(AND(PJ$16&gt;=$F33,PJ$16&lt;$F33+($G33*$I33)),"➤",""),"")</f>
        <v/>
      </c>
      <c r="PK33" s="76" t="str">
        <f aca="false">IF($I33&gt;0%,IF(AND(PK$16&gt;=$F33,PK$16&lt;$F33+($G33*$I33)),"➤",""),"")</f>
        <v/>
      </c>
      <c r="PL33" s="76" t="str">
        <f aca="false">IF($I33&gt;0%,IF(AND(PL$16&gt;=$F33,PL$16&lt;$F33+($G33*$I33)),"➤",""),"")</f>
        <v/>
      </c>
      <c r="PM33" s="76" t="str">
        <f aca="false">IF($I33&gt;0%,IF(AND(PM$16&gt;=$F33,PM$16&lt;$F33+($G33*$I33)),"➤",""),"")</f>
        <v/>
      </c>
      <c r="PN33" s="76" t="str">
        <f aca="false">IF($I33&gt;0%,IF(AND(PN$16&gt;=$F33,PN$16&lt;$F33+($G33*$I33)),"➤",""),"")</f>
        <v/>
      </c>
      <c r="PO33" s="76" t="str">
        <f aca="false">IF($I33&gt;0%,IF(AND(PO$16&gt;=$F33,PO$16&lt;$F33+($G33*$I33)),"➤",""),"")</f>
        <v/>
      </c>
      <c r="PP33" s="76" t="str">
        <f aca="false">IF($I33&gt;0%,IF(AND(PP$16&gt;=$F33,PP$16&lt;$F33+($G33*$I33)),"➤",""),"")</f>
        <v/>
      </c>
      <c r="PQ33" s="76" t="str">
        <f aca="false">IF($I33&gt;0%,IF(AND(PQ$16&gt;=$F33,PQ$16&lt;$F33+($G33*$I33)),"➤",""),"")</f>
        <v/>
      </c>
      <c r="PR33" s="76" t="str">
        <f aca="false">IF($I33&gt;0%,IF(AND(PR$16&gt;=$F33,PR$16&lt;$F33+($G33*$I33)),"➤",""),"")</f>
        <v/>
      </c>
      <c r="PS33" s="76" t="str">
        <f aca="false">IF($I33&gt;0%,IF(AND(PS$16&gt;=$F33,PS$16&lt;$F33+($G33*$I33)),"➤",""),"")</f>
        <v/>
      </c>
      <c r="PT33" s="76" t="str">
        <f aca="false">IF($I33&gt;0%,IF(AND(PT$16&gt;=$F33,PT$16&lt;$F33+($G33*$I33)),"➤",""),"")</f>
        <v/>
      </c>
      <c r="PU33" s="76" t="str">
        <f aca="false">IF($I33&gt;0%,IF(AND(PU$16&gt;=$F33,PU$16&lt;$F33+($G33*$I33)),"➤",""),"")</f>
        <v/>
      </c>
      <c r="PV33" s="76" t="str">
        <f aca="false">IF($I33&gt;0%,IF(AND(PV$16&gt;=$F33,PV$16&lt;$F33+($G33*$I33)),"➤",""),"")</f>
        <v/>
      </c>
      <c r="PW33" s="76" t="str">
        <f aca="false">IF($I33&gt;0%,IF(AND(PW$16&gt;=$F33,PW$16&lt;$F33+($G33*$I33)),"➤",""),"")</f>
        <v/>
      </c>
      <c r="PX33" s="76" t="str">
        <f aca="false">IF($I33&gt;0%,IF(AND(PX$16&gt;=$F33,PX$16&lt;$F33+($G33*$I33)),"➤",""),"")</f>
        <v/>
      </c>
      <c r="PY33" s="76" t="str">
        <f aca="false">IF($I33&gt;0%,IF(AND(PY$16&gt;=$F33,PY$16&lt;$F33+($G33*$I33)),"➤",""),"")</f>
        <v/>
      </c>
      <c r="PZ33" s="76" t="str">
        <f aca="false">IF($I33&gt;0%,IF(AND(PZ$16&gt;=$F33,PZ$16&lt;$F33+($G33*$I33)),"➤",""),"")</f>
        <v/>
      </c>
      <c r="QA33" s="76" t="str">
        <f aca="false">IF($I33&gt;0%,IF(AND(QA$16&gt;=$F33,QA$16&lt;$F33+($G33*$I33)),"➤",""),"")</f>
        <v/>
      </c>
      <c r="QB33" s="76" t="str">
        <f aca="false">IF($I33&gt;0%,IF(AND(QB$16&gt;=$F33,QB$16&lt;$F33+($G33*$I33)),"➤",""),"")</f>
        <v/>
      </c>
      <c r="QC33" s="76" t="str">
        <f aca="false">IF($I33&gt;0%,IF(AND(QC$16&gt;=$F33,QC$16&lt;$F33+($G33*$I33)),"➤",""),"")</f>
        <v/>
      </c>
      <c r="QD33" s="76" t="str">
        <f aca="false">IF($I33&gt;0%,IF(AND(QD$16&gt;=$F33,QD$16&lt;$F33+($G33*$I33)),"➤",""),"")</f>
        <v/>
      </c>
      <c r="QE33" s="76" t="str">
        <f aca="false">IF($I33&gt;0%,IF(AND(QE$16&gt;=$F33,QE$16&lt;$F33+($G33*$I33)),"➤",""),"")</f>
        <v/>
      </c>
      <c r="QF33" s="76" t="str">
        <f aca="false">IF($I33&gt;0%,IF(AND(QF$16&gt;=$F33,QF$16&lt;$F33+($G33*$I33)),"➤",""),"")</f>
        <v/>
      </c>
      <c r="QG33" s="76" t="str">
        <f aca="false">IF($I33&gt;0%,IF(AND(QG$16&gt;=$F33,QG$16&lt;$F33+($G33*$I33)),"➤",""),"")</f>
        <v/>
      </c>
      <c r="QH33" s="76" t="str">
        <f aca="false">IF($I33&gt;0%,IF(AND(QH$16&gt;=$F33,QH$16&lt;$F33+($G33*$I33)),"➤",""),"")</f>
        <v/>
      </c>
      <c r="QI33" s="76" t="str">
        <f aca="false">IF($I33&gt;0%,IF(AND(QI$16&gt;=$F33,QI$16&lt;$F33+($G33*$I33)),"➤",""),"")</f>
        <v/>
      </c>
      <c r="QJ33" s="76" t="str">
        <f aca="false">IF($I33&gt;0%,IF(AND(QJ$16&gt;=$F33,QJ$16&lt;$F33+($G33*$I33)),"➤",""),"")</f>
        <v/>
      </c>
      <c r="QK33" s="76" t="str">
        <f aca="false">IF($I33&gt;0%,IF(AND(QK$16&gt;=$F33,QK$16&lt;$F33+($G33*$I33)),"➤",""),"")</f>
        <v/>
      </c>
      <c r="QL33" s="76" t="str">
        <f aca="false">IF($I33&gt;0%,IF(AND(QL$16&gt;=$F33,QL$16&lt;$F33+($G33*$I33)),"➤",""),"")</f>
        <v/>
      </c>
      <c r="QM33" s="76" t="str">
        <f aca="false">IF($I33&gt;0%,IF(AND(QM$16&gt;=$F33,QM$16&lt;$F33+($G33*$I33)),"➤",""),"")</f>
        <v/>
      </c>
      <c r="QN33" s="76" t="str">
        <f aca="false">IF($I33&gt;0%,IF(AND(QN$16&gt;=$F33,QN$16&lt;$F33+($G33*$I33)),"➤",""),"")</f>
        <v/>
      </c>
      <c r="QO33" s="76" t="str">
        <f aca="false">IF($I33&gt;0%,IF(AND(QO$16&gt;=$F33,QO$16&lt;$F33+($G33*$I33)),"➤",""),"")</f>
        <v/>
      </c>
      <c r="QP33" s="76" t="str">
        <f aca="false">IF($I33&gt;0%,IF(AND(QP$16&gt;=$F33,QP$16&lt;$F33+($G33*$I33)),"➤",""),"")</f>
        <v/>
      </c>
      <c r="QQ33" s="76" t="str">
        <f aca="false">IF($I33&gt;0%,IF(AND(QQ$16&gt;=$F33,QQ$16&lt;$F33+($G33*$I33)),"➤",""),"")</f>
        <v/>
      </c>
      <c r="QR33" s="76" t="str">
        <f aca="false">IF($I33&gt;0%,IF(AND(QR$16&gt;=$F33,QR$16&lt;$F33+($G33*$I33)),"➤",""),"")</f>
        <v/>
      </c>
      <c r="QS33" s="76" t="str">
        <f aca="false">IF($I33&gt;0%,IF(AND(QS$16&gt;=$F33,QS$16&lt;$F33+($G33*$I33)),"➤",""),"")</f>
        <v/>
      </c>
      <c r="QT33" s="76" t="str">
        <f aca="false">IF($I33&gt;0%,IF(AND(QT$16&gt;=$F33,QT$16&lt;$F33+($G33*$I33)),"➤",""),"")</f>
        <v/>
      </c>
      <c r="QU33" s="76" t="str">
        <f aca="false">IF($I33&gt;0%,IF(AND(QU$16&gt;=$F33,QU$16&lt;$F33+($G33*$I33)),"➤",""),"")</f>
        <v/>
      </c>
      <c r="QV33" s="76" t="str">
        <f aca="false">IF($I33&gt;0%,IF(AND(QV$16&gt;=$F33,QV$16&lt;$F33+($G33*$I33)),"➤",""),"")</f>
        <v/>
      </c>
      <c r="QW33" s="76" t="str">
        <f aca="false">IF($I33&gt;0%,IF(AND(QW$16&gt;=$F33,QW$16&lt;$F33+($G33*$I33)),"➤",""),"")</f>
        <v/>
      </c>
      <c r="QX33" s="76" t="str">
        <f aca="false">IF($I33&gt;0%,IF(AND(QX$16&gt;=$F33,QX$16&lt;$F33+($G33*$I33)),"➤",""),"")</f>
        <v/>
      </c>
      <c r="QY33" s="76" t="str">
        <f aca="false">IF($I33&gt;0%,IF(AND(QY$16&gt;=$F33,QY$16&lt;$F33+($G33*$I33)),"➤",""),"")</f>
        <v/>
      </c>
      <c r="QZ33" s="76" t="str">
        <f aca="false">IF($I33&gt;0%,IF(AND(QZ$16&gt;=$F33,QZ$16&lt;$F33+($G33*$I33)),"➤",""),"")</f>
        <v/>
      </c>
      <c r="RA33" s="76" t="str">
        <f aca="false">IF($I33&gt;0%,IF(AND(RA$16&gt;=$F33,RA$16&lt;$F33+($G33*$I33)),"➤",""),"")</f>
        <v/>
      </c>
      <c r="RB33" s="76" t="str">
        <f aca="false">IF($I33&gt;0%,IF(AND(RB$16&gt;=$F33,RB$16&lt;$F33+($G33*$I33)),"➤",""),"")</f>
        <v/>
      </c>
      <c r="RC33" s="76" t="str">
        <f aca="false">IF($I33&gt;0%,IF(AND(RC$16&gt;=$F33,RC$16&lt;$F33+($G33*$I33)),"➤",""),"")</f>
        <v/>
      </c>
      <c r="RD33" s="76" t="str">
        <f aca="false">IF($I33&gt;0%,IF(AND(RD$16&gt;=$F33,RD$16&lt;$F33+($G33*$I33)),"➤",""),"")</f>
        <v/>
      </c>
      <c r="RE33" s="76" t="str">
        <f aca="false">IF($I33&gt;0%,IF(AND(RE$16&gt;=$F33,RE$16&lt;$F33+($G33*$I33)),"➤",""),"")</f>
        <v/>
      </c>
      <c r="RF33" s="76" t="str">
        <f aca="false">IF($I33&gt;0%,IF(AND(RF$16&gt;=$F33,RF$16&lt;$F33+($G33*$I33)),"➤",""),"")</f>
        <v/>
      </c>
      <c r="RG33" s="76" t="str">
        <f aca="false">IF($I33&gt;0%,IF(AND(RG$16&gt;=$F33,RG$16&lt;$F33+($G33*$I33)),"➤",""),"")</f>
        <v/>
      </c>
      <c r="RH33" s="76" t="str">
        <f aca="false">IF($I33&gt;0%,IF(AND(RH$16&gt;=$F33,RH$16&lt;$F33+($G33*$I33)),"➤",""),"")</f>
        <v/>
      </c>
      <c r="RI33" s="76" t="str">
        <f aca="false">IF($I33&gt;0%,IF(AND(RI$16&gt;=$F33,RI$16&lt;$F33+($G33*$I33)),"➤",""),"")</f>
        <v/>
      </c>
      <c r="RJ33" s="76" t="str">
        <f aca="false">IF($I33&gt;0%,IF(AND(RJ$16&gt;=$F33,RJ$16&lt;$F33+($G33*$I33)),"➤",""),"")</f>
        <v/>
      </c>
      <c r="RK33" s="76" t="str">
        <f aca="false">IF($I33&gt;0%,IF(AND(RK$16&gt;=$F33,RK$16&lt;$F33+($G33*$I33)),"➤",""),"")</f>
        <v/>
      </c>
      <c r="RL33" s="76" t="str">
        <f aca="false">IF($I33&gt;0%,IF(AND(RL$16&gt;=$F33,RL$16&lt;$F33+($G33*$I33)),"➤",""),"")</f>
        <v/>
      </c>
      <c r="RM33" s="76" t="str">
        <f aca="false">IF($I33&gt;0%,IF(AND(RM$16&gt;=$F33,RM$16&lt;$F33+($G33*$I33)),"➤",""),"")</f>
        <v/>
      </c>
      <c r="RN33" s="76" t="str">
        <f aca="false">IF($I33&gt;0%,IF(AND(RN$16&gt;=$F33,RN$16&lt;$F33+($G33*$I33)),"➤",""),"")</f>
        <v/>
      </c>
      <c r="RO33" s="76" t="str">
        <f aca="false">IF($I33&gt;0%,IF(AND(RO$16&gt;=$F33,RO$16&lt;$F33+($G33*$I33)),"➤",""),"")</f>
        <v/>
      </c>
      <c r="RP33" s="76" t="str">
        <f aca="false">IF($I33&gt;0%,IF(AND(RP$16&gt;=$F33,RP$16&lt;$F33+($G33*$I33)),"➤",""),"")</f>
        <v/>
      </c>
      <c r="RQ33" s="76" t="str">
        <f aca="false">IF($I33&gt;0%,IF(AND(RQ$16&gt;=$F33,RQ$16&lt;$F33+($G33*$I33)),"➤",""),"")</f>
        <v/>
      </c>
      <c r="RR33" s="76" t="str">
        <f aca="false">IF($I33&gt;0%,IF(AND(RR$16&gt;=$F33,RR$16&lt;$F33+($G33*$I33)),"➤",""),"")</f>
        <v/>
      </c>
      <c r="RS33" s="76" t="str">
        <f aca="false">IF($I33&gt;0%,IF(AND(RS$16&gt;=$F33,RS$16&lt;$F33+($G33*$I33)),"➤",""),"")</f>
        <v/>
      </c>
      <c r="RT33" s="76" t="str">
        <f aca="false">IF($I33&gt;0%,IF(AND(RT$16&gt;=$F33,RT$16&lt;$F33+($G33*$I33)),"➤",""),"")</f>
        <v/>
      </c>
      <c r="RU33" s="76" t="str">
        <f aca="false">IF($I33&gt;0%,IF(AND(RU$16&gt;=$F33,RU$16&lt;$F33+($G33*$I33)),"➤",""),"")</f>
        <v/>
      </c>
      <c r="RV33" s="76" t="str">
        <f aca="false">IF($I33&gt;0%,IF(AND(RV$16&gt;=$F33,RV$16&lt;$F33+($G33*$I33)),"➤",""),"")</f>
        <v/>
      </c>
      <c r="RW33" s="76" t="str">
        <f aca="false">IF($I33&gt;0%,IF(AND(RW$16&gt;=$F33,RW$16&lt;$F33+($G33*$I33)),"➤",""),"")</f>
        <v/>
      </c>
      <c r="RX33" s="76" t="str">
        <f aca="false">IF($I33&gt;0%,IF(AND(RX$16&gt;=$F33,RX$16&lt;$F33+($G33*$I33)),"➤",""),"")</f>
        <v/>
      </c>
      <c r="RY33" s="76" t="str">
        <f aca="false">IF($I33&gt;0%,IF(AND(RY$16&gt;=$F33,RY$16&lt;$F33+($G33*$I33)),"➤",""),"")</f>
        <v/>
      </c>
      <c r="RZ33" s="76" t="str">
        <f aca="false">IF($I33&gt;0%,IF(AND(RZ$16&gt;=$F33,RZ$16&lt;$F33+($G33*$I33)),"➤",""),"")</f>
        <v/>
      </c>
      <c r="SA33" s="76" t="str">
        <f aca="false">IF($I33&gt;0%,IF(AND(SA$16&gt;=$F33,SA$16&lt;$F33+($G33*$I33)),"➤",""),"")</f>
        <v/>
      </c>
      <c r="SB33" s="76" t="str">
        <f aca="false">IF($I33&gt;0%,IF(AND(SB$16&gt;=$F33,SB$16&lt;$F33+($G33*$I33)),"➤",""),"")</f>
        <v/>
      </c>
      <c r="SC33" s="76" t="str">
        <f aca="false">IF($I33&gt;0%,IF(AND(SC$16&gt;=$F33,SC$16&lt;$F33+($G33*$I33)),"➤",""),"")</f>
        <v/>
      </c>
      <c r="SD33" s="76" t="str">
        <f aca="false">IF($I33&gt;0%,IF(AND(SD$16&gt;=$F33,SD$16&lt;$F33+($G33*$I33)),"➤",""),"")</f>
        <v/>
      </c>
      <c r="SE33" s="76" t="str">
        <f aca="false">IF($I33&gt;0%,IF(AND(SE$16&gt;=$F33,SE$16&lt;$F33+($G33*$I33)),"➤",""),"")</f>
        <v/>
      </c>
      <c r="SF33" s="76" t="str">
        <f aca="false">IF($I33&gt;0%,IF(AND(SF$16&gt;=$F33,SF$16&lt;$F33+($G33*$I33)),"➤",""),"")</f>
        <v/>
      </c>
      <c r="SG33" s="76" t="str">
        <f aca="false">IF($I33&gt;0%,IF(AND(SG$16&gt;=$F33,SG$16&lt;$F33+($G33*$I33)),"➤",""),"")</f>
        <v/>
      </c>
      <c r="SH33" s="76" t="str">
        <f aca="false">IF($I33&gt;0%,IF(AND(SH$16&gt;=$F33,SH$16&lt;$F33+($G33*$I33)),"➤",""),"")</f>
        <v/>
      </c>
      <c r="SI33" s="76" t="str">
        <f aca="false">IF($I33&gt;0%,IF(AND(SI$16&gt;=$F33,SI$16&lt;$F33+($G33*$I33)),"➤",""),"")</f>
        <v/>
      </c>
      <c r="SJ33" s="76" t="str">
        <f aca="false">IF($I33&gt;0%,IF(AND(SJ$16&gt;=$F33,SJ$16&lt;$F33+($G33*$I33)),"➤",""),"")</f>
        <v/>
      </c>
      <c r="SK33" s="76" t="str">
        <f aca="false">IF($I33&gt;0%,IF(AND(SK$16&gt;=$F33,SK$16&lt;$F33+($G33*$I33)),"➤",""),"")</f>
        <v/>
      </c>
      <c r="SL33" s="76" t="str">
        <f aca="false">IF($I33&gt;0%,IF(AND(SL$16&gt;=$F33,SL$16&lt;$F33+($G33*$I33)),"➤",""),"")</f>
        <v/>
      </c>
      <c r="SM33" s="76" t="str">
        <f aca="false">IF($I33&gt;0%,IF(AND(SM$16&gt;=$F33,SM$16&lt;$F33+($G33*$I33)),"➤",""),"")</f>
        <v/>
      </c>
      <c r="SN33" s="76" t="str">
        <f aca="false">IF($I33&gt;0%,IF(AND(SN$16&gt;=$F33,SN$16&lt;$F33+($G33*$I33)),"➤",""),"")</f>
        <v/>
      </c>
      <c r="SO33" s="76" t="str">
        <f aca="false">IF($I33&gt;0%,IF(AND(SO$16&gt;=$F33,SO$16&lt;$F33+($G33*$I33)),"➤",""),"")</f>
        <v/>
      </c>
      <c r="SP33" s="76" t="str">
        <f aca="false">IF($I33&gt;0%,IF(AND(SP$16&gt;=$F33,SP$16&lt;$F33+($G33*$I33)),"➤",""),"")</f>
        <v/>
      </c>
      <c r="SQ33" s="76" t="str">
        <f aca="false">IF($I33&gt;0%,IF(AND(SQ$16&gt;=$F33,SQ$16&lt;$F33+($G33*$I33)),"➤",""),"")</f>
        <v/>
      </c>
      <c r="SR33" s="76" t="str">
        <f aca="false">IF($I33&gt;0%,IF(AND(SR$16&gt;=$F33,SR$16&lt;$F33+($G33*$I33)),"➤",""),"")</f>
        <v/>
      </c>
      <c r="SS33" s="76" t="str">
        <f aca="false">IF($I33&gt;0%,IF(AND(SS$16&gt;=$F33,SS$16&lt;$F33+($G33*$I33)),"➤",""),"")</f>
        <v/>
      </c>
      <c r="ST33" s="76" t="str">
        <f aca="false">IF($I33&gt;0%,IF(AND(ST$16&gt;=$F33,ST$16&lt;$F33+($G33*$I33)),"➤",""),"")</f>
        <v/>
      </c>
      <c r="SU33" s="76" t="str">
        <f aca="false">IF($I33&gt;0%,IF(AND(SU$16&gt;=$F33,SU$16&lt;$F33+($G33*$I33)),"➤",""),"")</f>
        <v/>
      </c>
      <c r="SV33" s="76" t="str">
        <f aca="false">IF($I33&gt;0%,IF(AND(SV$16&gt;=$F33,SV$16&lt;$F33+($G33*$I33)),"➤",""),"")</f>
        <v/>
      </c>
      <c r="SW33" s="77" t="str">
        <f aca="false">IF($I33&gt;0%,IF(AND(SW$16&gt;=$F33,SW$16&lt;$F33+($G33*$I33)),"➤",""),"")</f>
        <v/>
      </c>
    </row>
    <row r="34" customFormat="false" ht="14.25" hidden="false" customHeight="false" outlineLevel="1" collapsed="false">
      <c r="C34" s="10"/>
      <c r="D34" s="78"/>
      <c r="E34" s="79"/>
      <c r="F34" s="80" t="n">
        <v>44147</v>
      </c>
      <c r="G34" s="93" t="n">
        <v>5</v>
      </c>
      <c r="H34" s="94" t="n">
        <f aca="false">(F34+G34)-1</f>
        <v>44151</v>
      </c>
      <c r="I34" s="95" t="n">
        <v>1</v>
      </c>
      <c r="J34" s="84"/>
      <c r="K34" s="85"/>
      <c r="L34" s="75" t="str">
        <f aca="false">IF($I34&gt;0%,IF(AND(L$16&gt;=$F34,L$16&lt;$F34+($G34*$I34)),"➤",""),"")</f>
        <v/>
      </c>
      <c r="M34" s="76" t="str">
        <f aca="false">IF($I34&gt;0%,IF(AND(M$16&gt;=$F34,M$16&lt;$F34+($G34*$I34)),"➤",""),"")</f>
        <v/>
      </c>
      <c r="N34" s="76" t="str">
        <f aca="false">IF($I34&gt;0%,IF(AND(N$16&gt;=$F34,N$16&lt;$F34+($G34*$I34)),"➤",""),"")</f>
        <v/>
      </c>
      <c r="O34" s="76" t="str">
        <f aca="false">IF($I34&gt;0%,IF(AND(O$16&gt;=$F34,O$16&lt;$F34+($G34*$I34)),"➤",""),"")</f>
        <v/>
      </c>
      <c r="P34" s="76" t="str">
        <f aca="false">IF($I34&gt;0%,IF(AND(P$16&gt;=$F34,P$16&lt;$F34+($G34*$I34)),"➤",""),"")</f>
        <v/>
      </c>
      <c r="Q34" s="76" t="str">
        <f aca="false">IF($I34&gt;0%,IF(AND(Q$16&gt;=$F34,Q$16&lt;$F34+($G34*$I34)),"➤",""),"")</f>
        <v/>
      </c>
      <c r="R34" s="76" t="str">
        <f aca="false">IF($I34&gt;0%,IF(AND(R$16&gt;=$F34,R$16&lt;$F34+($G34*$I34)),"➤",""),"")</f>
        <v/>
      </c>
      <c r="S34" s="76" t="str">
        <f aca="false">IF($I34&gt;0%,IF(AND(S$16&gt;=$F34,S$16&lt;$F34+($G34*$I34)),"➤",""),"")</f>
        <v/>
      </c>
      <c r="T34" s="76" t="str">
        <f aca="false">IF($I34&gt;0%,IF(AND(T$16&gt;=$F34,T$16&lt;$F34+($G34*$I34)),"➤",""),"")</f>
        <v/>
      </c>
      <c r="U34" s="76" t="str">
        <f aca="false">IF($I34&gt;0%,IF(AND(U$16&gt;=$F34,U$16&lt;$F34+($G34*$I34)),"➤",""),"")</f>
        <v/>
      </c>
      <c r="V34" s="76" t="str">
        <f aca="false">IF($I34&gt;0%,IF(AND(V$16&gt;=$F34,V$16&lt;$F34+($G34*$I34)),"➤",""),"")</f>
        <v/>
      </c>
      <c r="W34" s="76" t="str">
        <f aca="false">IF($I34&gt;0%,IF(AND(W$16&gt;=$F34,W$16&lt;$F34+($G34*$I34)),"➤",""),"")</f>
        <v/>
      </c>
      <c r="X34" s="76" t="str">
        <f aca="false">IF($I34&gt;0%,IF(AND(X$16&gt;=$F34,X$16&lt;$F34+($G34*$I34)),"➤",""),"")</f>
        <v/>
      </c>
      <c r="Y34" s="76" t="str">
        <f aca="false">IF($I34&gt;0%,IF(AND(Y$16&gt;=$F34,Y$16&lt;$F34+($G34*$I34)),"➤",""),"")</f>
        <v/>
      </c>
      <c r="Z34" s="76" t="str">
        <f aca="false">IF($I34&gt;0%,IF(AND(Z$16&gt;=$F34,Z$16&lt;$F34+($G34*$I34)),"➤",""),"")</f>
        <v/>
      </c>
      <c r="AA34" s="76" t="str">
        <f aca="false">IF($I34&gt;0%,IF(AND(AA$16&gt;=$F34,AA$16&lt;$F34+($G34*$I34)),"➤",""),"")</f>
        <v/>
      </c>
      <c r="AB34" s="76" t="str">
        <f aca="false">IF($I34&gt;0%,IF(AND(AB$16&gt;=$F34,AB$16&lt;$F34+($G34*$I34)),"➤",""),"")</f>
        <v/>
      </c>
      <c r="AC34" s="76" t="str">
        <f aca="false">IF($I34&gt;0%,IF(AND(AC$16&gt;=$F34,AC$16&lt;$F34+($G34*$I34)),"➤",""),"")</f>
        <v/>
      </c>
      <c r="AD34" s="76" t="str">
        <f aca="false">IF($I34&gt;0%,IF(AND(AD$16&gt;=$F34,AD$16&lt;$F34+($G34*$I34)),"➤",""),"")</f>
        <v/>
      </c>
      <c r="AE34" s="76" t="str">
        <f aca="false">IF($I34&gt;0%,IF(AND(AE$16&gt;=$F34,AE$16&lt;$F34+($G34*$I34)),"➤",""),"")</f>
        <v/>
      </c>
      <c r="AF34" s="76" t="str">
        <f aca="false">IF($I34&gt;0%,IF(AND(AF$16&gt;=$F34,AF$16&lt;$F34+($G34*$I34)),"➤",""),"")</f>
        <v/>
      </c>
      <c r="AG34" s="76" t="str">
        <f aca="false">IF($I34&gt;0%,IF(AND(AG$16&gt;=$F34,AG$16&lt;$F34+($G34*$I34)),"➤",""),"")</f>
        <v/>
      </c>
      <c r="AH34" s="76" t="str">
        <f aca="false">IF($I34&gt;0%,IF(AND(AH$16&gt;=$F34,AH$16&lt;$F34+($G34*$I34)),"➤",""),"")</f>
        <v/>
      </c>
      <c r="AI34" s="76" t="str">
        <f aca="false">IF($I34&gt;0%,IF(AND(AI$16&gt;=$F34,AI$16&lt;$F34+($G34*$I34)),"➤",""),"")</f>
        <v/>
      </c>
      <c r="AJ34" s="76" t="str">
        <f aca="false">IF($I34&gt;0%,IF(AND(AJ$16&gt;=$F34,AJ$16&lt;$F34+($G34*$I34)),"➤",""),"")</f>
        <v/>
      </c>
      <c r="AK34" s="76" t="str">
        <f aca="false">IF($I34&gt;0%,IF(AND(AK$16&gt;=$F34,AK$16&lt;$F34+($G34*$I34)),"➤",""),"")</f>
        <v/>
      </c>
      <c r="AL34" s="76" t="str">
        <f aca="false">IF($I34&gt;0%,IF(AND(AL$16&gt;=$F34,AL$16&lt;$F34+($G34*$I34)),"➤",""),"")</f>
        <v/>
      </c>
      <c r="AM34" s="76" t="str">
        <f aca="false">IF($I34&gt;0%,IF(AND(AM$16&gt;=$F34,AM$16&lt;$F34+($G34*$I34)),"➤",""),"")</f>
        <v/>
      </c>
      <c r="AN34" s="76" t="str">
        <f aca="false">IF($I34&gt;0%,IF(AND(AN$16&gt;=$F34,AN$16&lt;$F34+($G34*$I34)),"➤",""),"")</f>
        <v/>
      </c>
      <c r="AO34" s="76" t="str">
        <f aca="false">IF($I34&gt;0%,IF(AND(AO$16&gt;=$F34,AO$16&lt;$F34+($G34*$I34)),"➤",""),"")</f>
        <v/>
      </c>
      <c r="AP34" s="76" t="str">
        <f aca="false">IF($I34&gt;0%,IF(AND(AP$16&gt;=$F34,AP$16&lt;$F34+($G34*$I34)),"➤",""),"")</f>
        <v/>
      </c>
      <c r="AQ34" s="76" t="str">
        <f aca="false">IF($I34&gt;0%,IF(AND(AQ$16&gt;=$F34,AQ$16&lt;$F34+($G34*$I34)),"➤",""),"")</f>
        <v/>
      </c>
      <c r="AR34" s="76" t="str">
        <f aca="false">IF($I34&gt;0%,IF(AND(AR$16&gt;=$F34,AR$16&lt;$F34+($G34*$I34)),"➤",""),"")</f>
        <v/>
      </c>
      <c r="AS34" s="76" t="str">
        <f aca="false">IF($I34&gt;0%,IF(AND(AS$16&gt;=$F34,AS$16&lt;$F34+($G34*$I34)),"➤",""),"")</f>
        <v/>
      </c>
      <c r="AT34" s="76" t="str">
        <f aca="false">IF($I34&gt;0%,IF(AND(AT$16&gt;=$F34,AT$16&lt;$F34+($G34*$I34)),"➤",""),"")</f>
        <v/>
      </c>
      <c r="AU34" s="76" t="str">
        <f aca="false">IF($I34&gt;0%,IF(AND(AU$16&gt;=$F34,AU$16&lt;$F34+($G34*$I34)),"➤",""),"")</f>
        <v/>
      </c>
      <c r="AV34" s="76" t="str">
        <f aca="false">IF($I34&gt;0%,IF(AND(AV$16&gt;=$F34,AV$16&lt;$F34+($G34*$I34)),"➤",""),"")</f>
        <v/>
      </c>
      <c r="AW34" s="76" t="str">
        <f aca="false">IF($I34&gt;0%,IF(AND(AW$16&gt;=$F34,AW$16&lt;$F34+($G34*$I34)),"➤",""),"")</f>
        <v/>
      </c>
      <c r="AX34" s="76" t="str">
        <f aca="false">IF($I34&gt;0%,IF(AND(AX$16&gt;=$F34,AX$16&lt;$F34+($G34*$I34)),"➤",""),"")</f>
        <v/>
      </c>
      <c r="AY34" s="76" t="str">
        <f aca="false">IF($I34&gt;0%,IF(AND(AY$16&gt;=$F34,AY$16&lt;$F34+($G34*$I34)),"➤",""),"")</f>
        <v/>
      </c>
      <c r="AZ34" s="76" t="str">
        <f aca="false">IF($I34&gt;0%,IF(AND(AZ$16&gt;=$F34,AZ$16&lt;$F34+($G34*$I34)),"➤",""),"")</f>
        <v/>
      </c>
      <c r="BA34" s="76" t="str">
        <f aca="false">IF($I34&gt;0%,IF(AND(BA$16&gt;=$F34,BA$16&lt;$F34+($G34*$I34)),"➤",""),"")</f>
        <v/>
      </c>
      <c r="BB34" s="76" t="str">
        <f aca="false">IF($I34&gt;0%,IF(AND(BB$16&gt;=$F34,BB$16&lt;$F34+($G34*$I34)),"➤",""),"")</f>
        <v/>
      </c>
      <c r="BC34" s="76" t="str">
        <f aca="false">IF($I34&gt;0%,IF(AND(BC$16&gt;=$F34,BC$16&lt;$F34+($G34*$I34)),"➤",""),"")</f>
        <v/>
      </c>
      <c r="BD34" s="76" t="str">
        <f aca="false">IF($I34&gt;0%,IF(AND(BD$16&gt;=$F34,BD$16&lt;$F34+($G34*$I34)),"➤",""),"")</f>
        <v/>
      </c>
      <c r="BE34" s="76" t="str">
        <f aca="false">IF($I34&gt;0%,IF(AND(BE$16&gt;=$F34,BE$16&lt;$F34+($G34*$I34)),"➤",""),"")</f>
        <v/>
      </c>
      <c r="BF34" s="76" t="str">
        <f aca="false">IF($I34&gt;0%,IF(AND(BF$16&gt;=$F34,BF$16&lt;$F34+($G34*$I34)),"➤",""),"")</f>
        <v/>
      </c>
      <c r="BG34" s="76" t="str">
        <f aca="false">IF($I34&gt;0%,IF(AND(BG$16&gt;=$F34,BG$16&lt;$F34+($G34*$I34)),"➤",""),"")</f>
        <v/>
      </c>
      <c r="BH34" s="76" t="str">
        <f aca="false">IF($I34&gt;0%,IF(AND(BH$16&gt;=$F34,BH$16&lt;$F34+($G34*$I34)),"➤",""),"")</f>
        <v/>
      </c>
      <c r="BI34" s="76" t="str">
        <f aca="false">IF($I34&gt;0%,IF(AND(BI$16&gt;=$F34,BI$16&lt;$F34+($G34*$I34)),"➤",""),"")</f>
        <v/>
      </c>
      <c r="BJ34" s="76" t="str">
        <f aca="false">IF($I34&gt;0%,IF(AND(BJ$16&gt;=$F34,BJ$16&lt;$F34+($G34*$I34)),"➤",""),"")</f>
        <v/>
      </c>
      <c r="BK34" s="76" t="str">
        <f aca="false">IF($I34&gt;0%,IF(AND(BK$16&gt;=$F34,BK$16&lt;$F34+($G34*$I34)),"➤",""),"")</f>
        <v/>
      </c>
      <c r="BL34" s="76" t="str">
        <f aca="false">IF($I34&gt;0%,IF(AND(BL$16&gt;=$F34,BL$16&lt;$F34+($G34*$I34)),"➤",""),"")</f>
        <v/>
      </c>
      <c r="BM34" s="76" t="str">
        <f aca="false">IF($I34&gt;0%,IF(AND(BM$16&gt;=$F34,BM$16&lt;$F34+($G34*$I34)),"➤",""),"")</f>
        <v/>
      </c>
      <c r="BN34" s="76" t="str">
        <f aca="false">IF($I34&gt;0%,IF(AND(BN$16&gt;=$F34,BN$16&lt;$F34+($G34*$I34)),"➤",""),"")</f>
        <v/>
      </c>
      <c r="BO34" s="76" t="str">
        <f aca="false">IF($I34&gt;0%,IF(AND(BO$16&gt;=$F34,BO$16&lt;$F34+($G34*$I34)),"➤",""),"")</f>
        <v/>
      </c>
      <c r="BP34" s="76" t="str">
        <f aca="false">IF($I34&gt;0%,IF(AND(BP$16&gt;=$F34,BP$16&lt;$F34+($G34*$I34)),"➤",""),"")</f>
        <v/>
      </c>
      <c r="BQ34" s="76" t="str">
        <f aca="false">IF($I34&gt;0%,IF(AND(BQ$16&gt;=$F34,BQ$16&lt;$F34+($G34*$I34)),"➤",""),"")</f>
        <v/>
      </c>
      <c r="BR34" s="76" t="str">
        <f aca="false">IF($I34&gt;0%,IF(AND(BR$16&gt;=$F34,BR$16&lt;$F34+($G34*$I34)),"➤",""),"")</f>
        <v/>
      </c>
      <c r="BS34" s="76" t="str">
        <f aca="false">IF($I34&gt;0%,IF(AND(BS$16&gt;=$F34,BS$16&lt;$F34+($G34*$I34)),"➤",""),"")</f>
        <v/>
      </c>
      <c r="BT34" s="76" t="str">
        <f aca="false">IF($I34&gt;0%,IF(AND(BT$16&gt;=$F34,BT$16&lt;$F34+($G34*$I34)),"➤",""),"")</f>
        <v/>
      </c>
      <c r="BU34" s="76" t="str">
        <f aca="false">IF($I34&gt;0%,IF(AND(BU$16&gt;=$F34,BU$16&lt;$F34+($G34*$I34)),"➤",""),"")</f>
        <v/>
      </c>
      <c r="BV34" s="76" t="str">
        <f aca="false">IF($I34&gt;0%,IF(AND(BV$16&gt;=$F34,BV$16&lt;$F34+($G34*$I34)),"➤",""),"")</f>
        <v/>
      </c>
      <c r="BW34" s="76" t="str">
        <f aca="false">IF($I34&gt;0%,IF(AND(BW$16&gt;=$F34,BW$16&lt;$F34+($G34*$I34)),"➤",""),"")</f>
        <v/>
      </c>
      <c r="BX34" s="76" t="str">
        <f aca="false">IF($I34&gt;0%,IF(AND(BX$16&gt;=$F34,BX$16&lt;$F34+($G34*$I34)),"➤",""),"")</f>
        <v/>
      </c>
      <c r="BY34" s="76" t="str">
        <f aca="false">IF($I34&gt;0%,IF(AND(BY$16&gt;=$F34,BY$16&lt;$F34+($G34*$I34)),"➤",""),"")</f>
        <v/>
      </c>
      <c r="BZ34" s="76" t="str">
        <f aca="false">IF($I34&gt;0%,IF(AND(BZ$16&gt;=$F34,BZ$16&lt;$F34+($G34*$I34)),"➤",""),"")</f>
        <v/>
      </c>
      <c r="CA34" s="76" t="str">
        <f aca="false">IF($I34&gt;0%,IF(AND(CA$16&gt;=$F34,CA$16&lt;$F34+($G34*$I34)),"➤",""),"")</f>
        <v/>
      </c>
      <c r="CB34" s="76" t="str">
        <f aca="false">IF($I34&gt;0%,IF(AND(CB$16&gt;=$F34,CB$16&lt;$F34+($G34*$I34)),"➤",""),"")</f>
        <v/>
      </c>
      <c r="CC34" s="76" t="str">
        <f aca="false">IF($I34&gt;0%,IF(AND(CC$16&gt;=$F34,CC$16&lt;$F34+($G34*$I34)),"➤",""),"")</f>
        <v/>
      </c>
      <c r="CD34" s="76" t="str">
        <f aca="false">IF($I34&gt;0%,IF(AND(CD$16&gt;=$F34,CD$16&lt;$F34+($G34*$I34)),"➤",""),"")</f>
        <v/>
      </c>
      <c r="CE34" s="76" t="str">
        <f aca="false">IF($I34&gt;0%,IF(AND(CE$16&gt;=$F34,CE$16&lt;$F34+($G34*$I34)),"➤",""),"")</f>
        <v/>
      </c>
      <c r="CF34" s="76" t="str">
        <f aca="false">IF($I34&gt;0%,IF(AND(CF$16&gt;=$F34,CF$16&lt;$F34+($G34*$I34)),"➤",""),"")</f>
        <v/>
      </c>
      <c r="CG34" s="76" t="str">
        <f aca="false">IF($I34&gt;0%,IF(AND(CG$16&gt;=$F34,CG$16&lt;$F34+($G34*$I34)),"➤",""),"")</f>
        <v/>
      </c>
      <c r="CH34" s="76" t="str">
        <f aca="false">IF($I34&gt;0%,IF(AND(CH$16&gt;=$F34,CH$16&lt;$F34+($G34*$I34)),"➤",""),"")</f>
        <v/>
      </c>
      <c r="CI34" s="76" t="str">
        <f aca="false">IF($I34&gt;0%,IF(AND(CI$16&gt;=$F34,CI$16&lt;$F34+($G34*$I34)),"➤",""),"")</f>
        <v/>
      </c>
      <c r="CJ34" s="76" t="str">
        <f aca="false">IF($I34&gt;0%,IF(AND(CJ$16&gt;=$F34,CJ$16&lt;$F34+($G34*$I34)),"➤",""),"")</f>
        <v/>
      </c>
      <c r="CK34" s="76" t="str">
        <f aca="false">IF($I34&gt;0%,IF(AND(CK$16&gt;=$F34,CK$16&lt;$F34+($G34*$I34)),"➤",""),"")</f>
        <v/>
      </c>
      <c r="CL34" s="76" t="str">
        <f aca="false">IF($I34&gt;0%,IF(AND(CL$16&gt;=$F34,CL$16&lt;$F34+($G34*$I34)),"➤",""),"")</f>
        <v/>
      </c>
      <c r="CM34" s="76" t="str">
        <f aca="false">IF($I34&gt;0%,IF(AND(CM$16&gt;=$F34,CM$16&lt;$F34+($G34*$I34)),"➤",""),"")</f>
        <v/>
      </c>
      <c r="CN34" s="76" t="str">
        <f aca="false">IF($I34&gt;0%,IF(AND(CN$16&gt;=$F34,CN$16&lt;$F34+($G34*$I34)),"➤",""),"")</f>
        <v/>
      </c>
      <c r="CO34" s="76" t="str">
        <f aca="false">IF($I34&gt;0%,IF(AND(CO$16&gt;=$F34,CO$16&lt;$F34+($G34*$I34)),"➤",""),"")</f>
        <v/>
      </c>
      <c r="CP34" s="76" t="str">
        <f aca="false">IF($I34&gt;0%,IF(AND(CP$16&gt;=$F34,CP$16&lt;$F34+($G34*$I34)),"➤",""),"")</f>
        <v/>
      </c>
      <c r="CQ34" s="76" t="str">
        <f aca="false">IF($I34&gt;0%,IF(AND(CQ$16&gt;=$F34,CQ$16&lt;$F34+($G34*$I34)),"➤",""),"")</f>
        <v/>
      </c>
      <c r="CR34" s="76" t="str">
        <f aca="false">IF($I34&gt;0%,IF(AND(CR$16&gt;=$F34,CR$16&lt;$F34+($G34*$I34)),"➤",""),"")</f>
        <v/>
      </c>
      <c r="CS34" s="76" t="str">
        <f aca="false">IF($I34&gt;0%,IF(AND(CS$16&gt;=$F34,CS$16&lt;$F34+($G34*$I34)),"➤",""),"")</f>
        <v/>
      </c>
      <c r="CT34" s="76" t="str">
        <f aca="false">IF($I34&gt;0%,IF(AND(CT$16&gt;=$F34,CT$16&lt;$F34+($G34*$I34)),"➤",""),"")</f>
        <v/>
      </c>
      <c r="CU34" s="76" t="str">
        <f aca="false">IF($I34&gt;0%,IF(AND(CU$16&gt;=$F34,CU$16&lt;$F34+($G34*$I34)),"➤",""),"")</f>
        <v/>
      </c>
      <c r="CV34" s="76" t="str">
        <f aca="false">IF($I34&gt;0%,IF(AND(CV$16&gt;=$F34,CV$16&lt;$F34+($G34*$I34)),"➤",""),"")</f>
        <v/>
      </c>
      <c r="CW34" s="76" t="str">
        <f aca="false">IF($I34&gt;0%,IF(AND(CW$16&gt;=$F34,CW$16&lt;$F34+($G34*$I34)),"➤",""),"")</f>
        <v/>
      </c>
      <c r="CX34" s="76" t="str">
        <f aca="false">IF($I34&gt;0%,IF(AND(CX$16&gt;=$F34,CX$16&lt;$F34+($G34*$I34)),"➤",""),"")</f>
        <v/>
      </c>
      <c r="CY34" s="76" t="str">
        <f aca="false">IF($I34&gt;0%,IF(AND(CY$16&gt;=$F34,CY$16&lt;$F34+($G34*$I34)),"➤",""),"")</f>
        <v/>
      </c>
      <c r="CZ34" s="76" t="str">
        <f aca="false">IF($I34&gt;0%,IF(AND(CZ$16&gt;=$F34,CZ$16&lt;$F34+($G34*$I34)),"➤",""),"")</f>
        <v/>
      </c>
      <c r="DA34" s="76" t="str">
        <f aca="false">IF($I34&gt;0%,IF(AND(DA$16&gt;=$F34,DA$16&lt;$F34+($G34*$I34)),"➤",""),"")</f>
        <v/>
      </c>
      <c r="DB34" s="76" t="str">
        <f aca="false">IF($I34&gt;0%,IF(AND(DB$16&gt;=$F34,DB$16&lt;$F34+($G34*$I34)),"➤",""),"")</f>
        <v/>
      </c>
      <c r="DC34" s="76" t="str">
        <f aca="false">IF($I34&gt;0%,IF(AND(DC$16&gt;=$F34,DC$16&lt;$F34+($G34*$I34)),"➤",""),"")</f>
        <v/>
      </c>
      <c r="DD34" s="76" t="str">
        <f aca="false">IF($I34&gt;0%,IF(AND(DD$16&gt;=$F34,DD$16&lt;$F34+($G34*$I34)),"➤",""),"")</f>
        <v/>
      </c>
      <c r="DE34" s="76" t="str">
        <f aca="false">IF($I34&gt;0%,IF(AND(DE$16&gt;=$F34,DE$16&lt;$F34+($G34*$I34)),"➤",""),"")</f>
        <v/>
      </c>
      <c r="DF34" s="76" t="str">
        <f aca="false">IF($I34&gt;0%,IF(AND(DF$16&gt;=$F34,DF$16&lt;$F34+($G34*$I34)),"➤",""),"")</f>
        <v/>
      </c>
      <c r="DG34" s="76" t="str">
        <f aca="false">IF($I34&gt;0%,IF(AND(DG$16&gt;=$F34,DG$16&lt;$F34+($G34*$I34)),"➤",""),"")</f>
        <v/>
      </c>
      <c r="DH34" s="76" t="str">
        <f aca="false">IF($I34&gt;0%,IF(AND(DH$16&gt;=$F34,DH$16&lt;$F34+($G34*$I34)),"➤",""),"")</f>
        <v/>
      </c>
      <c r="DI34" s="76" t="str">
        <f aca="false">IF($I34&gt;0%,IF(AND(DI$16&gt;=$F34,DI$16&lt;$F34+($G34*$I34)),"➤",""),"")</f>
        <v/>
      </c>
      <c r="DJ34" s="76" t="str">
        <f aca="false">IF($I34&gt;0%,IF(AND(DJ$16&gt;=$F34,DJ$16&lt;$F34+($G34*$I34)),"➤",""),"")</f>
        <v/>
      </c>
      <c r="DK34" s="76" t="str">
        <f aca="false">IF($I34&gt;0%,IF(AND(DK$16&gt;=$F34,DK$16&lt;$F34+($G34*$I34)),"➤",""),"")</f>
        <v/>
      </c>
      <c r="DL34" s="76" t="str">
        <f aca="false">IF($I34&gt;0%,IF(AND(DL$16&gt;=$F34,DL$16&lt;$F34+($G34*$I34)),"➤",""),"")</f>
        <v/>
      </c>
      <c r="DM34" s="76" t="str">
        <f aca="false">IF($I34&gt;0%,IF(AND(DM$16&gt;=$F34,DM$16&lt;$F34+($G34*$I34)),"➤",""),"")</f>
        <v/>
      </c>
      <c r="DN34" s="76" t="str">
        <f aca="false">IF($I34&gt;0%,IF(AND(DN$16&gt;=$F34,DN$16&lt;$F34+($G34*$I34)),"➤",""),"")</f>
        <v/>
      </c>
      <c r="DO34" s="76" t="str">
        <f aca="false">IF($I34&gt;0%,IF(AND(DO$16&gt;=$F34,DO$16&lt;$F34+($G34*$I34)),"➤",""),"")</f>
        <v/>
      </c>
      <c r="DP34" s="76" t="str">
        <f aca="false">IF($I34&gt;0%,IF(AND(DP$16&gt;=$F34,DP$16&lt;$F34+($G34*$I34)),"➤",""),"")</f>
        <v/>
      </c>
      <c r="DQ34" s="76" t="str">
        <f aca="false">IF($I34&gt;0%,IF(AND(DQ$16&gt;=$F34,DQ$16&lt;$F34+($G34*$I34)),"➤",""),"")</f>
        <v/>
      </c>
      <c r="DR34" s="76" t="str">
        <f aca="false">IF($I34&gt;0%,IF(AND(DR$16&gt;=$F34,DR$16&lt;$F34+($G34*$I34)),"➤",""),"")</f>
        <v/>
      </c>
      <c r="DS34" s="76" t="str">
        <f aca="false">IF($I34&gt;0%,IF(AND(DS$16&gt;=$F34,DS$16&lt;$F34+($G34*$I34)),"➤",""),"")</f>
        <v/>
      </c>
      <c r="DT34" s="76" t="str">
        <f aca="false">IF($I34&gt;0%,IF(AND(DT$16&gt;=$F34,DT$16&lt;$F34+($G34*$I34)),"➤",""),"")</f>
        <v/>
      </c>
      <c r="DU34" s="76" t="str">
        <f aca="false">IF($I34&gt;0%,IF(AND(DU$16&gt;=$F34,DU$16&lt;$F34+($G34*$I34)),"➤",""),"")</f>
        <v/>
      </c>
      <c r="DV34" s="76" t="str">
        <f aca="false">IF($I34&gt;0%,IF(AND(DV$16&gt;=$F34,DV$16&lt;$F34+($G34*$I34)),"➤",""),"")</f>
        <v/>
      </c>
      <c r="DW34" s="76" t="str">
        <f aca="false">IF($I34&gt;0%,IF(AND(DW$16&gt;=$F34,DW$16&lt;$F34+($G34*$I34)),"➤",""),"")</f>
        <v/>
      </c>
      <c r="DX34" s="76" t="str">
        <f aca="false">IF($I34&gt;0%,IF(AND(DX$16&gt;=$F34,DX$16&lt;$F34+($G34*$I34)),"➤",""),"")</f>
        <v/>
      </c>
      <c r="DY34" s="76" t="str">
        <f aca="false">IF($I34&gt;0%,IF(AND(DY$16&gt;=$F34,DY$16&lt;$F34+($G34*$I34)),"➤",""),"")</f>
        <v/>
      </c>
      <c r="DZ34" s="76" t="str">
        <f aca="false">IF($I34&gt;0%,IF(AND(DZ$16&gt;=$F34,DZ$16&lt;$F34+($G34*$I34)),"➤",""),"")</f>
        <v/>
      </c>
      <c r="EA34" s="76" t="str">
        <f aca="false">IF($I34&gt;0%,IF(AND(EA$16&gt;=$F34,EA$16&lt;$F34+($G34*$I34)),"➤",""),"")</f>
        <v/>
      </c>
      <c r="EB34" s="76" t="str">
        <f aca="false">IF($I34&gt;0%,IF(AND(EB$16&gt;=$F34,EB$16&lt;$F34+($G34*$I34)),"➤",""),"")</f>
        <v/>
      </c>
      <c r="EC34" s="76" t="str">
        <f aca="false">IF($I34&gt;0%,IF(AND(EC$16&gt;=$F34,EC$16&lt;$F34+($G34*$I34)),"➤",""),"")</f>
        <v/>
      </c>
      <c r="ED34" s="76" t="str">
        <f aca="false">IF($I34&gt;0%,IF(AND(ED$16&gt;=$F34,ED$16&lt;$F34+($G34*$I34)),"➤",""),"")</f>
        <v/>
      </c>
      <c r="EE34" s="76" t="str">
        <f aca="false">IF($I34&gt;0%,IF(AND(EE$16&gt;=$F34,EE$16&lt;$F34+($G34*$I34)),"➤",""),"")</f>
        <v/>
      </c>
      <c r="EF34" s="76" t="str">
        <f aca="false">IF($I34&gt;0%,IF(AND(EF$16&gt;=$F34,EF$16&lt;$F34+($G34*$I34)),"➤",""),"")</f>
        <v/>
      </c>
      <c r="EG34" s="76" t="str">
        <f aca="false">IF($I34&gt;0%,IF(AND(EG$16&gt;=$F34,EG$16&lt;$F34+($G34*$I34)),"➤",""),"")</f>
        <v/>
      </c>
      <c r="EH34" s="76" t="str">
        <f aca="false">IF($I34&gt;0%,IF(AND(EH$16&gt;=$F34,EH$16&lt;$F34+($G34*$I34)),"➤",""),"")</f>
        <v/>
      </c>
      <c r="EI34" s="76" t="str">
        <f aca="false">IF($I34&gt;0%,IF(AND(EI$16&gt;=$F34,EI$16&lt;$F34+($G34*$I34)),"➤",""),"")</f>
        <v/>
      </c>
      <c r="EJ34" s="76" t="str">
        <f aca="false">IF($I34&gt;0%,IF(AND(EJ$16&gt;=$F34,EJ$16&lt;$F34+($G34*$I34)),"➤",""),"")</f>
        <v/>
      </c>
      <c r="EK34" s="76" t="str">
        <f aca="false">IF($I34&gt;0%,IF(AND(EK$16&gt;=$F34,EK$16&lt;$F34+($G34*$I34)),"➤",""),"")</f>
        <v/>
      </c>
      <c r="EL34" s="76" t="str">
        <f aca="false">IF($I34&gt;0%,IF(AND(EL$16&gt;=$F34,EL$16&lt;$F34+($G34*$I34)),"➤",""),"")</f>
        <v/>
      </c>
      <c r="EM34" s="76" t="str">
        <f aca="false">IF($I34&gt;0%,IF(AND(EM$16&gt;=$F34,EM$16&lt;$F34+($G34*$I34)),"➤",""),"")</f>
        <v/>
      </c>
      <c r="EN34" s="76" t="str">
        <f aca="false">IF($I34&gt;0%,IF(AND(EN$16&gt;=$F34,EN$16&lt;$F34+($G34*$I34)),"➤",""),"")</f>
        <v/>
      </c>
      <c r="EO34" s="76" t="str">
        <f aca="false">IF($I34&gt;0%,IF(AND(EO$16&gt;=$F34,EO$16&lt;$F34+($G34*$I34)),"➤",""),"")</f>
        <v/>
      </c>
      <c r="EP34" s="76" t="str">
        <f aca="false">IF($I34&gt;0%,IF(AND(EP$16&gt;=$F34,EP$16&lt;$F34+($G34*$I34)),"➤",""),"")</f>
        <v/>
      </c>
      <c r="EQ34" s="76" t="str">
        <f aca="false">IF($I34&gt;0%,IF(AND(EQ$16&gt;=$F34,EQ$16&lt;$F34+($G34*$I34)),"➤",""),"")</f>
        <v/>
      </c>
      <c r="ER34" s="76" t="str">
        <f aca="false">IF($I34&gt;0%,IF(AND(ER$16&gt;=$F34,ER$16&lt;$F34+($G34*$I34)),"➤",""),"")</f>
        <v/>
      </c>
      <c r="ES34" s="76" t="str">
        <f aca="false">IF($I34&gt;0%,IF(AND(ES$16&gt;=$F34,ES$16&lt;$F34+($G34*$I34)),"➤",""),"")</f>
        <v/>
      </c>
      <c r="ET34" s="76" t="str">
        <f aca="false">IF($I34&gt;0%,IF(AND(ET$16&gt;=$F34,ET$16&lt;$F34+($G34*$I34)),"➤",""),"")</f>
        <v/>
      </c>
      <c r="EU34" s="76" t="str">
        <f aca="false">IF($I34&gt;0%,IF(AND(EU$16&gt;=$F34,EU$16&lt;$F34+($G34*$I34)),"➤",""),"")</f>
        <v/>
      </c>
      <c r="EV34" s="76" t="str">
        <f aca="false">IF($I34&gt;0%,IF(AND(EV$16&gt;=$F34,EV$16&lt;$F34+($G34*$I34)),"➤",""),"")</f>
        <v/>
      </c>
      <c r="EW34" s="76" t="str">
        <f aca="false">IF($I34&gt;0%,IF(AND(EW$16&gt;=$F34,EW$16&lt;$F34+($G34*$I34)),"➤",""),"")</f>
        <v/>
      </c>
      <c r="EX34" s="76" t="str">
        <f aca="false">IF($I34&gt;0%,IF(AND(EX$16&gt;=$F34,EX$16&lt;$F34+($G34*$I34)),"➤",""),"")</f>
        <v/>
      </c>
      <c r="EY34" s="76" t="str">
        <f aca="false">IF($I34&gt;0%,IF(AND(EY$16&gt;=$F34,EY$16&lt;$F34+($G34*$I34)),"➤",""),"")</f>
        <v/>
      </c>
      <c r="EZ34" s="76" t="str">
        <f aca="false">IF($I34&gt;0%,IF(AND(EZ$16&gt;=$F34,EZ$16&lt;$F34+($G34*$I34)),"➤",""),"")</f>
        <v/>
      </c>
      <c r="FA34" s="76" t="str">
        <f aca="false">IF($I34&gt;0%,IF(AND(FA$16&gt;=$F34,FA$16&lt;$F34+($G34*$I34)),"➤",""),"")</f>
        <v/>
      </c>
      <c r="FB34" s="76" t="str">
        <f aca="false">IF($I34&gt;0%,IF(AND(FB$16&gt;=$F34,FB$16&lt;$F34+($G34*$I34)),"➤",""),"")</f>
        <v/>
      </c>
      <c r="FC34" s="76" t="str">
        <f aca="false">IF($I34&gt;0%,IF(AND(FC$16&gt;=$F34,FC$16&lt;$F34+($G34*$I34)),"➤",""),"")</f>
        <v/>
      </c>
      <c r="FD34" s="76" t="str">
        <f aca="false">IF($I34&gt;0%,IF(AND(FD$16&gt;=$F34,FD$16&lt;$F34+($G34*$I34)),"➤",""),"")</f>
        <v/>
      </c>
      <c r="FE34" s="76" t="str">
        <f aca="false">IF($I34&gt;0%,IF(AND(FE$16&gt;=$F34,FE$16&lt;$F34+($G34*$I34)),"➤",""),"")</f>
        <v/>
      </c>
      <c r="FF34" s="76" t="str">
        <f aca="false">IF($I34&gt;0%,IF(AND(FF$16&gt;=$F34,FF$16&lt;$F34+($G34*$I34)),"➤",""),"")</f>
        <v/>
      </c>
      <c r="FG34" s="76" t="str">
        <f aca="false">IF($I34&gt;0%,IF(AND(FG$16&gt;=$F34,FG$16&lt;$F34+($G34*$I34)),"➤",""),"")</f>
        <v/>
      </c>
      <c r="FH34" s="76" t="str">
        <f aca="false">IF($I34&gt;0%,IF(AND(FH$16&gt;=$F34,FH$16&lt;$F34+($G34*$I34)),"➤",""),"")</f>
        <v/>
      </c>
      <c r="FI34" s="76" t="str">
        <f aca="false">IF($I34&gt;0%,IF(AND(FI$16&gt;=$F34,FI$16&lt;$F34+($G34*$I34)),"➤",""),"")</f>
        <v/>
      </c>
      <c r="FJ34" s="76" t="str">
        <f aca="false">IF($I34&gt;0%,IF(AND(FJ$16&gt;=$F34,FJ$16&lt;$F34+($G34*$I34)),"➤",""),"")</f>
        <v/>
      </c>
      <c r="FK34" s="76" t="str">
        <f aca="false">IF($I34&gt;0%,IF(AND(FK$16&gt;=$F34,FK$16&lt;$F34+($G34*$I34)),"➤",""),"")</f>
        <v/>
      </c>
      <c r="FL34" s="76" t="str">
        <f aca="false">IF($I34&gt;0%,IF(AND(FL$16&gt;=$F34,FL$16&lt;$F34+($G34*$I34)),"➤",""),"")</f>
        <v/>
      </c>
      <c r="FM34" s="76" t="str">
        <f aca="false">IF($I34&gt;0%,IF(AND(FM$16&gt;=$F34,FM$16&lt;$F34+($G34*$I34)),"➤",""),"")</f>
        <v/>
      </c>
      <c r="FN34" s="76" t="str">
        <f aca="false">IF($I34&gt;0%,IF(AND(FN$16&gt;=$F34,FN$16&lt;$F34+($G34*$I34)),"➤",""),"")</f>
        <v/>
      </c>
      <c r="FO34" s="76" t="str">
        <f aca="false">IF($I34&gt;0%,IF(AND(FO$16&gt;=$F34,FO$16&lt;$F34+($G34*$I34)),"➤",""),"")</f>
        <v/>
      </c>
      <c r="FP34" s="76" t="str">
        <f aca="false">IF($I34&gt;0%,IF(AND(FP$16&gt;=$F34,FP$16&lt;$F34+($G34*$I34)),"➤",""),"")</f>
        <v/>
      </c>
      <c r="FQ34" s="76" t="str">
        <f aca="false">IF($I34&gt;0%,IF(AND(FQ$16&gt;=$F34,FQ$16&lt;$F34+($G34*$I34)),"➤",""),"")</f>
        <v/>
      </c>
      <c r="FR34" s="76" t="str">
        <f aca="false">IF($I34&gt;0%,IF(AND(FR$16&gt;=$F34,FR$16&lt;$F34+($G34*$I34)),"➤",""),"")</f>
        <v/>
      </c>
      <c r="FS34" s="76" t="str">
        <f aca="false">IF($I34&gt;0%,IF(AND(FS$16&gt;=$F34,FS$16&lt;$F34+($G34*$I34)),"➤",""),"")</f>
        <v/>
      </c>
      <c r="FT34" s="76" t="str">
        <f aca="false">IF($I34&gt;0%,IF(AND(FT$16&gt;=$F34,FT$16&lt;$F34+($G34*$I34)),"➤",""),"")</f>
        <v/>
      </c>
      <c r="FU34" s="76" t="str">
        <f aca="false">IF($I34&gt;0%,IF(AND(FU$16&gt;=$F34,FU$16&lt;$F34+($G34*$I34)),"➤",""),"")</f>
        <v/>
      </c>
      <c r="FV34" s="76" t="str">
        <f aca="false">IF($I34&gt;0%,IF(AND(FV$16&gt;=$F34,FV$16&lt;$F34+($G34*$I34)),"➤",""),"")</f>
        <v/>
      </c>
      <c r="FW34" s="76" t="str">
        <f aca="false">IF($I34&gt;0%,IF(AND(FW$16&gt;=$F34,FW$16&lt;$F34+($G34*$I34)),"➤",""),"")</f>
        <v/>
      </c>
      <c r="FX34" s="76" t="str">
        <f aca="false">IF($I34&gt;0%,IF(AND(FX$16&gt;=$F34,FX$16&lt;$F34+($G34*$I34)),"➤",""),"")</f>
        <v/>
      </c>
      <c r="FY34" s="76" t="str">
        <f aca="false">IF($I34&gt;0%,IF(AND(FY$16&gt;=$F34,FY$16&lt;$F34+($G34*$I34)),"➤",""),"")</f>
        <v/>
      </c>
      <c r="FZ34" s="76" t="str">
        <f aca="false">IF($I34&gt;0%,IF(AND(FZ$16&gt;=$F34,FZ$16&lt;$F34+($G34*$I34)),"➤",""),"")</f>
        <v/>
      </c>
      <c r="GA34" s="76" t="str">
        <f aca="false">IF($I34&gt;0%,IF(AND(GA$16&gt;=$F34,GA$16&lt;$F34+($G34*$I34)),"➤",""),"")</f>
        <v/>
      </c>
      <c r="GB34" s="76" t="str">
        <f aca="false">IF($I34&gt;0%,IF(AND(GB$16&gt;=$F34,GB$16&lt;$F34+($G34*$I34)),"➤",""),"")</f>
        <v/>
      </c>
      <c r="GC34" s="76" t="str">
        <f aca="false">IF($I34&gt;0%,IF(AND(GC$16&gt;=$F34,GC$16&lt;$F34+($G34*$I34)),"➤",""),"")</f>
        <v/>
      </c>
      <c r="GD34" s="76" t="str">
        <f aca="false">IF($I34&gt;0%,IF(AND(GD$16&gt;=$F34,GD$16&lt;$F34+($G34*$I34)),"➤",""),"")</f>
        <v/>
      </c>
      <c r="GE34" s="76" t="str">
        <f aca="false">IF($I34&gt;0%,IF(AND(GE$16&gt;=$F34,GE$16&lt;$F34+($G34*$I34)),"➤",""),"")</f>
        <v/>
      </c>
      <c r="GF34" s="76" t="str">
        <f aca="false">IF($I34&gt;0%,IF(AND(GF$16&gt;=$F34,GF$16&lt;$F34+($G34*$I34)),"➤",""),"")</f>
        <v/>
      </c>
      <c r="GG34" s="76" t="str">
        <f aca="false">IF($I34&gt;0%,IF(AND(GG$16&gt;=$F34,GG$16&lt;$F34+($G34*$I34)),"➤",""),"")</f>
        <v/>
      </c>
      <c r="GH34" s="76" t="str">
        <f aca="false">IF($I34&gt;0%,IF(AND(GH$16&gt;=$F34,GH$16&lt;$F34+($G34*$I34)),"➤",""),"")</f>
        <v/>
      </c>
      <c r="GI34" s="76" t="str">
        <f aca="false">IF($I34&gt;0%,IF(AND(GI$16&gt;=$F34,GI$16&lt;$F34+($G34*$I34)),"➤",""),"")</f>
        <v/>
      </c>
      <c r="GJ34" s="76" t="str">
        <f aca="false">IF($I34&gt;0%,IF(AND(GJ$16&gt;=$F34,GJ$16&lt;$F34+($G34*$I34)),"➤",""),"")</f>
        <v/>
      </c>
      <c r="GK34" s="76" t="str">
        <f aca="false">IF($I34&gt;0%,IF(AND(GK$16&gt;=$F34,GK$16&lt;$F34+($G34*$I34)),"➤",""),"")</f>
        <v/>
      </c>
      <c r="GL34" s="76" t="str">
        <f aca="false">IF($I34&gt;0%,IF(AND(GL$16&gt;=$F34,GL$16&lt;$F34+($G34*$I34)),"➤",""),"")</f>
        <v/>
      </c>
      <c r="GM34" s="76" t="str">
        <f aca="false">IF($I34&gt;0%,IF(AND(GM$16&gt;=$F34,GM$16&lt;$F34+($G34*$I34)),"➤",""),"")</f>
        <v/>
      </c>
      <c r="GN34" s="76" t="str">
        <f aca="false">IF($I34&gt;0%,IF(AND(GN$16&gt;=$F34,GN$16&lt;$F34+($G34*$I34)),"➤",""),"")</f>
        <v/>
      </c>
      <c r="GO34" s="76" t="str">
        <f aca="false">IF($I34&gt;0%,IF(AND(GO$16&gt;=$F34,GO$16&lt;$F34+($G34*$I34)),"➤",""),"")</f>
        <v/>
      </c>
      <c r="GP34" s="76" t="str">
        <f aca="false">IF($I34&gt;0%,IF(AND(GP$16&gt;=$F34,GP$16&lt;$F34+($G34*$I34)),"➤",""),"")</f>
        <v/>
      </c>
      <c r="GQ34" s="76" t="str">
        <f aca="false">IF($I34&gt;0%,IF(AND(GQ$16&gt;=$F34,GQ$16&lt;$F34+($G34*$I34)),"➤",""),"")</f>
        <v/>
      </c>
      <c r="GR34" s="76" t="str">
        <f aca="false">IF($I34&gt;0%,IF(AND(GR$16&gt;=$F34,GR$16&lt;$F34+($G34*$I34)),"➤",""),"")</f>
        <v/>
      </c>
      <c r="GS34" s="76" t="str">
        <f aca="false">IF($I34&gt;0%,IF(AND(GS$16&gt;=$F34,GS$16&lt;$F34+($G34*$I34)),"➤",""),"")</f>
        <v/>
      </c>
      <c r="GT34" s="76" t="str">
        <f aca="false">IF($I34&gt;0%,IF(AND(GT$16&gt;=$F34,GT$16&lt;$F34+($G34*$I34)),"➤",""),"")</f>
        <v/>
      </c>
      <c r="GU34" s="76" t="str">
        <f aca="false">IF($I34&gt;0%,IF(AND(GU$16&gt;=$F34,GU$16&lt;$F34+($G34*$I34)),"➤",""),"")</f>
        <v/>
      </c>
      <c r="GV34" s="76" t="str">
        <f aca="false">IF($I34&gt;0%,IF(AND(GV$16&gt;=$F34,GV$16&lt;$F34+($G34*$I34)),"➤",""),"")</f>
        <v/>
      </c>
      <c r="GW34" s="76" t="str">
        <f aca="false">IF($I34&gt;0%,IF(AND(GW$16&gt;=$F34,GW$16&lt;$F34+($G34*$I34)),"➤",""),"")</f>
        <v/>
      </c>
      <c r="GX34" s="76" t="str">
        <f aca="false">IF($I34&gt;0%,IF(AND(GX$16&gt;=$F34,GX$16&lt;$F34+($G34*$I34)),"➤",""),"")</f>
        <v/>
      </c>
      <c r="GY34" s="76" t="str">
        <f aca="false">IF($I34&gt;0%,IF(AND(GY$16&gt;=$F34,GY$16&lt;$F34+($G34*$I34)),"➤",""),"")</f>
        <v/>
      </c>
      <c r="GZ34" s="76" t="str">
        <f aca="false">IF($I34&gt;0%,IF(AND(GZ$16&gt;=$F34,GZ$16&lt;$F34+($G34*$I34)),"➤",""),"")</f>
        <v/>
      </c>
      <c r="HA34" s="76" t="str">
        <f aca="false">IF($I34&gt;0%,IF(AND(HA$16&gt;=$F34,HA$16&lt;$F34+($G34*$I34)),"➤",""),"")</f>
        <v/>
      </c>
      <c r="HB34" s="76" t="str">
        <f aca="false">IF($I34&gt;0%,IF(AND(HB$16&gt;=$F34,HB$16&lt;$F34+($G34*$I34)),"➤",""),"")</f>
        <v/>
      </c>
      <c r="HC34" s="76" t="str">
        <f aca="false">IF($I34&gt;0%,IF(AND(HC$16&gt;=$F34,HC$16&lt;$F34+($G34*$I34)),"➤",""),"")</f>
        <v/>
      </c>
      <c r="HD34" s="76" t="str">
        <f aca="false">IF($I34&gt;0%,IF(AND(HD$16&gt;=$F34,HD$16&lt;$F34+($G34*$I34)),"➤",""),"")</f>
        <v/>
      </c>
      <c r="HE34" s="76" t="str">
        <f aca="false">IF($I34&gt;0%,IF(AND(HE$16&gt;=$F34,HE$16&lt;$F34+($G34*$I34)),"➤",""),"")</f>
        <v/>
      </c>
      <c r="HF34" s="76" t="str">
        <f aca="false">IF($I34&gt;0%,IF(AND(HF$16&gt;=$F34,HF$16&lt;$F34+($G34*$I34)),"➤",""),"")</f>
        <v/>
      </c>
      <c r="HG34" s="76" t="str">
        <f aca="false">IF($I34&gt;0%,IF(AND(HG$16&gt;=$F34,HG$16&lt;$F34+($G34*$I34)),"➤",""),"")</f>
        <v/>
      </c>
      <c r="HH34" s="76" t="str">
        <f aca="false">IF($I34&gt;0%,IF(AND(HH$16&gt;=$F34,HH$16&lt;$F34+($G34*$I34)),"➤",""),"")</f>
        <v/>
      </c>
      <c r="HI34" s="76" t="str">
        <f aca="false">IF($I34&gt;0%,IF(AND(HI$16&gt;=$F34,HI$16&lt;$F34+($G34*$I34)),"➤",""),"")</f>
        <v/>
      </c>
      <c r="HJ34" s="76" t="str">
        <f aca="false">IF($I34&gt;0%,IF(AND(HJ$16&gt;=$F34,HJ$16&lt;$F34+($G34*$I34)),"➤",""),"")</f>
        <v/>
      </c>
      <c r="HK34" s="76" t="str">
        <f aca="false">IF($I34&gt;0%,IF(AND(HK$16&gt;=$F34,HK$16&lt;$F34+($G34*$I34)),"➤",""),"")</f>
        <v/>
      </c>
      <c r="HL34" s="76" t="str">
        <f aca="false">IF($I34&gt;0%,IF(AND(HL$16&gt;=$F34,HL$16&lt;$F34+($G34*$I34)),"➤",""),"")</f>
        <v/>
      </c>
      <c r="HM34" s="76" t="str">
        <f aca="false">IF($I34&gt;0%,IF(AND(HM$16&gt;=$F34,HM$16&lt;$F34+($G34*$I34)),"➤",""),"")</f>
        <v/>
      </c>
      <c r="HN34" s="76" t="str">
        <f aca="false">IF($I34&gt;0%,IF(AND(HN$16&gt;=$F34,HN$16&lt;$F34+($G34*$I34)),"➤",""),"")</f>
        <v/>
      </c>
      <c r="HO34" s="76" t="str">
        <f aca="false">IF($I34&gt;0%,IF(AND(HO$16&gt;=$F34,HO$16&lt;$F34+($G34*$I34)),"➤",""),"")</f>
        <v/>
      </c>
      <c r="HP34" s="76" t="str">
        <f aca="false">IF($I34&gt;0%,IF(AND(HP$16&gt;=$F34,HP$16&lt;$F34+($G34*$I34)),"➤",""),"")</f>
        <v/>
      </c>
      <c r="HQ34" s="76" t="str">
        <f aca="false">IF($I34&gt;0%,IF(AND(HQ$16&gt;=$F34,HQ$16&lt;$F34+($G34*$I34)),"➤",""),"")</f>
        <v/>
      </c>
      <c r="HR34" s="76" t="str">
        <f aca="false">IF($I34&gt;0%,IF(AND(HR$16&gt;=$F34,HR$16&lt;$F34+($G34*$I34)),"➤",""),"")</f>
        <v/>
      </c>
      <c r="HS34" s="76" t="str">
        <f aca="false">IF($I34&gt;0%,IF(AND(HS$16&gt;=$F34,HS$16&lt;$F34+($G34*$I34)),"➤",""),"")</f>
        <v/>
      </c>
      <c r="HT34" s="76" t="str">
        <f aca="false">IF($I34&gt;0%,IF(AND(HT$16&gt;=$F34,HT$16&lt;$F34+($G34*$I34)),"➤",""),"")</f>
        <v/>
      </c>
      <c r="HU34" s="76" t="str">
        <f aca="false">IF($I34&gt;0%,IF(AND(HU$16&gt;=$F34,HU$16&lt;$F34+($G34*$I34)),"➤",""),"")</f>
        <v/>
      </c>
      <c r="HV34" s="76" t="str">
        <f aca="false">IF($I34&gt;0%,IF(AND(HV$16&gt;=$F34,HV$16&lt;$F34+($G34*$I34)),"➤",""),"")</f>
        <v/>
      </c>
      <c r="HW34" s="76" t="str">
        <f aca="false">IF($I34&gt;0%,IF(AND(HW$16&gt;=$F34,HW$16&lt;$F34+($G34*$I34)),"➤",""),"")</f>
        <v/>
      </c>
      <c r="HX34" s="76" t="str">
        <f aca="false">IF($I34&gt;0%,IF(AND(HX$16&gt;=$F34,HX$16&lt;$F34+($G34*$I34)),"➤",""),"")</f>
        <v/>
      </c>
      <c r="HY34" s="76" t="str">
        <f aca="false">IF($I34&gt;0%,IF(AND(HY$16&gt;=$F34,HY$16&lt;$F34+($G34*$I34)),"➤",""),"")</f>
        <v/>
      </c>
      <c r="HZ34" s="76" t="str">
        <f aca="false">IF($I34&gt;0%,IF(AND(HZ$16&gt;=$F34,HZ$16&lt;$F34+($G34*$I34)),"➤",""),"")</f>
        <v/>
      </c>
      <c r="IA34" s="76" t="str">
        <f aca="false">IF($I34&gt;0%,IF(AND(IA$16&gt;=$F34,IA$16&lt;$F34+($G34*$I34)),"➤",""),"")</f>
        <v/>
      </c>
      <c r="IB34" s="76" t="str">
        <f aca="false">IF($I34&gt;0%,IF(AND(IB$16&gt;=$F34,IB$16&lt;$F34+($G34*$I34)),"➤",""),"")</f>
        <v/>
      </c>
      <c r="IC34" s="76" t="str">
        <f aca="false">IF($I34&gt;0%,IF(AND(IC$16&gt;=$F34,IC$16&lt;$F34+($G34*$I34)),"➤",""),"")</f>
        <v/>
      </c>
      <c r="ID34" s="76" t="str">
        <f aca="false">IF($I34&gt;0%,IF(AND(ID$16&gt;=$F34,ID$16&lt;$F34+($G34*$I34)),"➤",""),"")</f>
        <v/>
      </c>
      <c r="IE34" s="76" t="str">
        <f aca="false">IF($I34&gt;0%,IF(AND(IE$16&gt;=$F34,IE$16&lt;$F34+($G34*$I34)),"➤",""),"")</f>
        <v/>
      </c>
      <c r="IF34" s="76" t="str">
        <f aca="false">IF($I34&gt;0%,IF(AND(IF$16&gt;=$F34,IF$16&lt;$F34+($G34*$I34)),"➤",""),"")</f>
        <v/>
      </c>
      <c r="IG34" s="76" t="str">
        <f aca="false">IF($I34&gt;0%,IF(AND(IG$16&gt;=$F34,IG$16&lt;$F34+($G34*$I34)),"➤",""),"")</f>
        <v/>
      </c>
      <c r="IH34" s="76" t="str">
        <f aca="false">IF($I34&gt;0%,IF(AND(IH$16&gt;=$F34,IH$16&lt;$F34+($G34*$I34)),"➤",""),"")</f>
        <v/>
      </c>
      <c r="II34" s="76" t="str">
        <f aca="false">IF($I34&gt;0%,IF(AND(II$16&gt;=$F34,II$16&lt;$F34+($G34*$I34)),"➤",""),"")</f>
        <v/>
      </c>
      <c r="IJ34" s="76" t="str">
        <f aca="false">IF($I34&gt;0%,IF(AND(IJ$16&gt;=$F34,IJ$16&lt;$F34+($G34*$I34)),"➤",""),"")</f>
        <v/>
      </c>
      <c r="IK34" s="76" t="str">
        <f aca="false">IF($I34&gt;0%,IF(AND(IK$16&gt;=$F34,IK$16&lt;$F34+($G34*$I34)),"➤",""),"")</f>
        <v/>
      </c>
      <c r="IL34" s="76" t="str">
        <f aca="false">IF($I34&gt;0%,IF(AND(IL$16&gt;=$F34,IL$16&lt;$F34+($G34*$I34)),"➤",""),"")</f>
        <v/>
      </c>
      <c r="IM34" s="76" t="str">
        <f aca="false">IF($I34&gt;0%,IF(AND(IM$16&gt;=$F34,IM$16&lt;$F34+($G34*$I34)),"➤",""),"")</f>
        <v/>
      </c>
      <c r="IN34" s="76" t="str">
        <f aca="false">IF($I34&gt;0%,IF(AND(IN$16&gt;=$F34,IN$16&lt;$F34+($G34*$I34)),"➤",""),"")</f>
        <v/>
      </c>
      <c r="IO34" s="76" t="str">
        <f aca="false">IF($I34&gt;0%,IF(AND(IO$16&gt;=$F34,IO$16&lt;$F34+($G34*$I34)),"➤",""),"")</f>
        <v/>
      </c>
      <c r="IP34" s="76" t="str">
        <f aca="false">IF($I34&gt;0%,IF(AND(IP$16&gt;=$F34,IP$16&lt;$F34+($G34*$I34)),"➤",""),"")</f>
        <v/>
      </c>
      <c r="IQ34" s="76" t="str">
        <f aca="false">IF($I34&gt;0%,IF(AND(IQ$16&gt;=$F34,IQ$16&lt;$F34+($G34*$I34)),"➤",""),"")</f>
        <v/>
      </c>
      <c r="IR34" s="76" t="str">
        <f aca="false">IF($I34&gt;0%,IF(AND(IR$16&gt;=$F34,IR$16&lt;$F34+($G34*$I34)),"➤",""),"")</f>
        <v/>
      </c>
      <c r="IS34" s="76" t="str">
        <f aca="false">IF($I34&gt;0%,IF(AND(IS$16&gt;=$F34,IS$16&lt;$F34+($G34*$I34)),"➤",""),"")</f>
        <v/>
      </c>
      <c r="IT34" s="76" t="str">
        <f aca="false">IF($I34&gt;0%,IF(AND(IT$16&gt;=$F34,IT$16&lt;$F34+($G34*$I34)),"➤",""),"")</f>
        <v/>
      </c>
      <c r="IU34" s="76" t="str">
        <f aca="false">IF($I34&gt;0%,IF(AND(IU$16&gt;=$F34,IU$16&lt;$F34+($G34*$I34)),"➤",""),"")</f>
        <v/>
      </c>
      <c r="IV34" s="76" t="str">
        <f aca="false">IF($I34&gt;0%,IF(AND(IV$16&gt;=$F34,IV$16&lt;$F34+($G34*$I34)),"➤",""),"")</f>
        <v/>
      </c>
      <c r="IW34" s="76" t="str">
        <f aca="false">IF($I34&gt;0%,IF(AND(IW$16&gt;=$F34,IW$16&lt;$F34+($G34*$I34)),"➤",""),"")</f>
        <v/>
      </c>
      <c r="IX34" s="76" t="str">
        <f aca="false">IF($I34&gt;0%,IF(AND(IX$16&gt;=$F34,IX$16&lt;$F34+($G34*$I34)),"➤",""),"")</f>
        <v/>
      </c>
      <c r="IY34" s="76" t="str">
        <f aca="false">IF($I34&gt;0%,IF(AND(IY$16&gt;=$F34,IY$16&lt;$F34+($G34*$I34)),"➤",""),"")</f>
        <v/>
      </c>
      <c r="IZ34" s="76" t="str">
        <f aca="false">IF($I34&gt;0%,IF(AND(IZ$16&gt;=$F34,IZ$16&lt;$F34+($G34*$I34)),"➤",""),"")</f>
        <v/>
      </c>
      <c r="JA34" s="76" t="str">
        <f aca="false">IF($I34&gt;0%,IF(AND(JA$16&gt;=$F34,JA$16&lt;$F34+($G34*$I34)),"➤",""),"")</f>
        <v/>
      </c>
      <c r="JB34" s="76" t="str">
        <f aca="false">IF($I34&gt;0%,IF(AND(JB$16&gt;=$F34,JB$16&lt;$F34+($G34*$I34)),"➤",""),"")</f>
        <v/>
      </c>
      <c r="JC34" s="76" t="str">
        <f aca="false">IF($I34&gt;0%,IF(AND(JC$16&gt;=$F34,JC$16&lt;$F34+($G34*$I34)),"➤",""),"")</f>
        <v/>
      </c>
      <c r="JD34" s="76" t="str">
        <f aca="false">IF($I34&gt;0%,IF(AND(JD$16&gt;=$F34,JD$16&lt;$F34+($G34*$I34)),"➤",""),"")</f>
        <v/>
      </c>
      <c r="JE34" s="76" t="str">
        <f aca="false">IF($I34&gt;0%,IF(AND(JE$16&gt;=$F34,JE$16&lt;$F34+($G34*$I34)),"➤",""),"")</f>
        <v/>
      </c>
      <c r="JF34" s="76" t="str">
        <f aca="false">IF($I34&gt;0%,IF(AND(JF$16&gt;=$F34,JF$16&lt;$F34+($G34*$I34)),"➤",""),"")</f>
        <v/>
      </c>
      <c r="JG34" s="76" t="str">
        <f aca="false">IF($I34&gt;0%,IF(AND(JG$16&gt;=$F34,JG$16&lt;$F34+($G34*$I34)),"➤",""),"")</f>
        <v/>
      </c>
      <c r="JH34" s="76" t="str">
        <f aca="false">IF($I34&gt;0%,IF(AND(JH$16&gt;=$F34,JH$16&lt;$F34+($G34*$I34)),"➤",""),"")</f>
        <v/>
      </c>
      <c r="JI34" s="76" t="str">
        <f aca="false">IF($I34&gt;0%,IF(AND(JI$16&gt;=$F34,JI$16&lt;$F34+($G34*$I34)),"➤",""),"")</f>
        <v/>
      </c>
      <c r="JJ34" s="76" t="str">
        <f aca="false">IF($I34&gt;0%,IF(AND(JJ$16&gt;=$F34,JJ$16&lt;$F34+($G34*$I34)),"➤",""),"")</f>
        <v/>
      </c>
      <c r="JK34" s="76" t="str">
        <f aca="false">IF($I34&gt;0%,IF(AND(JK$16&gt;=$F34,JK$16&lt;$F34+($G34*$I34)),"➤",""),"")</f>
        <v/>
      </c>
      <c r="JL34" s="76" t="str">
        <f aca="false">IF($I34&gt;0%,IF(AND(JL$16&gt;=$F34,JL$16&lt;$F34+($G34*$I34)),"➤",""),"")</f>
        <v/>
      </c>
      <c r="JM34" s="76" t="str">
        <f aca="false">IF($I34&gt;0%,IF(AND(JM$16&gt;=$F34,JM$16&lt;$F34+($G34*$I34)),"➤",""),"")</f>
        <v/>
      </c>
      <c r="JN34" s="76" t="str">
        <f aca="false">IF($I34&gt;0%,IF(AND(JN$16&gt;=$F34,JN$16&lt;$F34+($G34*$I34)),"➤",""),"")</f>
        <v/>
      </c>
      <c r="JO34" s="76" t="str">
        <f aca="false">IF($I34&gt;0%,IF(AND(JO$16&gt;=$F34,JO$16&lt;$F34+($G34*$I34)),"➤",""),"")</f>
        <v/>
      </c>
      <c r="JP34" s="76" t="str">
        <f aca="false">IF($I34&gt;0%,IF(AND(JP$16&gt;=$F34,JP$16&lt;$F34+($G34*$I34)),"➤",""),"")</f>
        <v/>
      </c>
      <c r="JQ34" s="76" t="str">
        <f aca="false">IF($I34&gt;0%,IF(AND(JQ$16&gt;=$F34,JQ$16&lt;$F34+($G34*$I34)),"➤",""),"")</f>
        <v/>
      </c>
      <c r="JR34" s="76" t="str">
        <f aca="false">IF($I34&gt;0%,IF(AND(JR$16&gt;=$F34,JR$16&lt;$F34+($G34*$I34)),"➤",""),"")</f>
        <v/>
      </c>
      <c r="JS34" s="76" t="str">
        <f aca="false">IF($I34&gt;0%,IF(AND(JS$16&gt;=$F34,JS$16&lt;$F34+($G34*$I34)),"➤",""),"")</f>
        <v/>
      </c>
      <c r="JT34" s="76" t="str">
        <f aca="false">IF($I34&gt;0%,IF(AND(JT$16&gt;=$F34,JT$16&lt;$F34+($G34*$I34)),"➤",""),"")</f>
        <v/>
      </c>
      <c r="JU34" s="76" t="str">
        <f aca="false">IF($I34&gt;0%,IF(AND(JU$16&gt;=$F34,JU$16&lt;$F34+($G34*$I34)),"➤",""),"")</f>
        <v/>
      </c>
      <c r="JV34" s="76" t="str">
        <f aca="false">IF($I34&gt;0%,IF(AND(JV$16&gt;=$F34,JV$16&lt;$F34+($G34*$I34)),"➤",""),"")</f>
        <v/>
      </c>
      <c r="JW34" s="76" t="str">
        <f aca="false">IF($I34&gt;0%,IF(AND(JW$16&gt;=$F34,JW$16&lt;$F34+($G34*$I34)),"➤",""),"")</f>
        <v/>
      </c>
      <c r="JX34" s="76" t="str">
        <f aca="false">IF($I34&gt;0%,IF(AND(JX$16&gt;=$F34,JX$16&lt;$F34+($G34*$I34)),"➤",""),"")</f>
        <v/>
      </c>
      <c r="JY34" s="76" t="str">
        <f aca="false">IF($I34&gt;0%,IF(AND(JY$16&gt;=$F34,JY$16&lt;$F34+($G34*$I34)),"➤",""),"")</f>
        <v/>
      </c>
      <c r="JZ34" s="76" t="str">
        <f aca="false">IF($I34&gt;0%,IF(AND(JZ$16&gt;=$F34,JZ$16&lt;$F34+($G34*$I34)),"➤",""),"")</f>
        <v/>
      </c>
      <c r="KA34" s="76" t="str">
        <f aca="false">IF($I34&gt;0%,IF(AND(KA$16&gt;=$F34,KA$16&lt;$F34+($G34*$I34)),"➤",""),"")</f>
        <v/>
      </c>
      <c r="KB34" s="76" t="str">
        <f aca="false">IF($I34&gt;0%,IF(AND(KB$16&gt;=$F34,KB$16&lt;$F34+($G34*$I34)),"➤",""),"")</f>
        <v/>
      </c>
      <c r="KC34" s="76" t="str">
        <f aca="false">IF($I34&gt;0%,IF(AND(KC$16&gt;=$F34,KC$16&lt;$F34+($G34*$I34)),"➤",""),"")</f>
        <v/>
      </c>
      <c r="KD34" s="76" t="str">
        <f aca="false">IF($I34&gt;0%,IF(AND(KD$16&gt;=$F34,KD$16&lt;$F34+($G34*$I34)),"➤",""),"")</f>
        <v/>
      </c>
      <c r="KE34" s="76" t="str">
        <f aca="false">IF($I34&gt;0%,IF(AND(KE$16&gt;=$F34,KE$16&lt;$F34+($G34*$I34)),"➤",""),"")</f>
        <v/>
      </c>
      <c r="KF34" s="76" t="str">
        <f aca="false">IF($I34&gt;0%,IF(AND(KF$16&gt;=$F34,KF$16&lt;$F34+($G34*$I34)),"➤",""),"")</f>
        <v/>
      </c>
      <c r="KG34" s="76" t="str">
        <f aca="false">IF($I34&gt;0%,IF(AND(KG$16&gt;=$F34,KG$16&lt;$F34+($G34*$I34)),"➤",""),"")</f>
        <v/>
      </c>
      <c r="KH34" s="76" t="str">
        <f aca="false">IF($I34&gt;0%,IF(AND(KH$16&gt;=$F34,KH$16&lt;$F34+($G34*$I34)),"➤",""),"")</f>
        <v/>
      </c>
      <c r="KI34" s="76" t="str">
        <f aca="false">IF($I34&gt;0%,IF(AND(KI$16&gt;=$F34,KI$16&lt;$F34+($G34*$I34)),"➤",""),"")</f>
        <v/>
      </c>
      <c r="KJ34" s="76" t="str">
        <f aca="false">IF($I34&gt;0%,IF(AND(KJ$16&gt;=$F34,KJ$16&lt;$F34+($G34*$I34)),"➤",""),"")</f>
        <v/>
      </c>
      <c r="KK34" s="76" t="str">
        <f aca="false">IF($I34&gt;0%,IF(AND(KK$16&gt;=$F34,KK$16&lt;$F34+($G34*$I34)),"➤",""),"")</f>
        <v/>
      </c>
      <c r="KL34" s="76" t="str">
        <f aca="false">IF($I34&gt;0%,IF(AND(KL$16&gt;=$F34,KL$16&lt;$F34+($G34*$I34)),"➤",""),"")</f>
        <v/>
      </c>
      <c r="KM34" s="76" t="str">
        <f aca="false">IF($I34&gt;0%,IF(AND(KM$16&gt;=$F34,KM$16&lt;$F34+($G34*$I34)),"➤",""),"")</f>
        <v/>
      </c>
      <c r="KN34" s="76" t="str">
        <f aca="false">IF($I34&gt;0%,IF(AND(KN$16&gt;=$F34,KN$16&lt;$F34+($G34*$I34)),"➤",""),"")</f>
        <v/>
      </c>
      <c r="KO34" s="76" t="str">
        <f aca="false">IF($I34&gt;0%,IF(AND(KO$16&gt;=$F34,KO$16&lt;$F34+($G34*$I34)),"➤",""),"")</f>
        <v/>
      </c>
      <c r="KP34" s="76" t="str">
        <f aca="false">IF($I34&gt;0%,IF(AND(KP$16&gt;=$F34,KP$16&lt;$F34+($G34*$I34)),"➤",""),"")</f>
        <v/>
      </c>
      <c r="KQ34" s="76" t="str">
        <f aca="false">IF($I34&gt;0%,IF(AND(KQ$16&gt;=$F34,KQ$16&lt;$F34+($G34*$I34)),"➤",""),"")</f>
        <v/>
      </c>
      <c r="KR34" s="76" t="str">
        <f aca="false">IF($I34&gt;0%,IF(AND(KR$16&gt;=$F34,KR$16&lt;$F34+($G34*$I34)),"➤",""),"")</f>
        <v/>
      </c>
      <c r="KS34" s="76" t="str">
        <f aca="false">IF($I34&gt;0%,IF(AND(KS$16&gt;=$F34,KS$16&lt;$F34+($G34*$I34)),"➤",""),"")</f>
        <v/>
      </c>
      <c r="KT34" s="76" t="str">
        <f aca="false">IF($I34&gt;0%,IF(AND(KT$16&gt;=$F34,KT$16&lt;$F34+($G34*$I34)),"➤",""),"")</f>
        <v/>
      </c>
      <c r="KU34" s="76" t="str">
        <f aca="false">IF($I34&gt;0%,IF(AND(KU$16&gt;=$F34,KU$16&lt;$F34+($G34*$I34)),"➤",""),"")</f>
        <v/>
      </c>
      <c r="KV34" s="76" t="str">
        <f aca="false">IF($I34&gt;0%,IF(AND(KV$16&gt;=$F34,KV$16&lt;$F34+($G34*$I34)),"➤",""),"")</f>
        <v/>
      </c>
      <c r="KW34" s="76" t="str">
        <f aca="false">IF($I34&gt;0%,IF(AND(KW$16&gt;=$F34,KW$16&lt;$F34+($G34*$I34)),"➤",""),"")</f>
        <v/>
      </c>
      <c r="KX34" s="76" t="str">
        <f aca="false">IF($I34&gt;0%,IF(AND(KX$16&gt;=$F34,KX$16&lt;$F34+($G34*$I34)),"➤",""),"")</f>
        <v/>
      </c>
      <c r="KY34" s="76" t="str">
        <f aca="false">IF($I34&gt;0%,IF(AND(KY$16&gt;=$F34,KY$16&lt;$F34+($G34*$I34)),"➤",""),"")</f>
        <v/>
      </c>
      <c r="KZ34" s="76" t="str">
        <f aca="false">IF($I34&gt;0%,IF(AND(KZ$16&gt;=$F34,KZ$16&lt;$F34+($G34*$I34)),"➤",""),"")</f>
        <v/>
      </c>
      <c r="LA34" s="76" t="str">
        <f aca="false">IF($I34&gt;0%,IF(AND(LA$16&gt;=$F34,LA$16&lt;$F34+($G34*$I34)),"➤",""),"")</f>
        <v/>
      </c>
      <c r="LB34" s="76" t="str">
        <f aca="false">IF($I34&gt;0%,IF(AND(LB$16&gt;=$F34,LB$16&lt;$F34+($G34*$I34)),"➤",""),"")</f>
        <v/>
      </c>
      <c r="LC34" s="76" t="str">
        <f aca="false">IF($I34&gt;0%,IF(AND(LC$16&gt;=$F34,LC$16&lt;$F34+($G34*$I34)),"➤",""),"")</f>
        <v/>
      </c>
      <c r="LD34" s="76" t="str">
        <f aca="false">IF($I34&gt;0%,IF(AND(LD$16&gt;=$F34,LD$16&lt;$F34+($G34*$I34)),"➤",""),"")</f>
        <v/>
      </c>
      <c r="LE34" s="76" t="str">
        <f aca="false">IF($I34&gt;0%,IF(AND(LE$16&gt;=$F34,LE$16&lt;$F34+($G34*$I34)),"➤",""),"")</f>
        <v/>
      </c>
      <c r="LF34" s="76" t="str">
        <f aca="false">IF($I34&gt;0%,IF(AND(LF$16&gt;=$F34,LF$16&lt;$F34+($G34*$I34)),"➤",""),"")</f>
        <v/>
      </c>
      <c r="LG34" s="76" t="str">
        <f aca="false">IF($I34&gt;0%,IF(AND(LG$16&gt;=$F34,LG$16&lt;$F34+($G34*$I34)),"➤",""),"")</f>
        <v/>
      </c>
      <c r="LH34" s="76" t="str">
        <f aca="false">IF($I34&gt;0%,IF(AND(LH$16&gt;=$F34,LH$16&lt;$F34+($G34*$I34)),"➤",""),"")</f>
        <v/>
      </c>
      <c r="LI34" s="76" t="str">
        <f aca="false">IF($I34&gt;0%,IF(AND(LI$16&gt;=$F34,LI$16&lt;$F34+($G34*$I34)),"➤",""),"")</f>
        <v/>
      </c>
      <c r="LJ34" s="76" t="str">
        <f aca="false">IF($I34&gt;0%,IF(AND(LJ$16&gt;=$F34,LJ$16&lt;$F34+($G34*$I34)),"➤",""),"")</f>
        <v/>
      </c>
      <c r="LK34" s="76" t="str">
        <f aca="false">IF($I34&gt;0%,IF(AND(LK$16&gt;=$F34,LK$16&lt;$F34+($G34*$I34)),"➤",""),"")</f>
        <v/>
      </c>
      <c r="LL34" s="76" t="str">
        <f aca="false">IF($I34&gt;0%,IF(AND(LL$16&gt;=$F34,LL$16&lt;$F34+($G34*$I34)),"➤",""),"")</f>
        <v/>
      </c>
      <c r="LM34" s="76" t="str">
        <f aca="false">IF($I34&gt;0%,IF(AND(LM$16&gt;=$F34,LM$16&lt;$F34+($G34*$I34)),"➤",""),"")</f>
        <v/>
      </c>
      <c r="LN34" s="76" t="str">
        <f aca="false">IF($I34&gt;0%,IF(AND(LN$16&gt;=$F34,LN$16&lt;$F34+($G34*$I34)),"➤",""),"")</f>
        <v/>
      </c>
      <c r="LO34" s="76" t="str">
        <f aca="false">IF($I34&gt;0%,IF(AND(LO$16&gt;=$F34,LO$16&lt;$F34+($G34*$I34)),"➤",""),"")</f>
        <v/>
      </c>
      <c r="LP34" s="76" t="str">
        <f aca="false">IF($I34&gt;0%,IF(AND(LP$16&gt;=$F34,LP$16&lt;$F34+($G34*$I34)),"➤",""),"")</f>
        <v/>
      </c>
      <c r="LQ34" s="76" t="str">
        <f aca="false">IF($I34&gt;0%,IF(AND(LQ$16&gt;=$F34,LQ$16&lt;$F34+($G34*$I34)),"➤",""),"")</f>
        <v/>
      </c>
      <c r="LR34" s="76" t="str">
        <f aca="false">IF($I34&gt;0%,IF(AND(LR$16&gt;=$F34,LR$16&lt;$F34+($G34*$I34)),"➤",""),"")</f>
        <v/>
      </c>
      <c r="LS34" s="76" t="str">
        <f aca="false">IF($I34&gt;0%,IF(AND(LS$16&gt;=$F34,LS$16&lt;$F34+($G34*$I34)),"➤",""),"")</f>
        <v/>
      </c>
      <c r="LT34" s="76" t="str">
        <f aca="false">IF($I34&gt;0%,IF(AND(LT$16&gt;=$F34,LT$16&lt;$F34+($G34*$I34)),"➤",""),"")</f>
        <v/>
      </c>
      <c r="LU34" s="76" t="str">
        <f aca="false">IF($I34&gt;0%,IF(AND(LU$16&gt;=$F34,LU$16&lt;$F34+($G34*$I34)),"➤",""),"")</f>
        <v/>
      </c>
      <c r="LV34" s="76" t="str">
        <f aca="false">IF($I34&gt;0%,IF(AND(LV$16&gt;=$F34,LV$16&lt;$F34+($G34*$I34)),"➤",""),"")</f>
        <v/>
      </c>
      <c r="LW34" s="76" t="str">
        <f aca="false">IF($I34&gt;0%,IF(AND(LW$16&gt;=$F34,LW$16&lt;$F34+($G34*$I34)),"➤",""),"")</f>
        <v/>
      </c>
      <c r="LX34" s="76" t="str">
        <f aca="false">IF($I34&gt;0%,IF(AND(LX$16&gt;=$F34,LX$16&lt;$F34+($G34*$I34)),"➤",""),"")</f>
        <v/>
      </c>
      <c r="LY34" s="76" t="str">
        <f aca="false">IF($I34&gt;0%,IF(AND(LY$16&gt;=$F34,LY$16&lt;$F34+($G34*$I34)),"➤",""),"")</f>
        <v/>
      </c>
      <c r="LZ34" s="76" t="str">
        <f aca="false">IF($I34&gt;0%,IF(AND(LZ$16&gt;=$F34,LZ$16&lt;$F34+($G34*$I34)),"➤",""),"")</f>
        <v/>
      </c>
      <c r="MA34" s="76" t="str">
        <f aca="false">IF($I34&gt;0%,IF(AND(MA$16&gt;=$F34,MA$16&lt;$F34+($G34*$I34)),"➤",""),"")</f>
        <v/>
      </c>
      <c r="MB34" s="76" t="str">
        <f aca="false">IF($I34&gt;0%,IF(AND(MB$16&gt;=$F34,MB$16&lt;$F34+($G34*$I34)),"➤",""),"")</f>
        <v/>
      </c>
      <c r="MC34" s="76" t="str">
        <f aca="false">IF($I34&gt;0%,IF(AND(MC$16&gt;=$F34,MC$16&lt;$F34+($G34*$I34)),"➤",""),"")</f>
        <v/>
      </c>
      <c r="MD34" s="76" t="str">
        <f aca="false">IF($I34&gt;0%,IF(AND(MD$16&gt;=$F34,MD$16&lt;$F34+($G34*$I34)),"➤",""),"")</f>
        <v/>
      </c>
      <c r="ME34" s="76" t="str">
        <f aca="false">IF($I34&gt;0%,IF(AND(ME$16&gt;=$F34,ME$16&lt;$F34+($G34*$I34)),"➤",""),"")</f>
        <v/>
      </c>
      <c r="MF34" s="76" t="str">
        <f aca="false">IF($I34&gt;0%,IF(AND(MF$16&gt;=$F34,MF$16&lt;$F34+($G34*$I34)),"➤",""),"")</f>
        <v/>
      </c>
      <c r="MG34" s="76" t="str">
        <f aca="false">IF($I34&gt;0%,IF(AND(MG$16&gt;=$F34,MG$16&lt;$F34+($G34*$I34)),"➤",""),"")</f>
        <v/>
      </c>
      <c r="MH34" s="76" t="str">
        <f aca="false">IF($I34&gt;0%,IF(AND(MH$16&gt;=$F34,MH$16&lt;$F34+($G34*$I34)),"➤",""),"")</f>
        <v/>
      </c>
      <c r="MI34" s="76" t="str">
        <f aca="false">IF($I34&gt;0%,IF(AND(MI$16&gt;=$F34,MI$16&lt;$F34+($G34*$I34)),"➤",""),"")</f>
        <v/>
      </c>
      <c r="MJ34" s="76" t="str">
        <f aca="false">IF($I34&gt;0%,IF(AND(MJ$16&gt;=$F34,MJ$16&lt;$F34+($G34*$I34)),"➤",""),"")</f>
        <v/>
      </c>
      <c r="MK34" s="76" t="str">
        <f aca="false">IF($I34&gt;0%,IF(AND(MK$16&gt;=$F34,MK$16&lt;$F34+($G34*$I34)),"➤",""),"")</f>
        <v/>
      </c>
      <c r="ML34" s="76" t="str">
        <f aca="false">IF($I34&gt;0%,IF(AND(ML$16&gt;=$F34,ML$16&lt;$F34+($G34*$I34)),"➤",""),"")</f>
        <v/>
      </c>
      <c r="MM34" s="76" t="str">
        <f aca="false">IF($I34&gt;0%,IF(AND(MM$16&gt;=$F34,MM$16&lt;$F34+($G34*$I34)),"➤",""),"")</f>
        <v/>
      </c>
      <c r="MN34" s="76" t="str">
        <f aca="false">IF($I34&gt;0%,IF(AND(MN$16&gt;=$F34,MN$16&lt;$F34+($G34*$I34)),"➤",""),"")</f>
        <v/>
      </c>
      <c r="MO34" s="76" t="str">
        <f aca="false">IF($I34&gt;0%,IF(AND(MO$16&gt;=$F34,MO$16&lt;$F34+($G34*$I34)),"➤",""),"")</f>
        <v/>
      </c>
      <c r="MP34" s="76" t="str">
        <f aca="false">IF($I34&gt;0%,IF(AND(MP$16&gt;=$F34,MP$16&lt;$F34+($G34*$I34)),"➤",""),"")</f>
        <v/>
      </c>
      <c r="MQ34" s="76" t="str">
        <f aca="false">IF($I34&gt;0%,IF(AND(MQ$16&gt;=$F34,MQ$16&lt;$F34+($G34*$I34)),"➤",""),"")</f>
        <v/>
      </c>
      <c r="MR34" s="76" t="str">
        <f aca="false">IF($I34&gt;0%,IF(AND(MR$16&gt;=$F34,MR$16&lt;$F34+($G34*$I34)),"➤",""),"")</f>
        <v/>
      </c>
      <c r="MS34" s="76" t="str">
        <f aca="false">IF($I34&gt;0%,IF(AND(MS$16&gt;=$F34,MS$16&lt;$F34+($G34*$I34)),"➤",""),"")</f>
        <v/>
      </c>
      <c r="MT34" s="76" t="str">
        <f aca="false">IF($I34&gt;0%,IF(AND(MT$16&gt;=$F34,MT$16&lt;$F34+($G34*$I34)),"➤",""),"")</f>
        <v/>
      </c>
      <c r="MU34" s="76" t="str">
        <f aca="false">IF($I34&gt;0%,IF(AND(MU$16&gt;=$F34,MU$16&lt;$F34+($G34*$I34)),"➤",""),"")</f>
        <v/>
      </c>
      <c r="MV34" s="76" t="str">
        <f aca="false">IF($I34&gt;0%,IF(AND(MV$16&gt;=$F34,MV$16&lt;$F34+($G34*$I34)),"➤",""),"")</f>
        <v/>
      </c>
      <c r="MW34" s="76" t="str">
        <f aca="false">IF($I34&gt;0%,IF(AND(MW$16&gt;=$F34,MW$16&lt;$F34+($G34*$I34)),"➤",""),"")</f>
        <v/>
      </c>
      <c r="MX34" s="76" t="str">
        <f aca="false">IF($I34&gt;0%,IF(AND(MX$16&gt;=$F34,MX$16&lt;$F34+($G34*$I34)),"➤",""),"")</f>
        <v/>
      </c>
      <c r="MY34" s="76" t="str">
        <f aca="false">IF($I34&gt;0%,IF(AND(MY$16&gt;=$F34,MY$16&lt;$F34+($G34*$I34)),"➤",""),"")</f>
        <v/>
      </c>
      <c r="MZ34" s="76" t="str">
        <f aca="false">IF($I34&gt;0%,IF(AND(MZ$16&gt;=$F34,MZ$16&lt;$F34+($G34*$I34)),"➤",""),"")</f>
        <v/>
      </c>
      <c r="NA34" s="76" t="str">
        <f aca="false">IF($I34&gt;0%,IF(AND(NA$16&gt;=$F34,NA$16&lt;$F34+($G34*$I34)),"➤",""),"")</f>
        <v/>
      </c>
      <c r="NB34" s="76" t="str">
        <f aca="false">IF($I34&gt;0%,IF(AND(NB$16&gt;=$F34,NB$16&lt;$F34+($G34*$I34)),"➤",""),"")</f>
        <v/>
      </c>
      <c r="NC34" s="76" t="str">
        <f aca="false">IF($I34&gt;0%,IF(AND(NC$16&gt;=$F34,NC$16&lt;$F34+($G34*$I34)),"➤",""),"")</f>
        <v/>
      </c>
      <c r="ND34" s="76" t="str">
        <f aca="false">IF($I34&gt;0%,IF(AND(ND$16&gt;=$F34,ND$16&lt;$F34+($G34*$I34)),"➤",""),"")</f>
        <v/>
      </c>
      <c r="NE34" s="76" t="str">
        <f aca="false">IF($I34&gt;0%,IF(AND(NE$16&gt;=$F34,NE$16&lt;$F34+($G34*$I34)),"➤",""),"")</f>
        <v/>
      </c>
      <c r="NF34" s="76" t="str">
        <f aca="false">IF($I34&gt;0%,IF(AND(NF$16&gt;=$F34,NF$16&lt;$F34+($G34*$I34)),"➤",""),"")</f>
        <v/>
      </c>
      <c r="NG34" s="76" t="str">
        <f aca="false">IF($I34&gt;0%,IF(AND(NG$16&gt;=$F34,NG$16&lt;$F34+($G34*$I34)),"➤",""),"")</f>
        <v/>
      </c>
      <c r="NH34" s="76" t="str">
        <f aca="false">IF($I34&gt;0%,IF(AND(NH$16&gt;=$F34,NH$16&lt;$F34+($G34*$I34)),"➤",""),"")</f>
        <v/>
      </c>
      <c r="NI34" s="76" t="str">
        <f aca="false">IF($I34&gt;0%,IF(AND(NI$16&gt;=$F34,NI$16&lt;$F34+($G34*$I34)),"➤",""),"")</f>
        <v/>
      </c>
      <c r="NJ34" s="76" t="str">
        <f aca="false">IF($I34&gt;0%,IF(AND(NJ$16&gt;=$F34,NJ$16&lt;$F34+($G34*$I34)),"➤",""),"")</f>
        <v/>
      </c>
      <c r="NK34" s="76" t="str">
        <f aca="false">IF($I34&gt;0%,IF(AND(NK$16&gt;=$F34,NK$16&lt;$F34+($G34*$I34)),"➤",""),"")</f>
        <v/>
      </c>
      <c r="NL34" s="76" t="str">
        <f aca="false">IF($I34&gt;0%,IF(AND(NL$16&gt;=$F34,NL$16&lt;$F34+($G34*$I34)),"➤",""),"")</f>
        <v/>
      </c>
      <c r="NM34" s="76" t="str">
        <f aca="false">IF($I34&gt;0%,IF(AND(NM$16&gt;=$F34,NM$16&lt;$F34+($G34*$I34)),"➤",""),"")</f>
        <v/>
      </c>
      <c r="NN34" s="76" t="str">
        <f aca="false">IF($I34&gt;0%,IF(AND(NN$16&gt;=$F34,NN$16&lt;$F34+($G34*$I34)),"➤",""),"")</f>
        <v/>
      </c>
      <c r="NO34" s="76" t="str">
        <f aca="false">IF($I34&gt;0%,IF(AND(NO$16&gt;=$F34,NO$16&lt;$F34+($G34*$I34)),"➤",""),"")</f>
        <v/>
      </c>
      <c r="NP34" s="76" t="str">
        <f aca="false">IF($I34&gt;0%,IF(AND(NP$16&gt;=$F34,NP$16&lt;$F34+($G34*$I34)),"➤",""),"")</f>
        <v/>
      </c>
      <c r="NQ34" s="76" t="str">
        <f aca="false">IF($I34&gt;0%,IF(AND(NQ$16&gt;=$F34,NQ$16&lt;$F34+($G34*$I34)),"➤",""),"")</f>
        <v/>
      </c>
      <c r="NR34" s="76" t="str">
        <f aca="false">IF($I34&gt;0%,IF(AND(NR$16&gt;=$F34,NR$16&lt;$F34+($G34*$I34)),"➤",""),"")</f>
        <v/>
      </c>
      <c r="NS34" s="76" t="str">
        <f aca="false">IF($I34&gt;0%,IF(AND(NS$16&gt;=$F34,NS$16&lt;$F34+($G34*$I34)),"➤",""),"")</f>
        <v/>
      </c>
      <c r="NT34" s="76" t="str">
        <f aca="false">IF($I34&gt;0%,IF(AND(NT$16&gt;=$F34,NT$16&lt;$F34+($G34*$I34)),"➤",""),"")</f>
        <v/>
      </c>
      <c r="NU34" s="76" t="str">
        <f aca="false">IF($I34&gt;0%,IF(AND(NU$16&gt;=$F34,NU$16&lt;$F34+($G34*$I34)),"➤",""),"")</f>
        <v/>
      </c>
      <c r="NV34" s="76" t="str">
        <f aca="false">IF($I34&gt;0%,IF(AND(NV$16&gt;=$F34,NV$16&lt;$F34+($G34*$I34)),"➤",""),"")</f>
        <v/>
      </c>
      <c r="NW34" s="76" t="str">
        <f aca="false">IF($I34&gt;0%,IF(AND(NW$16&gt;=$F34,NW$16&lt;$F34+($G34*$I34)),"➤",""),"")</f>
        <v/>
      </c>
      <c r="NX34" s="76" t="str">
        <f aca="false">IF($I34&gt;0%,IF(AND(NX$16&gt;=$F34,NX$16&lt;$F34+($G34*$I34)),"➤",""),"")</f>
        <v/>
      </c>
      <c r="NY34" s="76" t="str">
        <f aca="false">IF($I34&gt;0%,IF(AND(NY$16&gt;=$F34,NY$16&lt;$F34+($G34*$I34)),"➤",""),"")</f>
        <v/>
      </c>
      <c r="NZ34" s="76" t="str">
        <f aca="false">IF($I34&gt;0%,IF(AND(NZ$16&gt;=$F34,NZ$16&lt;$F34+($G34*$I34)),"➤",""),"")</f>
        <v/>
      </c>
      <c r="OA34" s="76" t="str">
        <f aca="false">IF($I34&gt;0%,IF(AND(OA$16&gt;=$F34,OA$16&lt;$F34+($G34*$I34)),"➤",""),"")</f>
        <v/>
      </c>
      <c r="OB34" s="76" t="str">
        <f aca="false">IF($I34&gt;0%,IF(AND(OB$16&gt;=$F34,OB$16&lt;$F34+($G34*$I34)),"➤",""),"")</f>
        <v/>
      </c>
      <c r="OC34" s="76" t="str">
        <f aca="false">IF($I34&gt;0%,IF(AND(OC$16&gt;=$F34,OC$16&lt;$F34+($G34*$I34)),"➤",""),"")</f>
        <v/>
      </c>
      <c r="OD34" s="76" t="str">
        <f aca="false">IF($I34&gt;0%,IF(AND(OD$16&gt;=$F34,OD$16&lt;$F34+($G34*$I34)),"➤",""),"")</f>
        <v/>
      </c>
      <c r="OE34" s="76" t="str">
        <f aca="false">IF($I34&gt;0%,IF(AND(OE$16&gt;=$F34,OE$16&lt;$F34+($G34*$I34)),"➤",""),"")</f>
        <v/>
      </c>
      <c r="OF34" s="76" t="str">
        <f aca="false">IF($I34&gt;0%,IF(AND(OF$16&gt;=$F34,OF$16&lt;$F34+($G34*$I34)),"➤",""),"")</f>
        <v/>
      </c>
      <c r="OG34" s="76" t="str">
        <f aca="false">IF($I34&gt;0%,IF(AND(OG$16&gt;=$F34,OG$16&lt;$F34+($G34*$I34)),"➤",""),"")</f>
        <v/>
      </c>
      <c r="OH34" s="76" t="str">
        <f aca="false">IF($I34&gt;0%,IF(AND(OH$16&gt;=$F34,OH$16&lt;$F34+($G34*$I34)),"➤",""),"")</f>
        <v/>
      </c>
      <c r="OI34" s="76" t="str">
        <f aca="false">IF($I34&gt;0%,IF(AND(OI$16&gt;=$F34,OI$16&lt;$F34+($G34*$I34)),"➤",""),"")</f>
        <v/>
      </c>
      <c r="OJ34" s="76" t="str">
        <f aca="false">IF($I34&gt;0%,IF(AND(OJ$16&gt;=$F34,OJ$16&lt;$F34+($G34*$I34)),"➤",""),"")</f>
        <v/>
      </c>
      <c r="OK34" s="76" t="str">
        <f aca="false">IF($I34&gt;0%,IF(AND(OK$16&gt;=$F34,OK$16&lt;$F34+($G34*$I34)),"➤",""),"")</f>
        <v/>
      </c>
      <c r="OL34" s="76" t="str">
        <f aca="false">IF($I34&gt;0%,IF(AND(OL$16&gt;=$F34,OL$16&lt;$F34+($G34*$I34)),"➤",""),"")</f>
        <v/>
      </c>
      <c r="OM34" s="76" t="str">
        <f aca="false">IF($I34&gt;0%,IF(AND(OM$16&gt;=$F34,OM$16&lt;$F34+($G34*$I34)),"➤",""),"")</f>
        <v/>
      </c>
      <c r="ON34" s="76" t="str">
        <f aca="false">IF($I34&gt;0%,IF(AND(ON$16&gt;=$F34,ON$16&lt;$F34+($G34*$I34)),"➤",""),"")</f>
        <v/>
      </c>
      <c r="OO34" s="76" t="str">
        <f aca="false">IF($I34&gt;0%,IF(AND(OO$16&gt;=$F34,OO$16&lt;$F34+($G34*$I34)),"➤",""),"")</f>
        <v/>
      </c>
      <c r="OP34" s="76" t="str">
        <f aca="false">IF($I34&gt;0%,IF(AND(OP$16&gt;=$F34,OP$16&lt;$F34+($G34*$I34)),"➤",""),"")</f>
        <v/>
      </c>
      <c r="OQ34" s="76" t="str">
        <f aca="false">IF($I34&gt;0%,IF(AND(OQ$16&gt;=$F34,OQ$16&lt;$F34+($G34*$I34)),"➤",""),"")</f>
        <v/>
      </c>
      <c r="OR34" s="76" t="str">
        <f aca="false">IF($I34&gt;0%,IF(AND(OR$16&gt;=$F34,OR$16&lt;$F34+($G34*$I34)),"➤",""),"")</f>
        <v/>
      </c>
      <c r="OS34" s="76" t="str">
        <f aca="false">IF($I34&gt;0%,IF(AND(OS$16&gt;=$F34,OS$16&lt;$F34+($G34*$I34)),"➤",""),"")</f>
        <v/>
      </c>
      <c r="OT34" s="76" t="str">
        <f aca="false">IF($I34&gt;0%,IF(AND(OT$16&gt;=$F34,OT$16&lt;$F34+($G34*$I34)),"➤",""),"")</f>
        <v/>
      </c>
      <c r="OU34" s="76" t="str">
        <f aca="false">IF($I34&gt;0%,IF(AND(OU$16&gt;=$F34,OU$16&lt;$F34+($G34*$I34)),"➤",""),"")</f>
        <v/>
      </c>
      <c r="OV34" s="76" t="str">
        <f aca="false">IF($I34&gt;0%,IF(AND(OV$16&gt;=$F34,OV$16&lt;$F34+($G34*$I34)),"➤",""),"")</f>
        <v/>
      </c>
      <c r="OW34" s="76" t="str">
        <f aca="false">IF($I34&gt;0%,IF(AND(OW$16&gt;=$F34,OW$16&lt;$F34+($G34*$I34)),"➤",""),"")</f>
        <v/>
      </c>
      <c r="OX34" s="76" t="str">
        <f aca="false">IF($I34&gt;0%,IF(AND(OX$16&gt;=$F34,OX$16&lt;$F34+($G34*$I34)),"➤",""),"")</f>
        <v/>
      </c>
      <c r="OY34" s="76" t="str">
        <f aca="false">IF($I34&gt;0%,IF(AND(OY$16&gt;=$F34,OY$16&lt;$F34+($G34*$I34)),"➤",""),"")</f>
        <v/>
      </c>
      <c r="OZ34" s="76" t="str">
        <f aca="false">IF($I34&gt;0%,IF(AND(OZ$16&gt;=$F34,OZ$16&lt;$F34+($G34*$I34)),"➤",""),"")</f>
        <v/>
      </c>
      <c r="PA34" s="76" t="str">
        <f aca="false">IF($I34&gt;0%,IF(AND(PA$16&gt;=$F34,PA$16&lt;$F34+($G34*$I34)),"➤",""),"")</f>
        <v/>
      </c>
      <c r="PB34" s="76" t="str">
        <f aca="false">IF($I34&gt;0%,IF(AND(PB$16&gt;=$F34,PB$16&lt;$F34+($G34*$I34)),"➤",""),"")</f>
        <v/>
      </c>
      <c r="PC34" s="76" t="str">
        <f aca="false">IF($I34&gt;0%,IF(AND(PC$16&gt;=$F34,PC$16&lt;$F34+($G34*$I34)),"➤",""),"")</f>
        <v/>
      </c>
      <c r="PD34" s="76" t="str">
        <f aca="false">IF($I34&gt;0%,IF(AND(PD$16&gt;=$F34,PD$16&lt;$F34+($G34*$I34)),"➤",""),"")</f>
        <v/>
      </c>
      <c r="PE34" s="76" t="str">
        <f aca="false">IF($I34&gt;0%,IF(AND(PE$16&gt;=$F34,PE$16&lt;$F34+($G34*$I34)),"➤",""),"")</f>
        <v/>
      </c>
      <c r="PF34" s="76" t="str">
        <f aca="false">IF($I34&gt;0%,IF(AND(PF$16&gt;=$F34,PF$16&lt;$F34+($G34*$I34)),"➤",""),"")</f>
        <v/>
      </c>
      <c r="PG34" s="76" t="str">
        <f aca="false">IF($I34&gt;0%,IF(AND(PG$16&gt;=$F34,PG$16&lt;$F34+($G34*$I34)),"➤",""),"")</f>
        <v/>
      </c>
      <c r="PH34" s="76" t="str">
        <f aca="false">IF($I34&gt;0%,IF(AND(PH$16&gt;=$F34,PH$16&lt;$F34+($G34*$I34)),"➤",""),"")</f>
        <v/>
      </c>
      <c r="PI34" s="76" t="str">
        <f aca="false">IF($I34&gt;0%,IF(AND(PI$16&gt;=$F34,PI$16&lt;$F34+($G34*$I34)),"➤",""),"")</f>
        <v/>
      </c>
      <c r="PJ34" s="76" t="str">
        <f aca="false">IF($I34&gt;0%,IF(AND(PJ$16&gt;=$F34,PJ$16&lt;$F34+($G34*$I34)),"➤",""),"")</f>
        <v/>
      </c>
      <c r="PK34" s="76" t="str">
        <f aca="false">IF($I34&gt;0%,IF(AND(PK$16&gt;=$F34,PK$16&lt;$F34+($G34*$I34)),"➤",""),"")</f>
        <v/>
      </c>
      <c r="PL34" s="76" t="str">
        <f aca="false">IF($I34&gt;0%,IF(AND(PL$16&gt;=$F34,PL$16&lt;$F34+($G34*$I34)),"➤",""),"")</f>
        <v/>
      </c>
      <c r="PM34" s="76" t="str">
        <f aca="false">IF($I34&gt;0%,IF(AND(PM$16&gt;=$F34,PM$16&lt;$F34+($G34*$I34)),"➤",""),"")</f>
        <v/>
      </c>
      <c r="PN34" s="76" t="str">
        <f aca="false">IF($I34&gt;0%,IF(AND(PN$16&gt;=$F34,PN$16&lt;$F34+($G34*$I34)),"➤",""),"")</f>
        <v/>
      </c>
      <c r="PO34" s="76" t="str">
        <f aca="false">IF($I34&gt;0%,IF(AND(PO$16&gt;=$F34,PO$16&lt;$F34+($G34*$I34)),"➤",""),"")</f>
        <v/>
      </c>
      <c r="PP34" s="76" t="str">
        <f aca="false">IF($I34&gt;0%,IF(AND(PP$16&gt;=$F34,PP$16&lt;$F34+($G34*$I34)),"➤",""),"")</f>
        <v/>
      </c>
      <c r="PQ34" s="76" t="str">
        <f aca="false">IF($I34&gt;0%,IF(AND(PQ$16&gt;=$F34,PQ$16&lt;$F34+($G34*$I34)),"➤",""),"")</f>
        <v/>
      </c>
      <c r="PR34" s="76" t="str">
        <f aca="false">IF($I34&gt;0%,IF(AND(PR$16&gt;=$F34,PR$16&lt;$F34+($G34*$I34)),"➤",""),"")</f>
        <v/>
      </c>
      <c r="PS34" s="76" t="str">
        <f aca="false">IF($I34&gt;0%,IF(AND(PS$16&gt;=$F34,PS$16&lt;$F34+($G34*$I34)),"➤",""),"")</f>
        <v/>
      </c>
      <c r="PT34" s="76" t="str">
        <f aca="false">IF($I34&gt;0%,IF(AND(PT$16&gt;=$F34,PT$16&lt;$F34+($G34*$I34)),"➤",""),"")</f>
        <v/>
      </c>
      <c r="PU34" s="76" t="str">
        <f aca="false">IF($I34&gt;0%,IF(AND(PU$16&gt;=$F34,PU$16&lt;$F34+($G34*$I34)),"➤",""),"")</f>
        <v/>
      </c>
      <c r="PV34" s="76" t="str">
        <f aca="false">IF($I34&gt;0%,IF(AND(PV$16&gt;=$F34,PV$16&lt;$F34+($G34*$I34)),"➤",""),"")</f>
        <v/>
      </c>
      <c r="PW34" s="76" t="str">
        <f aca="false">IF($I34&gt;0%,IF(AND(PW$16&gt;=$F34,PW$16&lt;$F34+($G34*$I34)),"➤",""),"")</f>
        <v/>
      </c>
      <c r="PX34" s="76" t="str">
        <f aca="false">IF($I34&gt;0%,IF(AND(PX$16&gt;=$F34,PX$16&lt;$F34+($G34*$I34)),"➤",""),"")</f>
        <v/>
      </c>
      <c r="PY34" s="76" t="str">
        <f aca="false">IF($I34&gt;0%,IF(AND(PY$16&gt;=$F34,PY$16&lt;$F34+($G34*$I34)),"➤",""),"")</f>
        <v/>
      </c>
      <c r="PZ34" s="76" t="str">
        <f aca="false">IF($I34&gt;0%,IF(AND(PZ$16&gt;=$F34,PZ$16&lt;$F34+($G34*$I34)),"➤",""),"")</f>
        <v/>
      </c>
      <c r="QA34" s="76" t="str">
        <f aca="false">IF($I34&gt;0%,IF(AND(QA$16&gt;=$F34,QA$16&lt;$F34+($G34*$I34)),"➤",""),"")</f>
        <v/>
      </c>
      <c r="QB34" s="76" t="str">
        <f aca="false">IF($I34&gt;0%,IF(AND(QB$16&gt;=$F34,QB$16&lt;$F34+($G34*$I34)),"➤",""),"")</f>
        <v/>
      </c>
      <c r="QC34" s="76" t="str">
        <f aca="false">IF($I34&gt;0%,IF(AND(QC$16&gt;=$F34,QC$16&lt;$F34+($G34*$I34)),"➤",""),"")</f>
        <v/>
      </c>
      <c r="QD34" s="76" t="str">
        <f aca="false">IF($I34&gt;0%,IF(AND(QD$16&gt;=$F34,QD$16&lt;$F34+($G34*$I34)),"➤",""),"")</f>
        <v/>
      </c>
      <c r="QE34" s="76" t="str">
        <f aca="false">IF($I34&gt;0%,IF(AND(QE$16&gt;=$F34,QE$16&lt;$F34+($G34*$I34)),"➤",""),"")</f>
        <v/>
      </c>
      <c r="QF34" s="76" t="str">
        <f aca="false">IF($I34&gt;0%,IF(AND(QF$16&gt;=$F34,QF$16&lt;$F34+($G34*$I34)),"➤",""),"")</f>
        <v/>
      </c>
      <c r="QG34" s="76" t="str">
        <f aca="false">IF($I34&gt;0%,IF(AND(QG$16&gt;=$F34,QG$16&lt;$F34+($G34*$I34)),"➤",""),"")</f>
        <v/>
      </c>
      <c r="QH34" s="76" t="str">
        <f aca="false">IF($I34&gt;0%,IF(AND(QH$16&gt;=$F34,QH$16&lt;$F34+($G34*$I34)),"➤",""),"")</f>
        <v/>
      </c>
      <c r="QI34" s="76" t="str">
        <f aca="false">IF($I34&gt;0%,IF(AND(QI$16&gt;=$F34,QI$16&lt;$F34+($G34*$I34)),"➤",""),"")</f>
        <v/>
      </c>
      <c r="QJ34" s="76" t="str">
        <f aca="false">IF($I34&gt;0%,IF(AND(QJ$16&gt;=$F34,QJ$16&lt;$F34+($G34*$I34)),"➤",""),"")</f>
        <v/>
      </c>
      <c r="QK34" s="76" t="str">
        <f aca="false">IF($I34&gt;0%,IF(AND(QK$16&gt;=$F34,QK$16&lt;$F34+($G34*$I34)),"➤",""),"")</f>
        <v/>
      </c>
      <c r="QL34" s="76" t="str">
        <f aca="false">IF($I34&gt;0%,IF(AND(QL$16&gt;=$F34,QL$16&lt;$F34+($G34*$I34)),"➤",""),"")</f>
        <v/>
      </c>
      <c r="QM34" s="76" t="str">
        <f aca="false">IF($I34&gt;0%,IF(AND(QM$16&gt;=$F34,QM$16&lt;$F34+($G34*$I34)),"➤",""),"")</f>
        <v/>
      </c>
      <c r="QN34" s="76" t="str">
        <f aca="false">IF($I34&gt;0%,IF(AND(QN$16&gt;=$F34,QN$16&lt;$F34+($G34*$I34)),"➤",""),"")</f>
        <v/>
      </c>
      <c r="QO34" s="76" t="str">
        <f aca="false">IF($I34&gt;0%,IF(AND(QO$16&gt;=$F34,QO$16&lt;$F34+($G34*$I34)),"➤",""),"")</f>
        <v/>
      </c>
      <c r="QP34" s="76" t="str">
        <f aca="false">IF($I34&gt;0%,IF(AND(QP$16&gt;=$F34,QP$16&lt;$F34+($G34*$I34)),"➤",""),"")</f>
        <v/>
      </c>
      <c r="QQ34" s="76" t="str">
        <f aca="false">IF($I34&gt;0%,IF(AND(QQ$16&gt;=$F34,QQ$16&lt;$F34+($G34*$I34)),"➤",""),"")</f>
        <v/>
      </c>
      <c r="QR34" s="76" t="str">
        <f aca="false">IF($I34&gt;0%,IF(AND(QR$16&gt;=$F34,QR$16&lt;$F34+($G34*$I34)),"➤",""),"")</f>
        <v/>
      </c>
      <c r="QS34" s="76" t="str">
        <f aca="false">IF($I34&gt;0%,IF(AND(QS$16&gt;=$F34,QS$16&lt;$F34+($G34*$I34)),"➤",""),"")</f>
        <v/>
      </c>
      <c r="QT34" s="76" t="str">
        <f aca="false">IF($I34&gt;0%,IF(AND(QT$16&gt;=$F34,QT$16&lt;$F34+($G34*$I34)),"➤",""),"")</f>
        <v/>
      </c>
      <c r="QU34" s="76" t="str">
        <f aca="false">IF($I34&gt;0%,IF(AND(QU$16&gt;=$F34,QU$16&lt;$F34+($G34*$I34)),"➤",""),"")</f>
        <v/>
      </c>
      <c r="QV34" s="76" t="str">
        <f aca="false">IF($I34&gt;0%,IF(AND(QV$16&gt;=$F34,QV$16&lt;$F34+($G34*$I34)),"➤",""),"")</f>
        <v/>
      </c>
      <c r="QW34" s="76" t="str">
        <f aca="false">IF($I34&gt;0%,IF(AND(QW$16&gt;=$F34,QW$16&lt;$F34+($G34*$I34)),"➤",""),"")</f>
        <v/>
      </c>
      <c r="QX34" s="76" t="str">
        <f aca="false">IF($I34&gt;0%,IF(AND(QX$16&gt;=$F34,QX$16&lt;$F34+($G34*$I34)),"➤",""),"")</f>
        <v/>
      </c>
      <c r="QY34" s="76" t="str">
        <f aca="false">IF($I34&gt;0%,IF(AND(QY$16&gt;=$F34,QY$16&lt;$F34+($G34*$I34)),"➤",""),"")</f>
        <v/>
      </c>
      <c r="QZ34" s="76" t="str">
        <f aca="false">IF($I34&gt;0%,IF(AND(QZ$16&gt;=$F34,QZ$16&lt;$F34+($G34*$I34)),"➤",""),"")</f>
        <v/>
      </c>
      <c r="RA34" s="76" t="str">
        <f aca="false">IF($I34&gt;0%,IF(AND(RA$16&gt;=$F34,RA$16&lt;$F34+($G34*$I34)),"➤",""),"")</f>
        <v/>
      </c>
      <c r="RB34" s="76" t="str">
        <f aca="false">IF($I34&gt;0%,IF(AND(RB$16&gt;=$F34,RB$16&lt;$F34+($G34*$I34)),"➤",""),"")</f>
        <v/>
      </c>
      <c r="RC34" s="76" t="str">
        <f aca="false">IF($I34&gt;0%,IF(AND(RC$16&gt;=$F34,RC$16&lt;$F34+($G34*$I34)),"➤",""),"")</f>
        <v/>
      </c>
      <c r="RD34" s="76" t="str">
        <f aca="false">IF($I34&gt;0%,IF(AND(RD$16&gt;=$F34,RD$16&lt;$F34+($G34*$I34)),"➤",""),"")</f>
        <v/>
      </c>
      <c r="RE34" s="76" t="str">
        <f aca="false">IF($I34&gt;0%,IF(AND(RE$16&gt;=$F34,RE$16&lt;$F34+($G34*$I34)),"➤",""),"")</f>
        <v/>
      </c>
      <c r="RF34" s="76" t="str">
        <f aca="false">IF($I34&gt;0%,IF(AND(RF$16&gt;=$F34,RF$16&lt;$F34+($G34*$I34)),"➤",""),"")</f>
        <v/>
      </c>
      <c r="RG34" s="76" t="str">
        <f aca="false">IF($I34&gt;0%,IF(AND(RG$16&gt;=$F34,RG$16&lt;$F34+($G34*$I34)),"➤",""),"")</f>
        <v/>
      </c>
      <c r="RH34" s="76" t="str">
        <f aca="false">IF($I34&gt;0%,IF(AND(RH$16&gt;=$F34,RH$16&lt;$F34+($G34*$I34)),"➤",""),"")</f>
        <v/>
      </c>
      <c r="RI34" s="76" t="str">
        <f aca="false">IF($I34&gt;0%,IF(AND(RI$16&gt;=$F34,RI$16&lt;$F34+($G34*$I34)),"➤",""),"")</f>
        <v/>
      </c>
      <c r="RJ34" s="76" t="str">
        <f aca="false">IF($I34&gt;0%,IF(AND(RJ$16&gt;=$F34,RJ$16&lt;$F34+($G34*$I34)),"➤",""),"")</f>
        <v/>
      </c>
      <c r="RK34" s="76" t="str">
        <f aca="false">IF($I34&gt;0%,IF(AND(RK$16&gt;=$F34,RK$16&lt;$F34+($G34*$I34)),"➤",""),"")</f>
        <v/>
      </c>
      <c r="RL34" s="76" t="str">
        <f aca="false">IF($I34&gt;0%,IF(AND(RL$16&gt;=$F34,RL$16&lt;$F34+($G34*$I34)),"➤",""),"")</f>
        <v/>
      </c>
      <c r="RM34" s="76" t="str">
        <f aca="false">IF($I34&gt;0%,IF(AND(RM$16&gt;=$F34,RM$16&lt;$F34+($G34*$I34)),"➤",""),"")</f>
        <v/>
      </c>
      <c r="RN34" s="76" t="str">
        <f aca="false">IF($I34&gt;0%,IF(AND(RN$16&gt;=$F34,RN$16&lt;$F34+($G34*$I34)),"➤",""),"")</f>
        <v/>
      </c>
      <c r="RO34" s="76" t="str">
        <f aca="false">IF($I34&gt;0%,IF(AND(RO$16&gt;=$F34,RO$16&lt;$F34+($G34*$I34)),"➤",""),"")</f>
        <v/>
      </c>
      <c r="RP34" s="76" t="str">
        <f aca="false">IF($I34&gt;0%,IF(AND(RP$16&gt;=$F34,RP$16&lt;$F34+($G34*$I34)),"➤",""),"")</f>
        <v/>
      </c>
      <c r="RQ34" s="76" t="str">
        <f aca="false">IF($I34&gt;0%,IF(AND(RQ$16&gt;=$F34,RQ$16&lt;$F34+($G34*$I34)),"➤",""),"")</f>
        <v/>
      </c>
      <c r="RR34" s="76" t="str">
        <f aca="false">IF($I34&gt;0%,IF(AND(RR$16&gt;=$F34,RR$16&lt;$F34+($G34*$I34)),"➤",""),"")</f>
        <v/>
      </c>
      <c r="RS34" s="76" t="str">
        <f aca="false">IF($I34&gt;0%,IF(AND(RS$16&gt;=$F34,RS$16&lt;$F34+($G34*$I34)),"➤",""),"")</f>
        <v/>
      </c>
      <c r="RT34" s="76" t="str">
        <f aca="false">IF($I34&gt;0%,IF(AND(RT$16&gt;=$F34,RT$16&lt;$F34+($G34*$I34)),"➤",""),"")</f>
        <v/>
      </c>
      <c r="RU34" s="76" t="str">
        <f aca="false">IF($I34&gt;0%,IF(AND(RU$16&gt;=$F34,RU$16&lt;$F34+($G34*$I34)),"➤",""),"")</f>
        <v/>
      </c>
      <c r="RV34" s="76" t="str">
        <f aca="false">IF($I34&gt;0%,IF(AND(RV$16&gt;=$F34,RV$16&lt;$F34+($G34*$I34)),"➤",""),"")</f>
        <v/>
      </c>
      <c r="RW34" s="76" t="str">
        <f aca="false">IF($I34&gt;0%,IF(AND(RW$16&gt;=$F34,RW$16&lt;$F34+($G34*$I34)),"➤",""),"")</f>
        <v/>
      </c>
      <c r="RX34" s="76" t="str">
        <f aca="false">IF($I34&gt;0%,IF(AND(RX$16&gt;=$F34,RX$16&lt;$F34+($G34*$I34)),"➤",""),"")</f>
        <v/>
      </c>
      <c r="RY34" s="76" t="str">
        <f aca="false">IF($I34&gt;0%,IF(AND(RY$16&gt;=$F34,RY$16&lt;$F34+($G34*$I34)),"➤",""),"")</f>
        <v/>
      </c>
      <c r="RZ34" s="76" t="str">
        <f aca="false">IF($I34&gt;0%,IF(AND(RZ$16&gt;=$F34,RZ$16&lt;$F34+($G34*$I34)),"➤",""),"")</f>
        <v/>
      </c>
      <c r="SA34" s="76" t="str">
        <f aca="false">IF($I34&gt;0%,IF(AND(SA$16&gt;=$F34,SA$16&lt;$F34+($G34*$I34)),"➤",""),"")</f>
        <v/>
      </c>
      <c r="SB34" s="76" t="str">
        <f aca="false">IF($I34&gt;0%,IF(AND(SB$16&gt;=$F34,SB$16&lt;$F34+($G34*$I34)),"➤",""),"")</f>
        <v/>
      </c>
      <c r="SC34" s="76" t="str">
        <f aca="false">IF($I34&gt;0%,IF(AND(SC$16&gt;=$F34,SC$16&lt;$F34+($G34*$I34)),"➤",""),"")</f>
        <v/>
      </c>
      <c r="SD34" s="76" t="str">
        <f aca="false">IF($I34&gt;0%,IF(AND(SD$16&gt;=$F34,SD$16&lt;$F34+($G34*$I34)),"➤",""),"")</f>
        <v/>
      </c>
      <c r="SE34" s="76" t="str">
        <f aca="false">IF($I34&gt;0%,IF(AND(SE$16&gt;=$F34,SE$16&lt;$F34+($G34*$I34)),"➤",""),"")</f>
        <v/>
      </c>
      <c r="SF34" s="76" t="str">
        <f aca="false">IF($I34&gt;0%,IF(AND(SF$16&gt;=$F34,SF$16&lt;$F34+($G34*$I34)),"➤",""),"")</f>
        <v/>
      </c>
      <c r="SG34" s="76" t="str">
        <f aca="false">IF($I34&gt;0%,IF(AND(SG$16&gt;=$F34,SG$16&lt;$F34+($G34*$I34)),"➤",""),"")</f>
        <v/>
      </c>
      <c r="SH34" s="76" t="str">
        <f aca="false">IF($I34&gt;0%,IF(AND(SH$16&gt;=$F34,SH$16&lt;$F34+($G34*$I34)),"➤",""),"")</f>
        <v/>
      </c>
      <c r="SI34" s="76" t="str">
        <f aca="false">IF($I34&gt;0%,IF(AND(SI$16&gt;=$F34,SI$16&lt;$F34+($G34*$I34)),"➤",""),"")</f>
        <v/>
      </c>
      <c r="SJ34" s="76" t="str">
        <f aca="false">IF($I34&gt;0%,IF(AND(SJ$16&gt;=$F34,SJ$16&lt;$F34+($G34*$I34)),"➤",""),"")</f>
        <v/>
      </c>
      <c r="SK34" s="76" t="str">
        <f aca="false">IF($I34&gt;0%,IF(AND(SK$16&gt;=$F34,SK$16&lt;$F34+($G34*$I34)),"➤",""),"")</f>
        <v/>
      </c>
      <c r="SL34" s="76" t="str">
        <f aca="false">IF($I34&gt;0%,IF(AND(SL$16&gt;=$F34,SL$16&lt;$F34+($G34*$I34)),"➤",""),"")</f>
        <v/>
      </c>
      <c r="SM34" s="76" t="str">
        <f aca="false">IF($I34&gt;0%,IF(AND(SM$16&gt;=$F34,SM$16&lt;$F34+($G34*$I34)),"➤",""),"")</f>
        <v/>
      </c>
      <c r="SN34" s="76" t="str">
        <f aca="false">IF($I34&gt;0%,IF(AND(SN$16&gt;=$F34,SN$16&lt;$F34+($G34*$I34)),"➤",""),"")</f>
        <v/>
      </c>
      <c r="SO34" s="76" t="str">
        <f aca="false">IF($I34&gt;0%,IF(AND(SO$16&gt;=$F34,SO$16&lt;$F34+($G34*$I34)),"➤",""),"")</f>
        <v/>
      </c>
      <c r="SP34" s="76" t="str">
        <f aca="false">IF($I34&gt;0%,IF(AND(SP$16&gt;=$F34,SP$16&lt;$F34+($G34*$I34)),"➤",""),"")</f>
        <v/>
      </c>
      <c r="SQ34" s="76" t="str">
        <f aca="false">IF($I34&gt;0%,IF(AND(SQ$16&gt;=$F34,SQ$16&lt;$F34+($G34*$I34)),"➤",""),"")</f>
        <v/>
      </c>
      <c r="SR34" s="76" t="str">
        <f aca="false">IF($I34&gt;0%,IF(AND(SR$16&gt;=$F34,SR$16&lt;$F34+($G34*$I34)),"➤",""),"")</f>
        <v/>
      </c>
      <c r="SS34" s="76" t="str">
        <f aca="false">IF($I34&gt;0%,IF(AND(SS$16&gt;=$F34,SS$16&lt;$F34+($G34*$I34)),"➤",""),"")</f>
        <v/>
      </c>
      <c r="ST34" s="76" t="str">
        <f aca="false">IF($I34&gt;0%,IF(AND(ST$16&gt;=$F34,ST$16&lt;$F34+($G34*$I34)),"➤",""),"")</f>
        <v/>
      </c>
      <c r="SU34" s="76" t="str">
        <f aca="false">IF($I34&gt;0%,IF(AND(SU$16&gt;=$F34,SU$16&lt;$F34+($G34*$I34)),"➤",""),"")</f>
        <v/>
      </c>
      <c r="SV34" s="76" t="str">
        <f aca="false">IF($I34&gt;0%,IF(AND(SV$16&gt;=$F34,SV$16&lt;$F34+($G34*$I34)),"➤",""),"")</f>
        <v/>
      </c>
      <c r="SW34" s="77" t="str">
        <f aca="false">IF($I34&gt;0%,IF(AND(SW$16&gt;=$F34,SW$16&lt;$F34+($G34*$I34)),"➤",""),"")</f>
        <v/>
      </c>
    </row>
    <row r="35" customFormat="false" ht="14.25" hidden="false" customHeight="false" outlineLevel="1" collapsed="false">
      <c r="C35" s="10"/>
      <c r="D35" s="78"/>
      <c r="E35" s="79"/>
      <c r="F35" s="80" t="n">
        <v>44148</v>
      </c>
      <c r="G35" s="93" t="n">
        <v>3</v>
      </c>
      <c r="H35" s="94" t="n">
        <f aca="false">(F35+G35)-1</f>
        <v>44150</v>
      </c>
      <c r="I35" s="95" t="n">
        <v>1</v>
      </c>
      <c r="J35" s="84"/>
      <c r="K35" s="85"/>
      <c r="L35" s="75" t="str">
        <f aca="false">IF($I35&gt;0%,IF(AND(L$16&gt;=$F35,L$16&lt;$F35+($G35*$I35)),"➤",""),"")</f>
        <v/>
      </c>
      <c r="M35" s="76" t="str">
        <f aca="false">IF($I35&gt;0%,IF(AND(M$16&gt;=$F35,M$16&lt;$F35+($G35*$I35)),"➤",""),"")</f>
        <v/>
      </c>
      <c r="N35" s="76" t="str">
        <f aca="false">IF($I35&gt;0%,IF(AND(N$16&gt;=$F35,N$16&lt;$F35+($G35*$I35)),"➤",""),"")</f>
        <v/>
      </c>
      <c r="O35" s="76" t="str">
        <f aca="false">IF($I35&gt;0%,IF(AND(O$16&gt;=$F35,O$16&lt;$F35+($G35*$I35)),"➤",""),"")</f>
        <v/>
      </c>
      <c r="P35" s="76" t="str">
        <f aca="false">IF($I35&gt;0%,IF(AND(P$16&gt;=$F35,P$16&lt;$F35+($G35*$I35)),"➤",""),"")</f>
        <v/>
      </c>
      <c r="Q35" s="76" t="str">
        <f aca="false">IF($I35&gt;0%,IF(AND(Q$16&gt;=$F35,Q$16&lt;$F35+($G35*$I35)),"➤",""),"")</f>
        <v/>
      </c>
      <c r="R35" s="76" t="str">
        <f aca="false">IF($I35&gt;0%,IF(AND(R$16&gt;=$F35,R$16&lt;$F35+($G35*$I35)),"➤",""),"")</f>
        <v/>
      </c>
      <c r="S35" s="76" t="str">
        <f aca="false">IF($I35&gt;0%,IF(AND(S$16&gt;=$F35,S$16&lt;$F35+($G35*$I35)),"➤",""),"")</f>
        <v/>
      </c>
      <c r="T35" s="76" t="str">
        <f aca="false">IF($I35&gt;0%,IF(AND(T$16&gt;=$F35,T$16&lt;$F35+($G35*$I35)),"➤",""),"")</f>
        <v/>
      </c>
      <c r="U35" s="76" t="str">
        <f aca="false">IF($I35&gt;0%,IF(AND(U$16&gt;=$F35,U$16&lt;$F35+($G35*$I35)),"➤",""),"")</f>
        <v/>
      </c>
      <c r="V35" s="76" t="str">
        <f aca="false">IF($I35&gt;0%,IF(AND(V$16&gt;=$F35,V$16&lt;$F35+($G35*$I35)),"➤",""),"")</f>
        <v/>
      </c>
      <c r="W35" s="76" t="str">
        <f aca="false">IF($I35&gt;0%,IF(AND(W$16&gt;=$F35,W$16&lt;$F35+($G35*$I35)),"➤",""),"")</f>
        <v/>
      </c>
      <c r="X35" s="76" t="str">
        <f aca="false">IF($I35&gt;0%,IF(AND(X$16&gt;=$F35,X$16&lt;$F35+($G35*$I35)),"➤",""),"")</f>
        <v/>
      </c>
      <c r="Y35" s="76" t="str">
        <f aca="false">IF($I35&gt;0%,IF(AND(Y$16&gt;=$F35,Y$16&lt;$F35+($G35*$I35)),"➤",""),"")</f>
        <v/>
      </c>
      <c r="Z35" s="76" t="str">
        <f aca="false">IF($I35&gt;0%,IF(AND(Z$16&gt;=$F35,Z$16&lt;$F35+($G35*$I35)),"➤",""),"")</f>
        <v/>
      </c>
      <c r="AA35" s="76" t="str">
        <f aca="false">IF($I35&gt;0%,IF(AND(AA$16&gt;=$F35,AA$16&lt;$F35+($G35*$I35)),"➤",""),"")</f>
        <v/>
      </c>
      <c r="AB35" s="76" t="str">
        <f aca="false">IF($I35&gt;0%,IF(AND(AB$16&gt;=$F35,AB$16&lt;$F35+($G35*$I35)),"➤",""),"")</f>
        <v/>
      </c>
      <c r="AC35" s="76" t="str">
        <f aca="false">IF($I35&gt;0%,IF(AND(AC$16&gt;=$F35,AC$16&lt;$F35+($G35*$I35)),"➤",""),"")</f>
        <v/>
      </c>
      <c r="AD35" s="76" t="str">
        <f aca="false">IF($I35&gt;0%,IF(AND(AD$16&gt;=$F35,AD$16&lt;$F35+($G35*$I35)),"➤",""),"")</f>
        <v/>
      </c>
      <c r="AE35" s="76" t="str">
        <f aca="false">IF($I35&gt;0%,IF(AND(AE$16&gt;=$F35,AE$16&lt;$F35+($G35*$I35)),"➤",""),"")</f>
        <v/>
      </c>
      <c r="AF35" s="76" t="str">
        <f aca="false">IF($I35&gt;0%,IF(AND(AF$16&gt;=$F35,AF$16&lt;$F35+($G35*$I35)),"➤",""),"")</f>
        <v/>
      </c>
      <c r="AG35" s="76" t="str">
        <f aca="false">IF($I35&gt;0%,IF(AND(AG$16&gt;=$F35,AG$16&lt;$F35+($G35*$I35)),"➤",""),"")</f>
        <v/>
      </c>
      <c r="AH35" s="76" t="str">
        <f aca="false">IF($I35&gt;0%,IF(AND(AH$16&gt;=$F35,AH$16&lt;$F35+($G35*$I35)),"➤",""),"")</f>
        <v/>
      </c>
      <c r="AI35" s="76" t="str">
        <f aca="false">IF($I35&gt;0%,IF(AND(AI$16&gt;=$F35,AI$16&lt;$F35+($G35*$I35)),"➤",""),"")</f>
        <v/>
      </c>
      <c r="AJ35" s="76" t="str">
        <f aca="false">IF($I35&gt;0%,IF(AND(AJ$16&gt;=$F35,AJ$16&lt;$F35+($G35*$I35)),"➤",""),"")</f>
        <v/>
      </c>
      <c r="AK35" s="76" t="str">
        <f aca="false">IF($I35&gt;0%,IF(AND(AK$16&gt;=$F35,AK$16&lt;$F35+($G35*$I35)),"➤",""),"")</f>
        <v/>
      </c>
      <c r="AL35" s="76" t="str">
        <f aca="false">IF($I35&gt;0%,IF(AND(AL$16&gt;=$F35,AL$16&lt;$F35+($G35*$I35)),"➤",""),"")</f>
        <v/>
      </c>
      <c r="AM35" s="76" t="str">
        <f aca="false">IF($I35&gt;0%,IF(AND(AM$16&gt;=$F35,AM$16&lt;$F35+($G35*$I35)),"➤",""),"")</f>
        <v/>
      </c>
      <c r="AN35" s="76" t="str">
        <f aca="false">IF($I35&gt;0%,IF(AND(AN$16&gt;=$F35,AN$16&lt;$F35+($G35*$I35)),"➤",""),"")</f>
        <v/>
      </c>
      <c r="AO35" s="76" t="str">
        <f aca="false">IF($I35&gt;0%,IF(AND(AO$16&gt;=$F35,AO$16&lt;$F35+($G35*$I35)),"➤",""),"")</f>
        <v/>
      </c>
      <c r="AP35" s="76" t="str">
        <f aca="false">IF($I35&gt;0%,IF(AND(AP$16&gt;=$F35,AP$16&lt;$F35+($G35*$I35)),"➤",""),"")</f>
        <v/>
      </c>
      <c r="AQ35" s="76" t="str">
        <f aca="false">IF($I35&gt;0%,IF(AND(AQ$16&gt;=$F35,AQ$16&lt;$F35+($G35*$I35)),"➤",""),"")</f>
        <v/>
      </c>
      <c r="AR35" s="76" t="str">
        <f aca="false">IF($I35&gt;0%,IF(AND(AR$16&gt;=$F35,AR$16&lt;$F35+($G35*$I35)),"➤",""),"")</f>
        <v/>
      </c>
      <c r="AS35" s="76" t="str">
        <f aca="false">IF($I35&gt;0%,IF(AND(AS$16&gt;=$F35,AS$16&lt;$F35+($G35*$I35)),"➤",""),"")</f>
        <v/>
      </c>
      <c r="AT35" s="76" t="str">
        <f aca="false">IF($I35&gt;0%,IF(AND(AT$16&gt;=$F35,AT$16&lt;$F35+($G35*$I35)),"➤",""),"")</f>
        <v/>
      </c>
      <c r="AU35" s="76" t="str">
        <f aca="false">IF($I35&gt;0%,IF(AND(AU$16&gt;=$F35,AU$16&lt;$F35+($G35*$I35)),"➤",""),"")</f>
        <v/>
      </c>
      <c r="AV35" s="76" t="str">
        <f aca="false">IF($I35&gt;0%,IF(AND(AV$16&gt;=$F35,AV$16&lt;$F35+($G35*$I35)),"➤",""),"")</f>
        <v/>
      </c>
      <c r="AW35" s="76" t="str">
        <f aca="false">IF($I35&gt;0%,IF(AND(AW$16&gt;=$F35,AW$16&lt;$F35+($G35*$I35)),"➤",""),"")</f>
        <v/>
      </c>
      <c r="AX35" s="76" t="str">
        <f aca="false">IF($I35&gt;0%,IF(AND(AX$16&gt;=$F35,AX$16&lt;$F35+($G35*$I35)),"➤",""),"")</f>
        <v/>
      </c>
      <c r="AY35" s="76" t="str">
        <f aca="false">IF($I35&gt;0%,IF(AND(AY$16&gt;=$F35,AY$16&lt;$F35+($G35*$I35)),"➤",""),"")</f>
        <v/>
      </c>
      <c r="AZ35" s="76" t="str">
        <f aca="false">IF($I35&gt;0%,IF(AND(AZ$16&gt;=$F35,AZ$16&lt;$F35+($G35*$I35)),"➤",""),"")</f>
        <v/>
      </c>
      <c r="BA35" s="76" t="str">
        <f aca="false">IF($I35&gt;0%,IF(AND(BA$16&gt;=$F35,BA$16&lt;$F35+($G35*$I35)),"➤",""),"")</f>
        <v/>
      </c>
      <c r="BB35" s="76" t="str">
        <f aca="false">IF($I35&gt;0%,IF(AND(BB$16&gt;=$F35,BB$16&lt;$F35+($G35*$I35)),"➤",""),"")</f>
        <v/>
      </c>
      <c r="BC35" s="76" t="str">
        <f aca="false">IF($I35&gt;0%,IF(AND(BC$16&gt;=$F35,BC$16&lt;$F35+($G35*$I35)),"➤",""),"")</f>
        <v/>
      </c>
      <c r="BD35" s="76" t="str">
        <f aca="false">IF($I35&gt;0%,IF(AND(BD$16&gt;=$F35,BD$16&lt;$F35+($G35*$I35)),"➤",""),"")</f>
        <v/>
      </c>
      <c r="BE35" s="76" t="str">
        <f aca="false">IF($I35&gt;0%,IF(AND(BE$16&gt;=$F35,BE$16&lt;$F35+($G35*$I35)),"➤",""),"")</f>
        <v/>
      </c>
      <c r="BF35" s="76" t="str">
        <f aca="false">IF($I35&gt;0%,IF(AND(BF$16&gt;=$F35,BF$16&lt;$F35+($G35*$I35)),"➤",""),"")</f>
        <v/>
      </c>
      <c r="BG35" s="76" t="str">
        <f aca="false">IF($I35&gt;0%,IF(AND(BG$16&gt;=$F35,BG$16&lt;$F35+($G35*$I35)),"➤",""),"")</f>
        <v/>
      </c>
      <c r="BH35" s="76" t="str">
        <f aca="false">IF($I35&gt;0%,IF(AND(BH$16&gt;=$F35,BH$16&lt;$F35+($G35*$I35)),"➤",""),"")</f>
        <v/>
      </c>
      <c r="BI35" s="76" t="str">
        <f aca="false">IF($I35&gt;0%,IF(AND(BI$16&gt;=$F35,BI$16&lt;$F35+($G35*$I35)),"➤",""),"")</f>
        <v/>
      </c>
      <c r="BJ35" s="76" t="str">
        <f aca="false">IF($I35&gt;0%,IF(AND(BJ$16&gt;=$F35,BJ$16&lt;$F35+($G35*$I35)),"➤",""),"")</f>
        <v/>
      </c>
      <c r="BK35" s="76" t="str">
        <f aca="false">IF($I35&gt;0%,IF(AND(BK$16&gt;=$F35,BK$16&lt;$F35+($G35*$I35)),"➤",""),"")</f>
        <v/>
      </c>
      <c r="BL35" s="76" t="str">
        <f aca="false">IF($I35&gt;0%,IF(AND(BL$16&gt;=$F35,BL$16&lt;$F35+($G35*$I35)),"➤",""),"")</f>
        <v/>
      </c>
      <c r="BM35" s="76" t="str">
        <f aca="false">IF($I35&gt;0%,IF(AND(BM$16&gt;=$F35,BM$16&lt;$F35+($G35*$I35)),"➤",""),"")</f>
        <v/>
      </c>
      <c r="BN35" s="76" t="str">
        <f aca="false">IF($I35&gt;0%,IF(AND(BN$16&gt;=$F35,BN$16&lt;$F35+($G35*$I35)),"➤",""),"")</f>
        <v/>
      </c>
      <c r="BO35" s="76" t="str">
        <f aca="false">IF($I35&gt;0%,IF(AND(BO$16&gt;=$F35,BO$16&lt;$F35+($G35*$I35)),"➤",""),"")</f>
        <v/>
      </c>
      <c r="BP35" s="76" t="str">
        <f aca="false">IF($I35&gt;0%,IF(AND(BP$16&gt;=$F35,BP$16&lt;$F35+($G35*$I35)),"➤",""),"")</f>
        <v/>
      </c>
      <c r="BQ35" s="76" t="str">
        <f aca="false">IF($I35&gt;0%,IF(AND(BQ$16&gt;=$F35,BQ$16&lt;$F35+($G35*$I35)),"➤",""),"")</f>
        <v/>
      </c>
      <c r="BR35" s="76" t="str">
        <f aca="false">IF($I35&gt;0%,IF(AND(BR$16&gt;=$F35,BR$16&lt;$F35+($G35*$I35)),"➤",""),"")</f>
        <v/>
      </c>
      <c r="BS35" s="76" t="str">
        <f aca="false">IF($I35&gt;0%,IF(AND(BS$16&gt;=$F35,BS$16&lt;$F35+($G35*$I35)),"➤",""),"")</f>
        <v/>
      </c>
      <c r="BT35" s="76" t="str">
        <f aca="false">IF($I35&gt;0%,IF(AND(BT$16&gt;=$F35,BT$16&lt;$F35+($G35*$I35)),"➤",""),"")</f>
        <v/>
      </c>
      <c r="BU35" s="76" t="str">
        <f aca="false">IF($I35&gt;0%,IF(AND(BU$16&gt;=$F35,BU$16&lt;$F35+($G35*$I35)),"➤",""),"")</f>
        <v/>
      </c>
      <c r="BV35" s="76" t="str">
        <f aca="false">IF($I35&gt;0%,IF(AND(BV$16&gt;=$F35,BV$16&lt;$F35+($G35*$I35)),"➤",""),"")</f>
        <v/>
      </c>
      <c r="BW35" s="76" t="str">
        <f aca="false">IF($I35&gt;0%,IF(AND(BW$16&gt;=$F35,BW$16&lt;$F35+($G35*$I35)),"➤",""),"")</f>
        <v/>
      </c>
      <c r="BX35" s="76" t="str">
        <f aca="false">IF($I35&gt;0%,IF(AND(BX$16&gt;=$F35,BX$16&lt;$F35+($G35*$I35)),"➤",""),"")</f>
        <v/>
      </c>
      <c r="BY35" s="76" t="str">
        <f aca="false">IF($I35&gt;0%,IF(AND(BY$16&gt;=$F35,BY$16&lt;$F35+($G35*$I35)),"➤",""),"")</f>
        <v/>
      </c>
      <c r="BZ35" s="76" t="str">
        <f aca="false">IF($I35&gt;0%,IF(AND(BZ$16&gt;=$F35,BZ$16&lt;$F35+($G35*$I35)),"➤",""),"")</f>
        <v/>
      </c>
      <c r="CA35" s="76" t="str">
        <f aca="false">IF($I35&gt;0%,IF(AND(CA$16&gt;=$F35,CA$16&lt;$F35+($G35*$I35)),"➤",""),"")</f>
        <v/>
      </c>
      <c r="CB35" s="76" t="str">
        <f aca="false">IF($I35&gt;0%,IF(AND(CB$16&gt;=$F35,CB$16&lt;$F35+($G35*$I35)),"➤",""),"")</f>
        <v/>
      </c>
      <c r="CC35" s="76" t="str">
        <f aca="false">IF($I35&gt;0%,IF(AND(CC$16&gt;=$F35,CC$16&lt;$F35+($G35*$I35)),"➤",""),"")</f>
        <v/>
      </c>
      <c r="CD35" s="76" t="str">
        <f aca="false">IF($I35&gt;0%,IF(AND(CD$16&gt;=$F35,CD$16&lt;$F35+($G35*$I35)),"➤",""),"")</f>
        <v/>
      </c>
      <c r="CE35" s="76" t="str">
        <f aca="false">IF($I35&gt;0%,IF(AND(CE$16&gt;=$F35,CE$16&lt;$F35+($G35*$I35)),"➤",""),"")</f>
        <v/>
      </c>
      <c r="CF35" s="76" t="str">
        <f aca="false">IF($I35&gt;0%,IF(AND(CF$16&gt;=$F35,CF$16&lt;$F35+($G35*$I35)),"➤",""),"")</f>
        <v/>
      </c>
      <c r="CG35" s="76" t="str">
        <f aca="false">IF($I35&gt;0%,IF(AND(CG$16&gt;=$F35,CG$16&lt;$F35+($G35*$I35)),"➤",""),"")</f>
        <v/>
      </c>
      <c r="CH35" s="76" t="str">
        <f aca="false">IF($I35&gt;0%,IF(AND(CH$16&gt;=$F35,CH$16&lt;$F35+($G35*$I35)),"➤",""),"")</f>
        <v/>
      </c>
      <c r="CI35" s="76" t="str">
        <f aca="false">IF($I35&gt;0%,IF(AND(CI$16&gt;=$F35,CI$16&lt;$F35+($G35*$I35)),"➤",""),"")</f>
        <v/>
      </c>
      <c r="CJ35" s="76" t="str">
        <f aca="false">IF($I35&gt;0%,IF(AND(CJ$16&gt;=$F35,CJ$16&lt;$F35+($G35*$I35)),"➤",""),"")</f>
        <v/>
      </c>
      <c r="CK35" s="76" t="str">
        <f aca="false">IF($I35&gt;0%,IF(AND(CK$16&gt;=$F35,CK$16&lt;$F35+($G35*$I35)),"➤",""),"")</f>
        <v/>
      </c>
      <c r="CL35" s="76" t="str">
        <f aca="false">IF($I35&gt;0%,IF(AND(CL$16&gt;=$F35,CL$16&lt;$F35+($G35*$I35)),"➤",""),"")</f>
        <v/>
      </c>
      <c r="CM35" s="76" t="str">
        <f aca="false">IF($I35&gt;0%,IF(AND(CM$16&gt;=$F35,CM$16&lt;$F35+($G35*$I35)),"➤",""),"")</f>
        <v/>
      </c>
      <c r="CN35" s="76" t="str">
        <f aca="false">IF($I35&gt;0%,IF(AND(CN$16&gt;=$F35,CN$16&lt;$F35+($G35*$I35)),"➤",""),"")</f>
        <v/>
      </c>
      <c r="CO35" s="76" t="str">
        <f aca="false">IF($I35&gt;0%,IF(AND(CO$16&gt;=$F35,CO$16&lt;$F35+($G35*$I35)),"➤",""),"")</f>
        <v/>
      </c>
      <c r="CP35" s="76" t="str">
        <f aca="false">IF($I35&gt;0%,IF(AND(CP$16&gt;=$F35,CP$16&lt;$F35+($G35*$I35)),"➤",""),"")</f>
        <v/>
      </c>
      <c r="CQ35" s="76" t="str">
        <f aca="false">IF($I35&gt;0%,IF(AND(CQ$16&gt;=$F35,CQ$16&lt;$F35+($G35*$I35)),"➤",""),"")</f>
        <v/>
      </c>
      <c r="CR35" s="76" t="str">
        <f aca="false">IF($I35&gt;0%,IF(AND(CR$16&gt;=$F35,CR$16&lt;$F35+($G35*$I35)),"➤",""),"")</f>
        <v/>
      </c>
      <c r="CS35" s="76" t="str">
        <f aca="false">IF($I35&gt;0%,IF(AND(CS$16&gt;=$F35,CS$16&lt;$F35+($G35*$I35)),"➤",""),"")</f>
        <v/>
      </c>
      <c r="CT35" s="76" t="str">
        <f aca="false">IF($I35&gt;0%,IF(AND(CT$16&gt;=$F35,CT$16&lt;$F35+($G35*$I35)),"➤",""),"")</f>
        <v/>
      </c>
      <c r="CU35" s="76" t="str">
        <f aca="false">IF($I35&gt;0%,IF(AND(CU$16&gt;=$F35,CU$16&lt;$F35+($G35*$I35)),"➤",""),"")</f>
        <v/>
      </c>
      <c r="CV35" s="76" t="str">
        <f aca="false">IF($I35&gt;0%,IF(AND(CV$16&gt;=$F35,CV$16&lt;$F35+($G35*$I35)),"➤",""),"")</f>
        <v/>
      </c>
      <c r="CW35" s="76" t="str">
        <f aca="false">IF($I35&gt;0%,IF(AND(CW$16&gt;=$F35,CW$16&lt;$F35+($G35*$I35)),"➤",""),"")</f>
        <v/>
      </c>
      <c r="CX35" s="76" t="str">
        <f aca="false">IF($I35&gt;0%,IF(AND(CX$16&gt;=$F35,CX$16&lt;$F35+($G35*$I35)),"➤",""),"")</f>
        <v/>
      </c>
      <c r="CY35" s="76" t="str">
        <f aca="false">IF($I35&gt;0%,IF(AND(CY$16&gt;=$F35,CY$16&lt;$F35+($G35*$I35)),"➤",""),"")</f>
        <v/>
      </c>
      <c r="CZ35" s="76" t="str">
        <f aca="false">IF($I35&gt;0%,IF(AND(CZ$16&gt;=$F35,CZ$16&lt;$F35+($G35*$I35)),"➤",""),"")</f>
        <v/>
      </c>
      <c r="DA35" s="76" t="str">
        <f aca="false">IF($I35&gt;0%,IF(AND(DA$16&gt;=$F35,DA$16&lt;$F35+($G35*$I35)),"➤",""),"")</f>
        <v/>
      </c>
      <c r="DB35" s="76" t="str">
        <f aca="false">IF($I35&gt;0%,IF(AND(DB$16&gt;=$F35,DB$16&lt;$F35+($G35*$I35)),"➤",""),"")</f>
        <v/>
      </c>
      <c r="DC35" s="76" t="str">
        <f aca="false">IF($I35&gt;0%,IF(AND(DC$16&gt;=$F35,DC$16&lt;$F35+($G35*$I35)),"➤",""),"")</f>
        <v/>
      </c>
      <c r="DD35" s="76" t="str">
        <f aca="false">IF($I35&gt;0%,IF(AND(DD$16&gt;=$F35,DD$16&lt;$F35+($G35*$I35)),"➤",""),"")</f>
        <v/>
      </c>
      <c r="DE35" s="76" t="str">
        <f aca="false">IF($I35&gt;0%,IF(AND(DE$16&gt;=$F35,DE$16&lt;$F35+($G35*$I35)),"➤",""),"")</f>
        <v/>
      </c>
      <c r="DF35" s="76" t="str">
        <f aca="false">IF($I35&gt;0%,IF(AND(DF$16&gt;=$F35,DF$16&lt;$F35+($G35*$I35)),"➤",""),"")</f>
        <v/>
      </c>
      <c r="DG35" s="76" t="str">
        <f aca="false">IF($I35&gt;0%,IF(AND(DG$16&gt;=$F35,DG$16&lt;$F35+($G35*$I35)),"➤",""),"")</f>
        <v/>
      </c>
      <c r="DH35" s="76" t="str">
        <f aca="false">IF($I35&gt;0%,IF(AND(DH$16&gt;=$F35,DH$16&lt;$F35+($G35*$I35)),"➤",""),"")</f>
        <v/>
      </c>
      <c r="DI35" s="76" t="str">
        <f aca="false">IF($I35&gt;0%,IF(AND(DI$16&gt;=$F35,DI$16&lt;$F35+($G35*$I35)),"➤",""),"")</f>
        <v/>
      </c>
      <c r="DJ35" s="76" t="str">
        <f aca="false">IF($I35&gt;0%,IF(AND(DJ$16&gt;=$F35,DJ$16&lt;$F35+($G35*$I35)),"➤",""),"")</f>
        <v/>
      </c>
      <c r="DK35" s="76" t="str">
        <f aca="false">IF($I35&gt;0%,IF(AND(DK$16&gt;=$F35,DK$16&lt;$F35+($G35*$I35)),"➤",""),"")</f>
        <v/>
      </c>
      <c r="DL35" s="76" t="str">
        <f aca="false">IF($I35&gt;0%,IF(AND(DL$16&gt;=$F35,DL$16&lt;$F35+($G35*$I35)),"➤",""),"")</f>
        <v/>
      </c>
      <c r="DM35" s="76" t="str">
        <f aca="false">IF($I35&gt;0%,IF(AND(DM$16&gt;=$F35,DM$16&lt;$F35+($G35*$I35)),"➤",""),"")</f>
        <v/>
      </c>
      <c r="DN35" s="76" t="str">
        <f aca="false">IF($I35&gt;0%,IF(AND(DN$16&gt;=$F35,DN$16&lt;$F35+($G35*$I35)),"➤",""),"")</f>
        <v/>
      </c>
      <c r="DO35" s="76" t="str">
        <f aca="false">IF($I35&gt;0%,IF(AND(DO$16&gt;=$F35,DO$16&lt;$F35+($G35*$I35)),"➤",""),"")</f>
        <v/>
      </c>
      <c r="DP35" s="76" t="str">
        <f aca="false">IF($I35&gt;0%,IF(AND(DP$16&gt;=$F35,DP$16&lt;$F35+($G35*$I35)),"➤",""),"")</f>
        <v/>
      </c>
      <c r="DQ35" s="76" t="str">
        <f aca="false">IF($I35&gt;0%,IF(AND(DQ$16&gt;=$F35,DQ$16&lt;$F35+($G35*$I35)),"➤",""),"")</f>
        <v/>
      </c>
      <c r="DR35" s="76" t="str">
        <f aca="false">IF($I35&gt;0%,IF(AND(DR$16&gt;=$F35,DR$16&lt;$F35+($G35*$I35)),"➤",""),"")</f>
        <v/>
      </c>
      <c r="DS35" s="76" t="str">
        <f aca="false">IF($I35&gt;0%,IF(AND(DS$16&gt;=$F35,DS$16&lt;$F35+($G35*$I35)),"➤",""),"")</f>
        <v/>
      </c>
      <c r="DT35" s="76" t="str">
        <f aca="false">IF($I35&gt;0%,IF(AND(DT$16&gt;=$F35,DT$16&lt;$F35+($G35*$I35)),"➤",""),"")</f>
        <v/>
      </c>
      <c r="DU35" s="76" t="str">
        <f aca="false">IF($I35&gt;0%,IF(AND(DU$16&gt;=$F35,DU$16&lt;$F35+($G35*$I35)),"➤",""),"")</f>
        <v/>
      </c>
      <c r="DV35" s="76" t="str">
        <f aca="false">IF($I35&gt;0%,IF(AND(DV$16&gt;=$F35,DV$16&lt;$F35+($G35*$I35)),"➤",""),"")</f>
        <v/>
      </c>
      <c r="DW35" s="76" t="str">
        <f aca="false">IF($I35&gt;0%,IF(AND(DW$16&gt;=$F35,DW$16&lt;$F35+($G35*$I35)),"➤",""),"")</f>
        <v/>
      </c>
      <c r="DX35" s="76" t="str">
        <f aca="false">IF($I35&gt;0%,IF(AND(DX$16&gt;=$F35,DX$16&lt;$F35+($G35*$I35)),"➤",""),"")</f>
        <v/>
      </c>
      <c r="DY35" s="76" t="str">
        <f aca="false">IF($I35&gt;0%,IF(AND(DY$16&gt;=$F35,DY$16&lt;$F35+($G35*$I35)),"➤",""),"")</f>
        <v/>
      </c>
      <c r="DZ35" s="76" t="str">
        <f aca="false">IF($I35&gt;0%,IF(AND(DZ$16&gt;=$F35,DZ$16&lt;$F35+($G35*$I35)),"➤",""),"")</f>
        <v/>
      </c>
      <c r="EA35" s="76" t="str">
        <f aca="false">IF($I35&gt;0%,IF(AND(EA$16&gt;=$F35,EA$16&lt;$F35+($G35*$I35)),"➤",""),"")</f>
        <v/>
      </c>
      <c r="EB35" s="76" t="str">
        <f aca="false">IF($I35&gt;0%,IF(AND(EB$16&gt;=$F35,EB$16&lt;$F35+($G35*$I35)),"➤",""),"")</f>
        <v/>
      </c>
      <c r="EC35" s="76" t="str">
        <f aca="false">IF($I35&gt;0%,IF(AND(EC$16&gt;=$F35,EC$16&lt;$F35+($G35*$I35)),"➤",""),"")</f>
        <v/>
      </c>
      <c r="ED35" s="76" t="str">
        <f aca="false">IF($I35&gt;0%,IF(AND(ED$16&gt;=$F35,ED$16&lt;$F35+($G35*$I35)),"➤",""),"")</f>
        <v/>
      </c>
      <c r="EE35" s="76" t="str">
        <f aca="false">IF($I35&gt;0%,IF(AND(EE$16&gt;=$F35,EE$16&lt;$F35+($G35*$I35)),"➤",""),"")</f>
        <v/>
      </c>
      <c r="EF35" s="76" t="str">
        <f aca="false">IF($I35&gt;0%,IF(AND(EF$16&gt;=$F35,EF$16&lt;$F35+($G35*$I35)),"➤",""),"")</f>
        <v/>
      </c>
      <c r="EG35" s="76" t="str">
        <f aca="false">IF($I35&gt;0%,IF(AND(EG$16&gt;=$F35,EG$16&lt;$F35+($G35*$I35)),"➤",""),"")</f>
        <v/>
      </c>
      <c r="EH35" s="76" t="str">
        <f aca="false">IF($I35&gt;0%,IF(AND(EH$16&gt;=$F35,EH$16&lt;$F35+($G35*$I35)),"➤",""),"")</f>
        <v/>
      </c>
      <c r="EI35" s="76" t="str">
        <f aca="false">IF($I35&gt;0%,IF(AND(EI$16&gt;=$F35,EI$16&lt;$F35+($G35*$I35)),"➤",""),"")</f>
        <v/>
      </c>
      <c r="EJ35" s="76" t="str">
        <f aca="false">IF($I35&gt;0%,IF(AND(EJ$16&gt;=$F35,EJ$16&lt;$F35+($G35*$I35)),"➤",""),"")</f>
        <v/>
      </c>
      <c r="EK35" s="76" t="str">
        <f aca="false">IF($I35&gt;0%,IF(AND(EK$16&gt;=$F35,EK$16&lt;$F35+($G35*$I35)),"➤",""),"")</f>
        <v/>
      </c>
      <c r="EL35" s="76" t="str">
        <f aca="false">IF($I35&gt;0%,IF(AND(EL$16&gt;=$F35,EL$16&lt;$F35+($G35*$I35)),"➤",""),"")</f>
        <v/>
      </c>
      <c r="EM35" s="76" t="str">
        <f aca="false">IF($I35&gt;0%,IF(AND(EM$16&gt;=$F35,EM$16&lt;$F35+($G35*$I35)),"➤",""),"")</f>
        <v/>
      </c>
      <c r="EN35" s="76" t="str">
        <f aca="false">IF($I35&gt;0%,IF(AND(EN$16&gt;=$F35,EN$16&lt;$F35+($G35*$I35)),"➤",""),"")</f>
        <v/>
      </c>
      <c r="EO35" s="76" t="str">
        <f aca="false">IF($I35&gt;0%,IF(AND(EO$16&gt;=$F35,EO$16&lt;$F35+($G35*$I35)),"➤",""),"")</f>
        <v/>
      </c>
      <c r="EP35" s="76" t="str">
        <f aca="false">IF($I35&gt;0%,IF(AND(EP$16&gt;=$F35,EP$16&lt;$F35+($G35*$I35)),"➤",""),"")</f>
        <v/>
      </c>
      <c r="EQ35" s="76" t="str">
        <f aca="false">IF($I35&gt;0%,IF(AND(EQ$16&gt;=$F35,EQ$16&lt;$F35+($G35*$I35)),"➤",""),"")</f>
        <v/>
      </c>
      <c r="ER35" s="76" t="str">
        <f aca="false">IF($I35&gt;0%,IF(AND(ER$16&gt;=$F35,ER$16&lt;$F35+($G35*$I35)),"➤",""),"")</f>
        <v/>
      </c>
      <c r="ES35" s="76" t="str">
        <f aca="false">IF($I35&gt;0%,IF(AND(ES$16&gt;=$F35,ES$16&lt;$F35+($G35*$I35)),"➤",""),"")</f>
        <v/>
      </c>
      <c r="ET35" s="76" t="str">
        <f aca="false">IF($I35&gt;0%,IF(AND(ET$16&gt;=$F35,ET$16&lt;$F35+($G35*$I35)),"➤",""),"")</f>
        <v/>
      </c>
      <c r="EU35" s="76" t="str">
        <f aca="false">IF($I35&gt;0%,IF(AND(EU$16&gt;=$F35,EU$16&lt;$F35+($G35*$I35)),"➤",""),"")</f>
        <v/>
      </c>
      <c r="EV35" s="76" t="str">
        <f aca="false">IF($I35&gt;0%,IF(AND(EV$16&gt;=$F35,EV$16&lt;$F35+($G35*$I35)),"➤",""),"")</f>
        <v/>
      </c>
      <c r="EW35" s="76" t="str">
        <f aca="false">IF($I35&gt;0%,IF(AND(EW$16&gt;=$F35,EW$16&lt;$F35+($G35*$I35)),"➤",""),"")</f>
        <v/>
      </c>
      <c r="EX35" s="76" t="str">
        <f aca="false">IF($I35&gt;0%,IF(AND(EX$16&gt;=$F35,EX$16&lt;$F35+($G35*$I35)),"➤",""),"")</f>
        <v/>
      </c>
      <c r="EY35" s="76" t="str">
        <f aca="false">IF($I35&gt;0%,IF(AND(EY$16&gt;=$F35,EY$16&lt;$F35+($G35*$I35)),"➤",""),"")</f>
        <v/>
      </c>
      <c r="EZ35" s="76" t="str">
        <f aca="false">IF($I35&gt;0%,IF(AND(EZ$16&gt;=$F35,EZ$16&lt;$F35+($G35*$I35)),"➤",""),"")</f>
        <v/>
      </c>
      <c r="FA35" s="76" t="str">
        <f aca="false">IF($I35&gt;0%,IF(AND(FA$16&gt;=$F35,FA$16&lt;$F35+($G35*$I35)),"➤",""),"")</f>
        <v/>
      </c>
      <c r="FB35" s="76" t="str">
        <f aca="false">IF($I35&gt;0%,IF(AND(FB$16&gt;=$F35,FB$16&lt;$F35+($G35*$I35)),"➤",""),"")</f>
        <v/>
      </c>
      <c r="FC35" s="76" t="str">
        <f aca="false">IF($I35&gt;0%,IF(AND(FC$16&gt;=$F35,FC$16&lt;$F35+($G35*$I35)),"➤",""),"")</f>
        <v/>
      </c>
      <c r="FD35" s="76" t="str">
        <f aca="false">IF($I35&gt;0%,IF(AND(FD$16&gt;=$F35,FD$16&lt;$F35+($G35*$I35)),"➤",""),"")</f>
        <v/>
      </c>
      <c r="FE35" s="76" t="str">
        <f aca="false">IF($I35&gt;0%,IF(AND(FE$16&gt;=$F35,FE$16&lt;$F35+($G35*$I35)),"➤",""),"")</f>
        <v/>
      </c>
      <c r="FF35" s="76" t="str">
        <f aca="false">IF($I35&gt;0%,IF(AND(FF$16&gt;=$F35,FF$16&lt;$F35+($G35*$I35)),"➤",""),"")</f>
        <v/>
      </c>
      <c r="FG35" s="76" t="str">
        <f aca="false">IF($I35&gt;0%,IF(AND(FG$16&gt;=$F35,FG$16&lt;$F35+($G35*$I35)),"➤",""),"")</f>
        <v/>
      </c>
      <c r="FH35" s="76" t="str">
        <f aca="false">IF($I35&gt;0%,IF(AND(FH$16&gt;=$F35,FH$16&lt;$F35+($G35*$I35)),"➤",""),"")</f>
        <v/>
      </c>
      <c r="FI35" s="76" t="str">
        <f aca="false">IF($I35&gt;0%,IF(AND(FI$16&gt;=$F35,FI$16&lt;$F35+($G35*$I35)),"➤",""),"")</f>
        <v/>
      </c>
      <c r="FJ35" s="76" t="str">
        <f aca="false">IF($I35&gt;0%,IF(AND(FJ$16&gt;=$F35,FJ$16&lt;$F35+($G35*$I35)),"➤",""),"")</f>
        <v/>
      </c>
      <c r="FK35" s="76" t="str">
        <f aca="false">IF($I35&gt;0%,IF(AND(FK$16&gt;=$F35,FK$16&lt;$F35+($G35*$I35)),"➤",""),"")</f>
        <v/>
      </c>
      <c r="FL35" s="76" t="str">
        <f aca="false">IF($I35&gt;0%,IF(AND(FL$16&gt;=$F35,FL$16&lt;$F35+($G35*$I35)),"➤",""),"")</f>
        <v/>
      </c>
      <c r="FM35" s="76" t="str">
        <f aca="false">IF($I35&gt;0%,IF(AND(FM$16&gt;=$F35,FM$16&lt;$F35+($G35*$I35)),"➤",""),"")</f>
        <v/>
      </c>
      <c r="FN35" s="76" t="str">
        <f aca="false">IF($I35&gt;0%,IF(AND(FN$16&gt;=$F35,FN$16&lt;$F35+($G35*$I35)),"➤",""),"")</f>
        <v/>
      </c>
      <c r="FO35" s="76" t="str">
        <f aca="false">IF($I35&gt;0%,IF(AND(FO$16&gt;=$F35,FO$16&lt;$F35+($G35*$I35)),"➤",""),"")</f>
        <v/>
      </c>
      <c r="FP35" s="76" t="str">
        <f aca="false">IF($I35&gt;0%,IF(AND(FP$16&gt;=$F35,FP$16&lt;$F35+($G35*$I35)),"➤",""),"")</f>
        <v/>
      </c>
      <c r="FQ35" s="76" t="str">
        <f aca="false">IF($I35&gt;0%,IF(AND(FQ$16&gt;=$F35,FQ$16&lt;$F35+($G35*$I35)),"➤",""),"")</f>
        <v/>
      </c>
      <c r="FR35" s="76" t="str">
        <f aca="false">IF($I35&gt;0%,IF(AND(FR$16&gt;=$F35,FR$16&lt;$F35+($G35*$I35)),"➤",""),"")</f>
        <v/>
      </c>
      <c r="FS35" s="76" t="str">
        <f aca="false">IF($I35&gt;0%,IF(AND(FS$16&gt;=$F35,FS$16&lt;$F35+($G35*$I35)),"➤",""),"")</f>
        <v/>
      </c>
      <c r="FT35" s="76" t="str">
        <f aca="false">IF($I35&gt;0%,IF(AND(FT$16&gt;=$F35,FT$16&lt;$F35+($G35*$I35)),"➤",""),"")</f>
        <v/>
      </c>
      <c r="FU35" s="76" t="str">
        <f aca="false">IF($I35&gt;0%,IF(AND(FU$16&gt;=$F35,FU$16&lt;$F35+($G35*$I35)),"➤",""),"")</f>
        <v/>
      </c>
      <c r="FV35" s="76" t="str">
        <f aca="false">IF($I35&gt;0%,IF(AND(FV$16&gt;=$F35,FV$16&lt;$F35+($G35*$I35)),"➤",""),"")</f>
        <v/>
      </c>
      <c r="FW35" s="76" t="str">
        <f aca="false">IF($I35&gt;0%,IF(AND(FW$16&gt;=$F35,FW$16&lt;$F35+($G35*$I35)),"➤",""),"")</f>
        <v/>
      </c>
      <c r="FX35" s="76" t="str">
        <f aca="false">IF($I35&gt;0%,IF(AND(FX$16&gt;=$F35,FX$16&lt;$F35+($G35*$I35)),"➤",""),"")</f>
        <v/>
      </c>
      <c r="FY35" s="76" t="str">
        <f aca="false">IF($I35&gt;0%,IF(AND(FY$16&gt;=$F35,FY$16&lt;$F35+($G35*$I35)),"➤",""),"")</f>
        <v/>
      </c>
      <c r="FZ35" s="76" t="str">
        <f aca="false">IF($I35&gt;0%,IF(AND(FZ$16&gt;=$F35,FZ$16&lt;$F35+($G35*$I35)),"➤",""),"")</f>
        <v/>
      </c>
      <c r="GA35" s="76" t="str">
        <f aca="false">IF($I35&gt;0%,IF(AND(GA$16&gt;=$F35,GA$16&lt;$F35+($G35*$I35)),"➤",""),"")</f>
        <v/>
      </c>
      <c r="GB35" s="76" t="str">
        <f aca="false">IF($I35&gt;0%,IF(AND(GB$16&gt;=$F35,GB$16&lt;$F35+($G35*$I35)),"➤",""),"")</f>
        <v/>
      </c>
      <c r="GC35" s="76" t="str">
        <f aca="false">IF($I35&gt;0%,IF(AND(GC$16&gt;=$F35,GC$16&lt;$F35+($G35*$I35)),"➤",""),"")</f>
        <v/>
      </c>
      <c r="GD35" s="76" t="str">
        <f aca="false">IF($I35&gt;0%,IF(AND(GD$16&gt;=$F35,GD$16&lt;$F35+($G35*$I35)),"➤",""),"")</f>
        <v/>
      </c>
      <c r="GE35" s="76" t="str">
        <f aca="false">IF($I35&gt;0%,IF(AND(GE$16&gt;=$F35,GE$16&lt;$F35+($G35*$I35)),"➤",""),"")</f>
        <v/>
      </c>
      <c r="GF35" s="76" t="str">
        <f aca="false">IF($I35&gt;0%,IF(AND(GF$16&gt;=$F35,GF$16&lt;$F35+($G35*$I35)),"➤",""),"")</f>
        <v/>
      </c>
      <c r="GG35" s="76" t="str">
        <f aca="false">IF($I35&gt;0%,IF(AND(GG$16&gt;=$F35,GG$16&lt;$F35+($G35*$I35)),"➤",""),"")</f>
        <v/>
      </c>
      <c r="GH35" s="76" t="str">
        <f aca="false">IF($I35&gt;0%,IF(AND(GH$16&gt;=$F35,GH$16&lt;$F35+($G35*$I35)),"➤",""),"")</f>
        <v/>
      </c>
      <c r="GI35" s="76" t="str">
        <f aca="false">IF($I35&gt;0%,IF(AND(GI$16&gt;=$F35,GI$16&lt;$F35+($G35*$I35)),"➤",""),"")</f>
        <v/>
      </c>
      <c r="GJ35" s="76" t="str">
        <f aca="false">IF($I35&gt;0%,IF(AND(GJ$16&gt;=$F35,GJ$16&lt;$F35+($G35*$I35)),"➤",""),"")</f>
        <v/>
      </c>
      <c r="GK35" s="76" t="str">
        <f aca="false">IF($I35&gt;0%,IF(AND(GK$16&gt;=$F35,GK$16&lt;$F35+($G35*$I35)),"➤",""),"")</f>
        <v/>
      </c>
      <c r="GL35" s="76" t="str">
        <f aca="false">IF($I35&gt;0%,IF(AND(GL$16&gt;=$F35,GL$16&lt;$F35+($G35*$I35)),"➤",""),"")</f>
        <v/>
      </c>
      <c r="GM35" s="76" t="str">
        <f aca="false">IF($I35&gt;0%,IF(AND(GM$16&gt;=$F35,GM$16&lt;$F35+($G35*$I35)),"➤",""),"")</f>
        <v/>
      </c>
      <c r="GN35" s="76" t="str">
        <f aca="false">IF($I35&gt;0%,IF(AND(GN$16&gt;=$F35,GN$16&lt;$F35+($G35*$I35)),"➤",""),"")</f>
        <v/>
      </c>
      <c r="GO35" s="76" t="str">
        <f aca="false">IF($I35&gt;0%,IF(AND(GO$16&gt;=$F35,GO$16&lt;$F35+($G35*$I35)),"➤",""),"")</f>
        <v/>
      </c>
      <c r="GP35" s="76" t="str">
        <f aca="false">IF($I35&gt;0%,IF(AND(GP$16&gt;=$F35,GP$16&lt;$F35+($G35*$I35)),"➤",""),"")</f>
        <v/>
      </c>
      <c r="GQ35" s="76" t="str">
        <f aca="false">IF($I35&gt;0%,IF(AND(GQ$16&gt;=$F35,GQ$16&lt;$F35+($G35*$I35)),"➤",""),"")</f>
        <v/>
      </c>
      <c r="GR35" s="76" t="str">
        <f aca="false">IF($I35&gt;0%,IF(AND(GR$16&gt;=$F35,GR$16&lt;$F35+($G35*$I35)),"➤",""),"")</f>
        <v/>
      </c>
      <c r="GS35" s="76" t="str">
        <f aca="false">IF($I35&gt;0%,IF(AND(GS$16&gt;=$F35,GS$16&lt;$F35+($G35*$I35)),"➤",""),"")</f>
        <v/>
      </c>
      <c r="GT35" s="76" t="str">
        <f aca="false">IF($I35&gt;0%,IF(AND(GT$16&gt;=$F35,GT$16&lt;$F35+($G35*$I35)),"➤",""),"")</f>
        <v/>
      </c>
      <c r="GU35" s="76" t="str">
        <f aca="false">IF($I35&gt;0%,IF(AND(GU$16&gt;=$F35,GU$16&lt;$F35+($G35*$I35)),"➤",""),"")</f>
        <v/>
      </c>
      <c r="GV35" s="76" t="str">
        <f aca="false">IF($I35&gt;0%,IF(AND(GV$16&gt;=$F35,GV$16&lt;$F35+($G35*$I35)),"➤",""),"")</f>
        <v/>
      </c>
      <c r="GW35" s="76" t="str">
        <f aca="false">IF($I35&gt;0%,IF(AND(GW$16&gt;=$F35,GW$16&lt;$F35+($G35*$I35)),"➤",""),"")</f>
        <v/>
      </c>
      <c r="GX35" s="76" t="str">
        <f aca="false">IF($I35&gt;0%,IF(AND(GX$16&gt;=$F35,GX$16&lt;$F35+($G35*$I35)),"➤",""),"")</f>
        <v/>
      </c>
      <c r="GY35" s="76" t="str">
        <f aca="false">IF($I35&gt;0%,IF(AND(GY$16&gt;=$F35,GY$16&lt;$F35+($G35*$I35)),"➤",""),"")</f>
        <v/>
      </c>
      <c r="GZ35" s="76" t="str">
        <f aca="false">IF($I35&gt;0%,IF(AND(GZ$16&gt;=$F35,GZ$16&lt;$F35+($G35*$I35)),"➤",""),"")</f>
        <v/>
      </c>
      <c r="HA35" s="76" t="str">
        <f aca="false">IF($I35&gt;0%,IF(AND(HA$16&gt;=$F35,HA$16&lt;$F35+($G35*$I35)),"➤",""),"")</f>
        <v/>
      </c>
      <c r="HB35" s="76" t="str">
        <f aca="false">IF($I35&gt;0%,IF(AND(HB$16&gt;=$F35,HB$16&lt;$F35+($G35*$I35)),"➤",""),"")</f>
        <v/>
      </c>
      <c r="HC35" s="76" t="str">
        <f aca="false">IF($I35&gt;0%,IF(AND(HC$16&gt;=$F35,HC$16&lt;$F35+($G35*$I35)),"➤",""),"")</f>
        <v/>
      </c>
      <c r="HD35" s="76" t="str">
        <f aca="false">IF($I35&gt;0%,IF(AND(HD$16&gt;=$F35,HD$16&lt;$F35+($G35*$I35)),"➤",""),"")</f>
        <v/>
      </c>
      <c r="HE35" s="76" t="str">
        <f aca="false">IF($I35&gt;0%,IF(AND(HE$16&gt;=$F35,HE$16&lt;$F35+($G35*$I35)),"➤",""),"")</f>
        <v/>
      </c>
      <c r="HF35" s="76" t="str">
        <f aca="false">IF($I35&gt;0%,IF(AND(HF$16&gt;=$F35,HF$16&lt;$F35+($G35*$I35)),"➤",""),"")</f>
        <v/>
      </c>
      <c r="HG35" s="76" t="str">
        <f aca="false">IF($I35&gt;0%,IF(AND(HG$16&gt;=$F35,HG$16&lt;$F35+($G35*$I35)),"➤",""),"")</f>
        <v/>
      </c>
      <c r="HH35" s="76" t="str">
        <f aca="false">IF($I35&gt;0%,IF(AND(HH$16&gt;=$F35,HH$16&lt;$F35+($G35*$I35)),"➤",""),"")</f>
        <v/>
      </c>
      <c r="HI35" s="76" t="str">
        <f aca="false">IF($I35&gt;0%,IF(AND(HI$16&gt;=$F35,HI$16&lt;$F35+($G35*$I35)),"➤",""),"")</f>
        <v/>
      </c>
      <c r="HJ35" s="76" t="str">
        <f aca="false">IF($I35&gt;0%,IF(AND(HJ$16&gt;=$F35,HJ$16&lt;$F35+($G35*$I35)),"➤",""),"")</f>
        <v/>
      </c>
      <c r="HK35" s="76" t="str">
        <f aca="false">IF($I35&gt;0%,IF(AND(HK$16&gt;=$F35,HK$16&lt;$F35+($G35*$I35)),"➤",""),"")</f>
        <v/>
      </c>
      <c r="HL35" s="76" t="str">
        <f aca="false">IF($I35&gt;0%,IF(AND(HL$16&gt;=$F35,HL$16&lt;$F35+($G35*$I35)),"➤",""),"")</f>
        <v/>
      </c>
      <c r="HM35" s="76" t="str">
        <f aca="false">IF($I35&gt;0%,IF(AND(HM$16&gt;=$F35,HM$16&lt;$F35+($G35*$I35)),"➤",""),"")</f>
        <v/>
      </c>
      <c r="HN35" s="76" t="str">
        <f aca="false">IF($I35&gt;0%,IF(AND(HN$16&gt;=$F35,HN$16&lt;$F35+($G35*$I35)),"➤",""),"")</f>
        <v/>
      </c>
      <c r="HO35" s="76" t="str">
        <f aca="false">IF($I35&gt;0%,IF(AND(HO$16&gt;=$F35,HO$16&lt;$F35+($G35*$I35)),"➤",""),"")</f>
        <v/>
      </c>
      <c r="HP35" s="76" t="str">
        <f aca="false">IF($I35&gt;0%,IF(AND(HP$16&gt;=$F35,HP$16&lt;$F35+($G35*$I35)),"➤",""),"")</f>
        <v/>
      </c>
      <c r="HQ35" s="76" t="str">
        <f aca="false">IF($I35&gt;0%,IF(AND(HQ$16&gt;=$F35,HQ$16&lt;$F35+($G35*$I35)),"➤",""),"")</f>
        <v/>
      </c>
      <c r="HR35" s="76" t="str">
        <f aca="false">IF($I35&gt;0%,IF(AND(HR$16&gt;=$F35,HR$16&lt;$F35+($G35*$I35)),"➤",""),"")</f>
        <v/>
      </c>
      <c r="HS35" s="76" t="str">
        <f aca="false">IF($I35&gt;0%,IF(AND(HS$16&gt;=$F35,HS$16&lt;$F35+($G35*$I35)),"➤",""),"")</f>
        <v/>
      </c>
      <c r="HT35" s="76" t="str">
        <f aca="false">IF($I35&gt;0%,IF(AND(HT$16&gt;=$F35,HT$16&lt;$F35+($G35*$I35)),"➤",""),"")</f>
        <v/>
      </c>
      <c r="HU35" s="76" t="str">
        <f aca="false">IF($I35&gt;0%,IF(AND(HU$16&gt;=$F35,HU$16&lt;$F35+($G35*$I35)),"➤",""),"")</f>
        <v/>
      </c>
      <c r="HV35" s="76" t="str">
        <f aca="false">IF($I35&gt;0%,IF(AND(HV$16&gt;=$F35,HV$16&lt;$F35+($G35*$I35)),"➤",""),"")</f>
        <v/>
      </c>
      <c r="HW35" s="76" t="str">
        <f aca="false">IF($I35&gt;0%,IF(AND(HW$16&gt;=$F35,HW$16&lt;$F35+($G35*$I35)),"➤",""),"")</f>
        <v/>
      </c>
      <c r="HX35" s="76" t="str">
        <f aca="false">IF($I35&gt;0%,IF(AND(HX$16&gt;=$F35,HX$16&lt;$F35+($G35*$I35)),"➤",""),"")</f>
        <v/>
      </c>
      <c r="HY35" s="76" t="str">
        <f aca="false">IF($I35&gt;0%,IF(AND(HY$16&gt;=$F35,HY$16&lt;$F35+($G35*$I35)),"➤",""),"")</f>
        <v/>
      </c>
      <c r="HZ35" s="76" t="str">
        <f aca="false">IF($I35&gt;0%,IF(AND(HZ$16&gt;=$F35,HZ$16&lt;$F35+($G35*$I35)),"➤",""),"")</f>
        <v/>
      </c>
      <c r="IA35" s="76" t="str">
        <f aca="false">IF($I35&gt;0%,IF(AND(IA$16&gt;=$F35,IA$16&lt;$F35+($G35*$I35)),"➤",""),"")</f>
        <v/>
      </c>
      <c r="IB35" s="76" t="str">
        <f aca="false">IF($I35&gt;0%,IF(AND(IB$16&gt;=$F35,IB$16&lt;$F35+($G35*$I35)),"➤",""),"")</f>
        <v/>
      </c>
      <c r="IC35" s="76" t="str">
        <f aca="false">IF($I35&gt;0%,IF(AND(IC$16&gt;=$F35,IC$16&lt;$F35+($G35*$I35)),"➤",""),"")</f>
        <v/>
      </c>
      <c r="ID35" s="76" t="str">
        <f aca="false">IF($I35&gt;0%,IF(AND(ID$16&gt;=$F35,ID$16&lt;$F35+($G35*$I35)),"➤",""),"")</f>
        <v/>
      </c>
      <c r="IE35" s="76" t="str">
        <f aca="false">IF($I35&gt;0%,IF(AND(IE$16&gt;=$F35,IE$16&lt;$F35+($G35*$I35)),"➤",""),"")</f>
        <v/>
      </c>
      <c r="IF35" s="76" t="str">
        <f aca="false">IF($I35&gt;0%,IF(AND(IF$16&gt;=$F35,IF$16&lt;$F35+($G35*$I35)),"➤",""),"")</f>
        <v/>
      </c>
      <c r="IG35" s="76" t="str">
        <f aca="false">IF($I35&gt;0%,IF(AND(IG$16&gt;=$F35,IG$16&lt;$F35+($G35*$I35)),"➤",""),"")</f>
        <v/>
      </c>
      <c r="IH35" s="76" t="str">
        <f aca="false">IF($I35&gt;0%,IF(AND(IH$16&gt;=$F35,IH$16&lt;$F35+($G35*$I35)),"➤",""),"")</f>
        <v/>
      </c>
      <c r="II35" s="76" t="str">
        <f aca="false">IF($I35&gt;0%,IF(AND(II$16&gt;=$F35,II$16&lt;$F35+($G35*$I35)),"➤",""),"")</f>
        <v/>
      </c>
      <c r="IJ35" s="76" t="str">
        <f aca="false">IF($I35&gt;0%,IF(AND(IJ$16&gt;=$F35,IJ$16&lt;$F35+($G35*$I35)),"➤",""),"")</f>
        <v/>
      </c>
      <c r="IK35" s="76" t="str">
        <f aca="false">IF($I35&gt;0%,IF(AND(IK$16&gt;=$F35,IK$16&lt;$F35+($G35*$I35)),"➤",""),"")</f>
        <v/>
      </c>
      <c r="IL35" s="76" t="str">
        <f aca="false">IF($I35&gt;0%,IF(AND(IL$16&gt;=$F35,IL$16&lt;$F35+($G35*$I35)),"➤",""),"")</f>
        <v/>
      </c>
      <c r="IM35" s="76" t="str">
        <f aca="false">IF($I35&gt;0%,IF(AND(IM$16&gt;=$F35,IM$16&lt;$F35+($G35*$I35)),"➤",""),"")</f>
        <v/>
      </c>
      <c r="IN35" s="76" t="str">
        <f aca="false">IF($I35&gt;0%,IF(AND(IN$16&gt;=$F35,IN$16&lt;$F35+($G35*$I35)),"➤",""),"")</f>
        <v/>
      </c>
      <c r="IO35" s="76" t="str">
        <f aca="false">IF($I35&gt;0%,IF(AND(IO$16&gt;=$F35,IO$16&lt;$F35+($G35*$I35)),"➤",""),"")</f>
        <v/>
      </c>
      <c r="IP35" s="76" t="str">
        <f aca="false">IF($I35&gt;0%,IF(AND(IP$16&gt;=$F35,IP$16&lt;$F35+($G35*$I35)),"➤",""),"")</f>
        <v/>
      </c>
      <c r="IQ35" s="76" t="str">
        <f aca="false">IF($I35&gt;0%,IF(AND(IQ$16&gt;=$F35,IQ$16&lt;$F35+($G35*$I35)),"➤",""),"")</f>
        <v/>
      </c>
      <c r="IR35" s="76" t="str">
        <f aca="false">IF($I35&gt;0%,IF(AND(IR$16&gt;=$F35,IR$16&lt;$F35+($G35*$I35)),"➤",""),"")</f>
        <v/>
      </c>
      <c r="IS35" s="76" t="str">
        <f aca="false">IF($I35&gt;0%,IF(AND(IS$16&gt;=$F35,IS$16&lt;$F35+($G35*$I35)),"➤",""),"")</f>
        <v/>
      </c>
      <c r="IT35" s="76" t="str">
        <f aca="false">IF($I35&gt;0%,IF(AND(IT$16&gt;=$F35,IT$16&lt;$F35+($G35*$I35)),"➤",""),"")</f>
        <v/>
      </c>
      <c r="IU35" s="76" t="str">
        <f aca="false">IF($I35&gt;0%,IF(AND(IU$16&gt;=$F35,IU$16&lt;$F35+($G35*$I35)),"➤",""),"")</f>
        <v/>
      </c>
      <c r="IV35" s="76" t="str">
        <f aca="false">IF($I35&gt;0%,IF(AND(IV$16&gt;=$F35,IV$16&lt;$F35+($G35*$I35)),"➤",""),"")</f>
        <v/>
      </c>
      <c r="IW35" s="76" t="str">
        <f aca="false">IF($I35&gt;0%,IF(AND(IW$16&gt;=$F35,IW$16&lt;$F35+($G35*$I35)),"➤",""),"")</f>
        <v/>
      </c>
      <c r="IX35" s="76" t="str">
        <f aca="false">IF($I35&gt;0%,IF(AND(IX$16&gt;=$F35,IX$16&lt;$F35+($G35*$I35)),"➤",""),"")</f>
        <v/>
      </c>
      <c r="IY35" s="76" t="str">
        <f aca="false">IF($I35&gt;0%,IF(AND(IY$16&gt;=$F35,IY$16&lt;$F35+($G35*$I35)),"➤",""),"")</f>
        <v/>
      </c>
      <c r="IZ35" s="76" t="str">
        <f aca="false">IF($I35&gt;0%,IF(AND(IZ$16&gt;=$F35,IZ$16&lt;$F35+($G35*$I35)),"➤",""),"")</f>
        <v/>
      </c>
      <c r="JA35" s="76" t="str">
        <f aca="false">IF($I35&gt;0%,IF(AND(JA$16&gt;=$F35,JA$16&lt;$F35+($G35*$I35)),"➤",""),"")</f>
        <v/>
      </c>
      <c r="JB35" s="76" t="str">
        <f aca="false">IF($I35&gt;0%,IF(AND(JB$16&gt;=$F35,JB$16&lt;$F35+($G35*$I35)),"➤",""),"")</f>
        <v/>
      </c>
      <c r="JC35" s="76" t="str">
        <f aca="false">IF($I35&gt;0%,IF(AND(JC$16&gt;=$F35,JC$16&lt;$F35+($G35*$I35)),"➤",""),"")</f>
        <v/>
      </c>
      <c r="JD35" s="76" t="str">
        <f aca="false">IF($I35&gt;0%,IF(AND(JD$16&gt;=$F35,JD$16&lt;$F35+($G35*$I35)),"➤",""),"")</f>
        <v/>
      </c>
      <c r="JE35" s="76" t="str">
        <f aca="false">IF($I35&gt;0%,IF(AND(JE$16&gt;=$F35,JE$16&lt;$F35+($G35*$I35)),"➤",""),"")</f>
        <v/>
      </c>
      <c r="JF35" s="76" t="str">
        <f aca="false">IF($I35&gt;0%,IF(AND(JF$16&gt;=$F35,JF$16&lt;$F35+($G35*$I35)),"➤",""),"")</f>
        <v/>
      </c>
      <c r="JG35" s="76" t="str">
        <f aca="false">IF($I35&gt;0%,IF(AND(JG$16&gt;=$F35,JG$16&lt;$F35+($G35*$I35)),"➤",""),"")</f>
        <v/>
      </c>
      <c r="JH35" s="76" t="str">
        <f aca="false">IF($I35&gt;0%,IF(AND(JH$16&gt;=$F35,JH$16&lt;$F35+($G35*$I35)),"➤",""),"")</f>
        <v/>
      </c>
      <c r="JI35" s="76" t="str">
        <f aca="false">IF($I35&gt;0%,IF(AND(JI$16&gt;=$F35,JI$16&lt;$F35+($G35*$I35)),"➤",""),"")</f>
        <v/>
      </c>
      <c r="JJ35" s="76" t="str">
        <f aca="false">IF($I35&gt;0%,IF(AND(JJ$16&gt;=$F35,JJ$16&lt;$F35+($G35*$I35)),"➤",""),"")</f>
        <v/>
      </c>
      <c r="JK35" s="76" t="str">
        <f aca="false">IF($I35&gt;0%,IF(AND(JK$16&gt;=$F35,JK$16&lt;$F35+($G35*$I35)),"➤",""),"")</f>
        <v/>
      </c>
      <c r="JL35" s="76" t="str">
        <f aca="false">IF($I35&gt;0%,IF(AND(JL$16&gt;=$F35,JL$16&lt;$F35+($G35*$I35)),"➤",""),"")</f>
        <v/>
      </c>
      <c r="JM35" s="76" t="str">
        <f aca="false">IF($I35&gt;0%,IF(AND(JM$16&gt;=$F35,JM$16&lt;$F35+($G35*$I35)),"➤",""),"")</f>
        <v/>
      </c>
      <c r="JN35" s="76" t="str">
        <f aca="false">IF($I35&gt;0%,IF(AND(JN$16&gt;=$F35,JN$16&lt;$F35+($G35*$I35)),"➤",""),"")</f>
        <v/>
      </c>
      <c r="JO35" s="76" t="str">
        <f aca="false">IF($I35&gt;0%,IF(AND(JO$16&gt;=$F35,JO$16&lt;$F35+($G35*$I35)),"➤",""),"")</f>
        <v/>
      </c>
      <c r="JP35" s="76" t="str">
        <f aca="false">IF($I35&gt;0%,IF(AND(JP$16&gt;=$F35,JP$16&lt;$F35+($G35*$I35)),"➤",""),"")</f>
        <v/>
      </c>
      <c r="JQ35" s="76" t="str">
        <f aca="false">IF($I35&gt;0%,IF(AND(JQ$16&gt;=$F35,JQ$16&lt;$F35+($G35*$I35)),"➤",""),"")</f>
        <v/>
      </c>
      <c r="JR35" s="76" t="str">
        <f aca="false">IF($I35&gt;0%,IF(AND(JR$16&gt;=$F35,JR$16&lt;$F35+($G35*$I35)),"➤",""),"")</f>
        <v/>
      </c>
      <c r="JS35" s="76" t="str">
        <f aca="false">IF($I35&gt;0%,IF(AND(JS$16&gt;=$F35,JS$16&lt;$F35+($G35*$I35)),"➤",""),"")</f>
        <v/>
      </c>
      <c r="JT35" s="76" t="str">
        <f aca="false">IF($I35&gt;0%,IF(AND(JT$16&gt;=$F35,JT$16&lt;$F35+($G35*$I35)),"➤",""),"")</f>
        <v/>
      </c>
      <c r="JU35" s="76" t="str">
        <f aca="false">IF($I35&gt;0%,IF(AND(JU$16&gt;=$F35,JU$16&lt;$F35+($G35*$I35)),"➤",""),"")</f>
        <v/>
      </c>
      <c r="JV35" s="76" t="str">
        <f aca="false">IF($I35&gt;0%,IF(AND(JV$16&gt;=$F35,JV$16&lt;$F35+($G35*$I35)),"➤",""),"")</f>
        <v/>
      </c>
      <c r="JW35" s="76" t="str">
        <f aca="false">IF($I35&gt;0%,IF(AND(JW$16&gt;=$F35,JW$16&lt;$F35+($G35*$I35)),"➤",""),"")</f>
        <v/>
      </c>
      <c r="JX35" s="76" t="str">
        <f aca="false">IF($I35&gt;0%,IF(AND(JX$16&gt;=$F35,JX$16&lt;$F35+($G35*$I35)),"➤",""),"")</f>
        <v/>
      </c>
      <c r="JY35" s="76" t="str">
        <f aca="false">IF($I35&gt;0%,IF(AND(JY$16&gt;=$F35,JY$16&lt;$F35+($G35*$I35)),"➤",""),"")</f>
        <v/>
      </c>
      <c r="JZ35" s="76" t="str">
        <f aca="false">IF($I35&gt;0%,IF(AND(JZ$16&gt;=$F35,JZ$16&lt;$F35+($G35*$I35)),"➤",""),"")</f>
        <v/>
      </c>
      <c r="KA35" s="76" t="str">
        <f aca="false">IF($I35&gt;0%,IF(AND(KA$16&gt;=$F35,KA$16&lt;$F35+($G35*$I35)),"➤",""),"")</f>
        <v/>
      </c>
      <c r="KB35" s="76" t="str">
        <f aca="false">IF($I35&gt;0%,IF(AND(KB$16&gt;=$F35,KB$16&lt;$F35+($G35*$I35)),"➤",""),"")</f>
        <v/>
      </c>
      <c r="KC35" s="76" t="str">
        <f aca="false">IF($I35&gt;0%,IF(AND(KC$16&gt;=$F35,KC$16&lt;$F35+($G35*$I35)),"➤",""),"")</f>
        <v/>
      </c>
      <c r="KD35" s="76" t="str">
        <f aca="false">IF($I35&gt;0%,IF(AND(KD$16&gt;=$F35,KD$16&lt;$F35+($G35*$I35)),"➤",""),"")</f>
        <v/>
      </c>
      <c r="KE35" s="76" t="str">
        <f aca="false">IF($I35&gt;0%,IF(AND(KE$16&gt;=$F35,KE$16&lt;$F35+($G35*$I35)),"➤",""),"")</f>
        <v/>
      </c>
      <c r="KF35" s="76" t="str">
        <f aca="false">IF($I35&gt;0%,IF(AND(KF$16&gt;=$F35,KF$16&lt;$F35+($G35*$I35)),"➤",""),"")</f>
        <v/>
      </c>
      <c r="KG35" s="76" t="str">
        <f aca="false">IF($I35&gt;0%,IF(AND(KG$16&gt;=$F35,KG$16&lt;$F35+($G35*$I35)),"➤",""),"")</f>
        <v/>
      </c>
      <c r="KH35" s="76" t="str">
        <f aca="false">IF($I35&gt;0%,IF(AND(KH$16&gt;=$F35,KH$16&lt;$F35+($G35*$I35)),"➤",""),"")</f>
        <v/>
      </c>
      <c r="KI35" s="76" t="str">
        <f aca="false">IF($I35&gt;0%,IF(AND(KI$16&gt;=$F35,KI$16&lt;$F35+($G35*$I35)),"➤",""),"")</f>
        <v/>
      </c>
      <c r="KJ35" s="76" t="str">
        <f aca="false">IF($I35&gt;0%,IF(AND(KJ$16&gt;=$F35,KJ$16&lt;$F35+($G35*$I35)),"➤",""),"")</f>
        <v/>
      </c>
      <c r="KK35" s="76" t="str">
        <f aca="false">IF($I35&gt;0%,IF(AND(KK$16&gt;=$F35,KK$16&lt;$F35+($G35*$I35)),"➤",""),"")</f>
        <v/>
      </c>
      <c r="KL35" s="76" t="str">
        <f aca="false">IF($I35&gt;0%,IF(AND(KL$16&gt;=$F35,KL$16&lt;$F35+($G35*$I35)),"➤",""),"")</f>
        <v/>
      </c>
      <c r="KM35" s="76" t="str">
        <f aca="false">IF($I35&gt;0%,IF(AND(KM$16&gt;=$F35,KM$16&lt;$F35+($G35*$I35)),"➤",""),"")</f>
        <v/>
      </c>
      <c r="KN35" s="76" t="str">
        <f aca="false">IF($I35&gt;0%,IF(AND(KN$16&gt;=$F35,KN$16&lt;$F35+($G35*$I35)),"➤",""),"")</f>
        <v/>
      </c>
      <c r="KO35" s="76" t="str">
        <f aca="false">IF($I35&gt;0%,IF(AND(KO$16&gt;=$F35,KO$16&lt;$F35+($G35*$I35)),"➤",""),"")</f>
        <v/>
      </c>
      <c r="KP35" s="76" t="str">
        <f aca="false">IF($I35&gt;0%,IF(AND(KP$16&gt;=$F35,KP$16&lt;$F35+($G35*$I35)),"➤",""),"")</f>
        <v/>
      </c>
      <c r="KQ35" s="76" t="str">
        <f aca="false">IF($I35&gt;0%,IF(AND(KQ$16&gt;=$F35,KQ$16&lt;$F35+($G35*$I35)),"➤",""),"")</f>
        <v/>
      </c>
      <c r="KR35" s="76" t="str">
        <f aca="false">IF($I35&gt;0%,IF(AND(KR$16&gt;=$F35,KR$16&lt;$F35+($G35*$I35)),"➤",""),"")</f>
        <v/>
      </c>
      <c r="KS35" s="76" t="str">
        <f aca="false">IF($I35&gt;0%,IF(AND(KS$16&gt;=$F35,KS$16&lt;$F35+($G35*$I35)),"➤",""),"")</f>
        <v/>
      </c>
      <c r="KT35" s="76" t="str">
        <f aca="false">IF($I35&gt;0%,IF(AND(KT$16&gt;=$F35,KT$16&lt;$F35+($G35*$I35)),"➤",""),"")</f>
        <v/>
      </c>
      <c r="KU35" s="76" t="str">
        <f aca="false">IF($I35&gt;0%,IF(AND(KU$16&gt;=$F35,KU$16&lt;$F35+($G35*$I35)),"➤",""),"")</f>
        <v/>
      </c>
      <c r="KV35" s="76" t="str">
        <f aca="false">IF($I35&gt;0%,IF(AND(KV$16&gt;=$F35,KV$16&lt;$F35+($G35*$I35)),"➤",""),"")</f>
        <v/>
      </c>
      <c r="KW35" s="76" t="str">
        <f aca="false">IF($I35&gt;0%,IF(AND(KW$16&gt;=$F35,KW$16&lt;$F35+($G35*$I35)),"➤",""),"")</f>
        <v/>
      </c>
      <c r="KX35" s="76" t="str">
        <f aca="false">IF($I35&gt;0%,IF(AND(KX$16&gt;=$F35,KX$16&lt;$F35+($G35*$I35)),"➤",""),"")</f>
        <v/>
      </c>
      <c r="KY35" s="76" t="str">
        <f aca="false">IF($I35&gt;0%,IF(AND(KY$16&gt;=$F35,KY$16&lt;$F35+($G35*$I35)),"➤",""),"")</f>
        <v/>
      </c>
      <c r="KZ35" s="76" t="str">
        <f aca="false">IF($I35&gt;0%,IF(AND(KZ$16&gt;=$F35,KZ$16&lt;$F35+($G35*$I35)),"➤",""),"")</f>
        <v/>
      </c>
      <c r="LA35" s="76" t="str">
        <f aca="false">IF($I35&gt;0%,IF(AND(LA$16&gt;=$F35,LA$16&lt;$F35+($G35*$I35)),"➤",""),"")</f>
        <v/>
      </c>
      <c r="LB35" s="76" t="str">
        <f aca="false">IF($I35&gt;0%,IF(AND(LB$16&gt;=$F35,LB$16&lt;$F35+($G35*$I35)),"➤",""),"")</f>
        <v/>
      </c>
      <c r="LC35" s="76" t="str">
        <f aca="false">IF($I35&gt;0%,IF(AND(LC$16&gt;=$F35,LC$16&lt;$F35+($G35*$I35)),"➤",""),"")</f>
        <v/>
      </c>
      <c r="LD35" s="76" t="str">
        <f aca="false">IF($I35&gt;0%,IF(AND(LD$16&gt;=$F35,LD$16&lt;$F35+($G35*$I35)),"➤",""),"")</f>
        <v/>
      </c>
      <c r="LE35" s="76" t="str">
        <f aca="false">IF($I35&gt;0%,IF(AND(LE$16&gt;=$F35,LE$16&lt;$F35+($G35*$I35)),"➤",""),"")</f>
        <v/>
      </c>
      <c r="LF35" s="76" t="str">
        <f aca="false">IF($I35&gt;0%,IF(AND(LF$16&gt;=$F35,LF$16&lt;$F35+($G35*$I35)),"➤",""),"")</f>
        <v/>
      </c>
      <c r="LG35" s="76" t="str">
        <f aca="false">IF($I35&gt;0%,IF(AND(LG$16&gt;=$F35,LG$16&lt;$F35+($G35*$I35)),"➤",""),"")</f>
        <v/>
      </c>
      <c r="LH35" s="76" t="str">
        <f aca="false">IF($I35&gt;0%,IF(AND(LH$16&gt;=$F35,LH$16&lt;$F35+($G35*$I35)),"➤",""),"")</f>
        <v/>
      </c>
      <c r="LI35" s="76" t="str">
        <f aca="false">IF($I35&gt;0%,IF(AND(LI$16&gt;=$F35,LI$16&lt;$F35+($G35*$I35)),"➤",""),"")</f>
        <v/>
      </c>
      <c r="LJ35" s="76" t="str">
        <f aca="false">IF($I35&gt;0%,IF(AND(LJ$16&gt;=$F35,LJ$16&lt;$F35+($G35*$I35)),"➤",""),"")</f>
        <v/>
      </c>
      <c r="LK35" s="76" t="str">
        <f aca="false">IF($I35&gt;0%,IF(AND(LK$16&gt;=$F35,LK$16&lt;$F35+($G35*$I35)),"➤",""),"")</f>
        <v/>
      </c>
      <c r="LL35" s="76" t="str">
        <f aca="false">IF($I35&gt;0%,IF(AND(LL$16&gt;=$F35,LL$16&lt;$F35+($G35*$I35)),"➤",""),"")</f>
        <v/>
      </c>
      <c r="LM35" s="76" t="str">
        <f aca="false">IF($I35&gt;0%,IF(AND(LM$16&gt;=$F35,LM$16&lt;$F35+($G35*$I35)),"➤",""),"")</f>
        <v/>
      </c>
      <c r="LN35" s="76" t="str">
        <f aca="false">IF($I35&gt;0%,IF(AND(LN$16&gt;=$F35,LN$16&lt;$F35+($G35*$I35)),"➤",""),"")</f>
        <v/>
      </c>
      <c r="LO35" s="76" t="str">
        <f aca="false">IF($I35&gt;0%,IF(AND(LO$16&gt;=$F35,LO$16&lt;$F35+($G35*$I35)),"➤",""),"")</f>
        <v/>
      </c>
      <c r="LP35" s="76" t="str">
        <f aca="false">IF($I35&gt;0%,IF(AND(LP$16&gt;=$F35,LP$16&lt;$F35+($G35*$I35)),"➤",""),"")</f>
        <v/>
      </c>
      <c r="LQ35" s="76" t="str">
        <f aca="false">IF($I35&gt;0%,IF(AND(LQ$16&gt;=$F35,LQ$16&lt;$F35+($G35*$I35)),"➤",""),"")</f>
        <v/>
      </c>
      <c r="LR35" s="76" t="str">
        <f aca="false">IF($I35&gt;0%,IF(AND(LR$16&gt;=$F35,LR$16&lt;$F35+($G35*$I35)),"➤",""),"")</f>
        <v/>
      </c>
      <c r="LS35" s="76" t="str">
        <f aca="false">IF($I35&gt;0%,IF(AND(LS$16&gt;=$F35,LS$16&lt;$F35+($G35*$I35)),"➤",""),"")</f>
        <v/>
      </c>
      <c r="LT35" s="76" t="str">
        <f aca="false">IF($I35&gt;0%,IF(AND(LT$16&gt;=$F35,LT$16&lt;$F35+($G35*$I35)),"➤",""),"")</f>
        <v/>
      </c>
      <c r="LU35" s="76" t="str">
        <f aca="false">IF($I35&gt;0%,IF(AND(LU$16&gt;=$F35,LU$16&lt;$F35+($G35*$I35)),"➤",""),"")</f>
        <v/>
      </c>
      <c r="LV35" s="76" t="str">
        <f aca="false">IF($I35&gt;0%,IF(AND(LV$16&gt;=$F35,LV$16&lt;$F35+($G35*$I35)),"➤",""),"")</f>
        <v/>
      </c>
      <c r="LW35" s="76" t="str">
        <f aca="false">IF($I35&gt;0%,IF(AND(LW$16&gt;=$F35,LW$16&lt;$F35+($G35*$I35)),"➤",""),"")</f>
        <v/>
      </c>
      <c r="LX35" s="76" t="str">
        <f aca="false">IF($I35&gt;0%,IF(AND(LX$16&gt;=$F35,LX$16&lt;$F35+($G35*$I35)),"➤",""),"")</f>
        <v/>
      </c>
      <c r="LY35" s="76" t="str">
        <f aca="false">IF($I35&gt;0%,IF(AND(LY$16&gt;=$F35,LY$16&lt;$F35+($G35*$I35)),"➤",""),"")</f>
        <v/>
      </c>
      <c r="LZ35" s="76" t="str">
        <f aca="false">IF($I35&gt;0%,IF(AND(LZ$16&gt;=$F35,LZ$16&lt;$F35+($G35*$I35)),"➤",""),"")</f>
        <v/>
      </c>
      <c r="MA35" s="76" t="str">
        <f aca="false">IF($I35&gt;0%,IF(AND(MA$16&gt;=$F35,MA$16&lt;$F35+($G35*$I35)),"➤",""),"")</f>
        <v/>
      </c>
      <c r="MB35" s="76" t="str">
        <f aca="false">IF($I35&gt;0%,IF(AND(MB$16&gt;=$F35,MB$16&lt;$F35+($G35*$I35)),"➤",""),"")</f>
        <v/>
      </c>
      <c r="MC35" s="76" t="str">
        <f aca="false">IF($I35&gt;0%,IF(AND(MC$16&gt;=$F35,MC$16&lt;$F35+($G35*$I35)),"➤",""),"")</f>
        <v/>
      </c>
      <c r="MD35" s="76" t="str">
        <f aca="false">IF($I35&gt;0%,IF(AND(MD$16&gt;=$F35,MD$16&lt;$F35+($G35*$I35)),"➤",""),"")</f>
        <v/>
      </c>
      <c r="ME35" s="76" t="str">
        <f aca="false">IF($I35&gt;0%,IF(AND(ME$16&gt;=$F35,ME$16&lt;$F35+($G35*$I35)),"➤",""),"")</f>
        <v/>
      </c>
      <c r="MF35" s="76" t="str">
        <f aca="false">IF($I35&gt;0%,IF(AND(MF$16&gt;=$F35,MF$16&lt;$F35+($G35*$I35)),"➤",""),"")</f>
        <v/>
      </c>
      <c r="MG35" s="76" t="str">
        <f aca="false">IF($I35&gt;0%,IF(AND(MG$16&gt;=$F35,MG$16&lt;$F35+($G35*$I35)),"➤",""),"")</f>
        <v/>
      </c>
      <c r="MH35" s="76" t="str">
        <f aca="false">IF($I35&gt;0%,IF(AND(MH$16&gt;=$F35,MH$16&lt;$F35+($G35*$I35)),"➤",""),"")</f>
        <v/>
      </c>
      <c r="MI35" s="76" t="str">
        <f aca="false">IF($I35&gt;0%,IF(AND(MI$16&gt;=$F35,MI$16&lt;$F35+($G35*$I35)),"➤",""),"")</f>
        <v/>
      </c>
      <c r="MJ35" s="76" t="str">
        <f aca="false">IF($I35&gt;0%,IF(AND(MJ$16&gt;=$F35,MJ$16&lt;$F35+($G35*$I35)),"➤",""),"")</f>
        <v/>
      </c>
      <c r="MK35" s="76" t="str">
        <f aca="false">IF($I35&gt;0%,IF(AND(MK$16&gt;=$F35,MK$16&lt;$F35+($G35*$I35)),"➤",""),"")</f>
        <v/>
      </c>
      <c r="ML35" s="76" t="str">
        <f aca="false">IF($I35&gt;0%,IF(AND(ML$16&gt;=$F35,ML$16&lt;$F35+($G35*$I35)),"➤",""),"")</f>
        <v/>
      </c>
      <c r="MM35" s="76" t="str">
        <f aca="false">IF($I35&gt;0%,IF(AND(MM$16&gt;=$F35,MM$16&lt;$F35+($G35*$I35)),"➤",""),"")</f>
        <v/>
      </c>
      <c r="MN35" s="76" t="str">
        <f aca="false">IF($I35&gt;0%,IF(AND(MN$16&gt;=$F35,MN$16&lt;$F35+($G35*$I35)),"➤",""),"")</f>
        <v/>
      </c>
      <c r="MO35" s="76" t="str">
        <f aca="false">IF($I35&gt;0%,IF(AND(MO$16&gt;=$F35,MO$16&lt;$F35+($G35*$I35)),"➤",""),"")</f>
        <v/>
      </c>
      <c r="MP35" s="76" t="str">
        <f aca="false">IF($I35&gt;0%,IF(AND(MP$16&gt;=$F35,MP$16&lt;$F35+($G35*$I35)),"➤",""),"")</f>
        <v/>
      </c>
      <c r="MQ35" s="76" t="str">
        <f aca="false">IF($I35&gt;0%,IF(AND(MQ$16&gt;=$F35,MQ$16&lt;$F35+($G35*$I35)),"➤",""),"")</f>
        <v/>
      </c>
      <c r="MR35" s="76" t="str">
        <f aca="false">IF($I35&gt;0%,IF(AND(MR$16&gt;=$F35,MR$16&lt;$F35+($G35*$I35)),"➤",""),"")</f>
        <v/>
      </c>
      <c r="MS35" s="76" t="str">
        <f aca="false">IF($I35&gt;0%,IF(AND(MS$16&gt;=$F35,MS$16&lt;$F35+($G35*$I35)),"➤",""),"")</f>
        <v/>
      </c>
      <c r="MT35" s="76" t="str">
        <f aca="false">IF($I35&gt;0%,IF(AND(MT$16&gt;=$F35,MT$16&lt;$F35+($G35*$I35)),"➤",""),"")</f>
        <v/>
      </c>
      <c r="MU35" s="76" t="str">
        <f aca="false">IF($I35&gt;0%,IF(AND(MU$16&gt;=$F35,MU$16&lt;$F35+($G35*$I35)),"➤",""),"")</f>
        <v/>
      </c>
      <c r="MV35" s="76" t="str">
        <f aca="false">IF($I35&gt;0%,IF(AND(MV$16&gt;=$F35,MV$16&lt;$F35+($G35*$I35)),"➤",""),"")</f>
        <v/>
      </c>
      <c r="MW35" s="76" t="str">
        <f aca="false">IF($I35&gt;0%,IF(AND(MW$16&gt;=$F35,MW$16&lt;$F35+($G35*$I35)),"➤",""),"")</f>
        <v/>
      </c>
      <c r="MX35" s="76" t="str">
        <f aca="false">IF($I35&gt;0%,IF(AND(MX$16&gt;=$F35,MX$16&lt;$F35+($G35*$I35)),"➤",""),"")</f>
        <v/>
      </c>
      <c r="MY35" s="76" t="str">
        <f aca="false">IF($I35&gt;0%,IF(AND(MY$16&gt;=$F35,MY$16&lt;$F35+($G35*$I35)),"➤",""),"")</f>
        <v/>
      </c>
      <c r="MZ35" s="76" t="str">
        <f aca="false">IF($I35&gt;0%,IF(AND(MZ$16&gt;=$F35,MZ$16&lt;$F35+($G35*$I35)),"➤",""),"")</f>
        <v/>
      </c>
      <c r="NA35" s="76" t="str">
        <f aca="false">IF($I35&gt;0%,IF(AND(NA$16&gt;=$F35,NA$16&lt;$F35+($G35*$I35)),"➤",""),"")</f>
        <v/>
      </c>
      <c r="NB35" s="76" t="str">
        <f aca="false">IF($I35&gt;0%,IF(AND(NB$16&gt;=$F35,NB$16&lt;$F35+($G35*$I35)),"➤",""),"")</f>
        <v/>
      </c>
      <c r="NC35" s="76" t="str">
        <f aca="false">IF($I35&gt;0%,IF(AND(NC$16&gt;=$F35,NC$16&lt;$F35+($G35*$I35)),"➤",""),"")</f>
        <v/>
      </c>
      <c r="ND35" s="76" t="str">
        <f aca="false">IF($I35&gt;0%,IF(AND(ND$16&gt;=$F35,ND$16&lt;$F35+($G35*$I35)),"➤",""),"")</f>
        <v/>
      </c>
      <c r="NE35" s="76" t="str">
        <f aca="false">IF($I35&gt;0%,IF(AND(NE$16&gt;=$F35,NE$16&lt;$F35+($G35*$I35)),"➤",""),"")</f>
        <v/>
      </c>
      <c r="NF35" s="76" t="str">
        <f aca="false">IF($I35&gt;0%,IF(AND(NF$16&gt;=$F35,NF$16&lt;$F35+($G35*$I35)),"➤",""),"")</f>
        <v/>
      </c>
      <c r="NG35" s="76" t="str">
        <f aca="false">IF($I35&gt;0%,IF(AND(NG$16&gt;=$F35,NG$16&lt;$F35+($G35*$I35)),"➤",""),"")</f>
        <v/>
      </c>
      <c r="NH35" s="76" t="str">
        <f aca="false">IF($I35&gt;0%,IF(AND(NH$16&gt;=$F35,NH$16&lt;$F35+($G35*$I35)),"➤",""),"")</f>
        <v/>
      </c>
      <c r="NI35" s="76" t="str">
        <f aca="false">IF($I35&gt;0%,IF(AND(NI$16&gt;=$F35,NI$16&lt;$F35+($G35*$I35)),"➤",""),"")</f>
        <v/>
      </c>
      <c r="NJ35" s="76" t="str">
        <f aca="false">IF($I35&gt;0%,IF(AND(NJ$16&gt;=$F35,NJ$16&lt;$F35+($G35*$I35)),"➤",""),"")</f>
        <v/>
      </c>
      <c r="NK35" s="76" t="str">
        <f aca="false">IF($I35&gt;0%,IF(AND(NK$16&gt;=$F35,NK$16&lt;$F35+($G35*$I35)),"➤",""),"")</f>
        <v/>
      </c>
      <c r="NL35" s="76" t="str">
        <f aca="false">IF($I35&gt;0%,IF(AND(NL$16&gt;=$F35,NL$16&lt;$F35+($G35*$I35)),"➤",""),"")</f>
        <v/>
      </c>
      <c r="NM35" s="76" t="str">
        <f aca="false">IF($I35&gt;0%,IF(AND(NM$16&gt;=$F35,NM$16&lt;$F35+($G35*$I35)),"➤",""),"")</f>
        <v/>
      </c>
      <c r="NN35" s="76" t="str">
        <f aca="false">IF($I35&gt;0%,IF(AND(NN$16&gt;=$F35,NN$16&lt;$F35+($G35*$I35)),"➤",""),"")</f>
        <v/>
      </c>
      <c r="NO35" s="76" t="str">
        <f aca="false">IF($I35&gt;0%,IF(AND(NO$16&gt;=$F35,NO$16&lt;$F35+($G35*$I35)),"➤",""),"")</f>
        <v/>
      </c>
      <c r="NP35" s="76" t="str">
        <f aca="false">IF($I35&gt;0%,IF(AND(NP$16&gt;=$F35,NP$16&lt;$F35+($G35*$I35)),"➤",""),"")</f>
        <v/>
      </c>
      <c r="NQ35" s="76" t="str">
        <f aca="false">IF($I35&gt;0%,IF(AND(NQ$16&gt;=$F35,NQ$16&lt;$F35+($G35*$I35)),"➤",""),"")</f>
        <v/>
      </c>
      <c r="NR35" s="76" t="str">
        <f aca="false">IF($I35&gt;0%,IF(AND(NR$16&gt;=$F35,NR$16&lt;$F35+($G35*$I35)),"➤",""),"")</f>
        <v/>
      </c>
      <c r="NS35" s="76" t="str">
        <f aca="false">IF($I35&gt;0%,IF(AND(NS$16&gt;=$F35,NS$16&lt;$F35+($G35*$I35)),"➤",""),"")</f>
        <v/>
      </c>
      <c r="NT35" s="76" t="str">
        <f aca="false">IF($I35&gt;0%,IF(AND(NT$16&gt;=$F35,NT$16&lt;$F35+($G35*$I35)),"➤",""),"")</f>
        <v/>
      </c>
      <c r="NU35" s="76" t="str">
        <f aca="false">IF($I35&gt;0%,IF(AND(NU$16&gt;=$F35,NU$16&lt;$F35+($G35*$I35)),"➤",""),"")</f>
        <v/>
      </c>
      <c r="NV35" s="76" t="str">
        <f aca="false">IF($I35&gt;0%,IF(AND(NV$16&gt;=$F35,NV$16&lt;$F35+($G35*$I35)),"➤",""),"")</f>
        <v/>
      </c>
      <c r="NW35" s="76" t="str">
        <f aca="false">IF($I35&gt;0%,IF(AND(NW$16&gt;=$F35,NW$16&lt;$F35+($G35*$I35)),"➤",""),"")</f>
        <v/>
      </c>
      <c r="NX35" s="76" t="str">
        <f aca="false">IF($I35&gt;0%,IF(AND(NX$16&gt;=$F35,NX$16&lt;$F35+($G35*$I35)),"➤",""),"")</f>
        <v/>
      </c>
      <c r="NY35" s="76" t="str">
        <f aca="false">IF($I35&gt;0%,IF(AND(NY$16&gt;=$F35,NY$16&lt;$F35+($G35*$I35)),"➤",""),"")</f>
        <v/>
      </c>
      <c r="NZ35" s="76" t="str">
        <f aca="false">IF($I35&gt;0%,IF(AND(NZ$16&gt;=$F35,NZ$16&lt;$F35+($G35*$I35)),"➤",""),"")</f>
        <v/>
      </c>
      <c r="OA35" s="76" t="str">
        <f aca="false">IF($I35&gt;0%,IF(AND(OA$16&gt;=$F35,OA$16&lt;$F35+($G35*$I35)),"➤",""),"")</f>
        <v/>
      </c>
      <c r="OB35" s="76" t="str">
        <f aca="false">IF($I35&gt;0%,IF(AND(OB$16&gt;=$F35,OB$16&lt;$F35+($G35*$I35)),"➤",""),"")</f>
        <v/>
      </c>
      <c r="OC35" s="76" t="str">
        <f aca="false">IF($I35&gt;0%,IF(AND(OC$16&gt;=$F35,OC$16&lt;$F35+($G35*$I35)),"➤",""),"")</f>
        <v/>
      </c>
      <c r="OD35" s="76" t="str">
        <f aca="false">IF($I35&gt;0%,IF(AND(OD$16&gt;=$F35,OD$16&lt;$F35+($G35*$I35)),"➤",""),"")</f>
        <v/>
      </c>
      <c r="OE35" s="76" t="str">
        <f aca="false">IF($I35&gt;0%,IF(AND(OE$16&gt;=$F35,OE$16&lt;$F35+($G35*$I35)),"➤",""),"")</f>
        <v/>
      </c>
      <c r="OF35" s="76" t="str">
        <f aca="false">IF($I35&gt;0%,IF(AND(OF$16&gt;=$F35,OF$16&lt;$F35+($G35*$I35)),"➤",""),"")</f>
        <v/>
      </c>
      <c r="OG35" s="76" t="str">
        <f aca="false">IF($I35&gt;0%,IF(AND(OG$16&gt;=$F35,OG$16&lt;$F35+($G35*$I35)),"➤",""),"")</f>
        <v/>
      </c>
      <c r="OH35" s="76" t="str">
        <f aca="false">IF($I35&gt;0%,IF(AND(OH$16&gt;=$F35,OH$16&lt;$F35+($G35*$I35)),"➤",""),"")</f>
        <v/>
      </c>
      <c r="OI35" s="76" t="str">
        <f aca="false">IF($I35&gt;0%,IF(AND(OI$16&gt;=$F35,OI$16&lt;$F35+($G35*$I35)),"➤",""),"")</f>
        <v/>
      </c>
      <c r="OJ35" s="76" t="str">
        <f aca="false">IF($I35&gt;0%,IF(AND(OJ$16&gt;=$F35,OJ$16&lt;$F35+($G35*$I35)),"➤",""),"")</f>
        <v/>
      </c>
      <c r="OK35" s="76" t="str">
        <f aca="false">IF($I35&gt;0%,IF(AND(OK$16&gt;=$F35,OK$16&lt;$F35+($G35*$I35)),"➤",""),"")</f>
        <v/>
      </c>
      <c r="OL35" s="76" t="str">
        <f aca="false">IF($I35&gt;0%,IF(AND(OL$16&gt;=$F35,OL$16&lt;$F35+($G35*$I35)),"➤",""),"")</f>
        <v/>
      </c>
      <c r="OM35" s="76" t="str">
        <f aca="false">IF($I35&gt;0%,IF(AND(OM$16&gt;=$F35,OM$16&lt;$F35+($G35*$I35)),"➤",""),"")</f>
        <v/>
      </c>
      <c r="ON35" s="76" t="str">
        <f aca="false">IF($I35&gt;0%,IF(AND(ON$16&gt;=$F35,ON$16&lt;$F35+($G35*$I35)),"➤",""),"")</f>
        <v/>
      </c>
      <c r="OO35" s="76" t="str">
        <f aca="false">IF($I35&gt;0%,IF(AND(OO$16&gt;=$F35,OO$16&lt;$F35+($G35*$I35)),"➤",""),"")</f>
        <v/>
      </c>
      <c r="OP35" s="76" t="str">
        <f aca="false">IF($I35&gt;0%,IF(AND(OP$16&gt;=$F35,OP$16&lt;$F35+($G35*$I35)),"➤",""),"")</f>
        <v/>
      </c>
      <c r="OQ35" s="76" t="str">
        <f aca="false">IF($I35&gt;0%,IF(AND(OQ$16&gt;=$F35,OQ$16&lt;$F35+($G35*$I35)),"➤",""),"")</f>
        <v/>
      </c>
      <c r="OR35" s="76" t="str">
        <f aca="false">IF($I35&gt;0%,IF(AND(OR$16&gt;=$F35,OR$16&lt;$F35+($G35*$I35)),"➤",""),"")</f>
        <v/>
      </c>
      <c r="OS35" s="76" t="str">
        <f aca="false">IF($I35&gt;0%,IF(AND(OS$16&gt;=$F35,OS$16&lt;$F35+($G35*$I35)),"➤",""),"")</f>
        <v/>
      </c>
      <c r="OT35" s="76" t="str">
        <f aca="false">IF($I35&gt;0%,IF(AND(OT$16&gt;=$F35,OT$16&lt;$F35+($G35*$I35)),"➤",""),"")</f>
        <v/>
      </c>
      <c r="OU35" s="76" t="str">
        <f aca="false">IF($I35&gt;0%,IF(AND(OU$16&gt;=$F35,OU$16&lt;$F35+($G35*$I35)),"➤",""),"")</f>
        <v/>
      </c>
      <c r="OV35" s="76" t="str">
        <f aca="false">IF($I35&gt;0%,IF(AND(OV$16&gt;=$F35,OV$16&lt;$F35+($G35*$I35)),"➤",""),"")</f>
        <v/>
      </c>
      <c r="OW35" s="76" t="str">
        <f aca="false">IF($I35&gt;0%,IF(AND(OW$16&gt;=$F35,OW$16&lt;$F35+($G35*$I35)),"➤",""),"")</f>
        <v/>
      </c>
      <c r="OX35" s="76" t="str">
        <f aca="false">IF($I35&gt;0%,IF(AND(OX$16&gt;=$F35,OX$16&lt;$F35+($G35*$I35)),"➤",""),"")</f>
        <v/>
      </c>
      <c r="OY35" s="76" t="str">
        <f aca="false">IF($I35&gt;0%,IF(AND(OY$16&gt;=$F35,OY$16&lt;$F35+($G35*$I35)),"➤",""),"")</f>
        <v/>
      </c>
      <c r="OZ35" s="76" t="str">
        <f aca="false">IF($I35&gt;0%,IF(AND(OZ$16&gt;=$F35,OZ$16&lt;$F35+($G35*$I35)),"➤",""),"")</f>
        <v/>
      </c>
      <c r="PA35" s="76" t="str">
        <f aca="false">IF($I35&gt;0%,IF(AND(PA$16&gt;=$F35,PA$16&lt;$F35+($G35*$I35)),"➤",""),"")</f>
        <v/>
      </c>
      <c r="PB35" s="76" t="str">
        <f aca="false">IF($I35&gt;0%,IF(AND(PB$16&gt;=$F35,PB$16&lt;$F35+($G35*$I35)),"➤",""),"")</f>
        <v/>
      </c>
      <c r="PC35" s="76" t="str">
        <f aca="false">IF($I35&gt;0%,IF(AND(PC$16&gt;=$F35,PC$16&lt;$F35+($G35*$I35)),"➤",""),"")</f>
        <v/>
      </c>
      <c r="PD35" s="76" t="str">
        <f aca="false">IF($I35&gt;0%,IF(AND(PD$16&gt;=$F35,PD$16&lt;$F35+($G35*$I35)),"➤",""),"")</f>
        <v/>
      </c>
      <c r="PE35" s="76" t="str">
        <f aca="false">IF($I35&gt;0%,IF(AND(PE$16&gt;=$F35,PE$16&lt;$F35+($G35*$I35)),"➤",""),"")</f>
        <v/>
      </c>
      <c r="PF35" s="76" t="str">
        <f aca="false">IF($I35&gt;0%,IF(AND(PF$16&gt;=$F35,PF$16&lt;$F35+($G35*$I35)),"➤",""),"")</f>
        <v/>
      </c>
      <c r="PG35" s="76" t="str">
        <f aca="false">IF($I35&gt;0%,IF(AND(PG$16&gt;=$F35,PG$16&lt;$F35+($G35*$I35)),"➤",""),"")</f>
        <v/>
      </c>
      <c r="PH35" s="76" t="str">
        <f aca="false">IF($I35&gt;0%,IF(AND(PH$16&gt;=$F35,PH$16&lt;$F35+($G35*$I35)),"➤",""),"")</f>
        <v/>
      </c>
      <c r="PI35" s="76" t="str">
        <f aca="false">IF($I35&gt;0%,IF(AND(PI$16&gt;=$F35,PI$16&lt;$F35+($G35*$I35)),"➤",""),"")</f>
        <v/>
      </c>
      <c r="PJ35" s="76" t="str">
        <f aca="false">IF($I35&gt;0%,IF(AND(PJ$16&gt;=$F35,PJ$16&lt;$F35+($G35*$I35)),"➤",""),"")</f>
        <v/>
      </c>
      <c r="PK35" s="76" t="str">
        <f aca="false">IF($I35&gt;0%,IF(AND(PK$16&gt;=$F35,PK$16&lt;$F35+($G35*$I35)),"➤",""),"")</f>
        <v/>
      </c>
      <c r="PL35" s="76" t="str">
        <f aca="false">IF($I35&gt;0%,IF(AND(PL$16&gt;=$F35,PL$16&lt;$F35+($G35*$I35)),"➤",""),"")</f>
        <v/>
      </c>
      <c r="PM35" s="76" t="str">
        <f aca="false">IF($I35&gt;0%,IF(AND(PM$16&gt;=$F35,PM$16&lt;$F35+($G35*$I35)),"➤",""),"")</f>
        <v/>
      </c>
      <c r="PN35" s="76" t="str">
        <f aca="false">IF($I35&gt;0%,IF(AND(PN$16&gt;=$F35,PN$16&lt;$F35+($G35*$I35)),"➤",""),"")</f>
        <v/>
      </c>
      <c r="PO35" s="76" t="str">
        <f aca="false">IF($I35&gt;0%,IF(AND(PO$16&gt;=$F35,PO$16&lt;$F35+($G35*$I35)),"➤",""),"")</f>
        <v/>
      </c>
      <c r="PP35" s="76" t="str">
        <f aca="false">IF($I35&gt;0%,IF(AND(PP$16&gt;=$F35,PP$16&lt;$F35+($G35*$I35)),"➤",""),"")</f>
        <v/>
      </c>
      <c r="PQ35" s="76" t="str">
        <f aca="false">IF($I35&gt;0%,IF(AND(PQ$16&gt;=$F35,PQ$16&lt;$F35+($G35*$I35)),"➤",""),"")</f>
        <v/>
      </c>
      <c r="PR35" s="76" t="str">
        <f aca="false">IF($I35&gt;0%,IF(AND(PR$16&gt;=$F35,PR$16&lt;$F35+($G35*$I35)),"➤",""),"")</f>
        <v/>
      </c>
      <c r="PS35" s="76" t="str">
        <f aca="false">IF($I35&gt;0%,IF(AND(PS$16&gt;=$F35,PS$16&lt;$F35+($G35*$I35)),"➤",""),"")</f>
        <v/>
      </c>
      <c r="PT35" s="76" t="str">
        <f aca="false">IF($I35&gt;0%,IF(AND(PT$16&gt;=$F35,PT$16&lt;$F35+($G35*$I35)),"➤",""),"")</f>
        <v/>
      </c>
      <c r="PU35" s="76" t="str">
        <f aca="false">IF($I35&gt;0%,IF(AND(PU$16&gt;=$F35,PU$16&lt;$F35+($G35*$I35)),"➤",""),"")</f>
        <v/>
      </c>
      <c r="PV35" s="76" t="str">
        <f aca="false">IF($I35&gt;0%,IF(AND(PV$16&gt;=$F35,PV$16&lt;$F35+($G35*$I35)),"➤",""),"")</f>
        <v/>
      </c>
      <c r="PW35" s="76" t="str">
        <f aca="false">IF($I35&gt;0%,IF(AND(PW$16&gt;=$F35,PW$16&lt;$F35+($G35*$I35)),"➤",""),"")</f>
        <v/>
      </c>
      <c r="PX35" s="76" t="str">
        <f aca="false">IF($I35&gt;0%,IF(AND(PX$16&gt;=$F35,PX$16&lt;$F35+($G35*$I35)),"➤",""),"")</f>
        <v/>
      </c>
      <c r="PY35" s="76" t="str">
        <f aca="false">IF($I35&gt;0%,IF(AND(PY$16&gt;=$F35,PY$16&lt;$F35+($G35*$I35)),"➤",""),"")</f>
        <v/>
      </c>
      <c r="PZ35" s="76" t="str">
        <f aca="false">IF($I35&gt;0%,IF(AND(PZ$16&gt;=$F35,PZ$16&lt;$F35+($G35*$I35)),"➤",""),"")</f>
        <v/>
      </c>
      <c r="QA35" s="76" t="str">
        <f aca="false">IF($I35&gt;0%,IF(AND(QA$16&gt;=$F35,QA$16&lt;$F35+($G35*$I35)),"➤",""),"")</f>
        <v/>
      </c>
      <c r="QB35" s="76" t="str">
        <f aca="false">IF($I35&gt;0%,IF(AND(QB$16&gt;=$F35,QB$16&lt;$F35+($G35*$I35)),"➤",""),"")</f>
        <v/>
      </c>
      <c r="QC35" s="76" t="str">
        <f aca="false">IF($I35&gt;0%,IF(AND(QC$16&gt;=$F35,QC$16&lt;$F35+($G35*$I35)),"➤",""),"")</f>
        <v/>
      </c>
      <c r="QD35" s="76" t="str">
        <f aca="false">IF($I35&gt;0%,IF(AND(QD$16&gt;=$F35,QD$16&lt;$F35+($G35*$I35)),"➤",""),"")</f>
        <v/>
      </c>
      <c r="QE35" s="76" t="str">
        <f aca="false">IF($I35&gt;0%,IF(AND(QE$16&gt;=$F35,QE$16&lt;$F35+($G35*$I35)),"➤",""),"")</f>
        <v/>
      </c>
      <c r="QF35" s="76" t="str">
        <f aca="false">IF($I35&gt;0%,IF(AND(QF$16&gt;=$F35,QF$16&lt;$F35+($G35*$I35)),"➤",""),"")</f>
        <v/>
      </c>
      <c r="QG35" s="76" t="str">
        <f aca="false">IF($I35&gt;0%,IF(AND(QG$16&gt;=$F35,QG$16&lt;$F35+($G35*$I35)),"➤",""),"")</f>
        <v/>
      </c>
      <c r="QH35" s="76" t="str">
        <f aca="false">IF($I35&gt;0%,IF(AND(QH$16&gt;=$F35,QH$16&lt;$F35+($G35*$I35)),"➤",""),"")</f>
        <v/>
      </c>
      <c r="QI35" s="76" t="str">
        <f aca="false">IF($I35&gt;0%,IF(AND(QI$16&gt;=$F35,QI$16&lt;$F35+($G35*$I35)),"➤",""),"")</f>
        <v/>
      </c>
      <c r="QJ35" s="76" t="str">
        <f aca="false">IF($I35&gt;0%,IF(AND(QJ$16&gt;=$F35,QJ$16&lt;$F35+($G35*$I35)),"➤",""),"")</f>
        <v/>
      </c>
      <c r="QK35" s="76" t="str">
        <f aca="false">IF($I35&gt;0%,IF(AND(QK$16&gt;=$F35,QK$16&lt;$F35+($G35*$I35)),"➤",""),"")</f>
        <v/>
      </c>
      <c r="QL35" s="76" t="str">
        <f aca="false">IF($I35&gt;0%,IF(AND(QL$16&gt;=$F35,QL$16&lt;$F35+($G35*$I35)),"➤",""),"")</f>
        <v/>
      </c>
      <c r="QM35" s="76" t="str">
        <f aca="false">IF($I35&gt;0%,IF(AND(QM$16&gt;=$F35,QM$16&lt;$F35+($G35*$I35)),"➤",""),"")</f>
        <v/>
      </c>
      <c r="QN35" s="76" t="str">
        <f aca="false">IF($I35&gt;0%,IF(AND(QN$16&gt;=$F35,QN$16&lt;$F35+($G35*$I35)),"➤",""),"")</f>
        <v/>
      </c>
      <c r="QO35" s="76" t="str">
        <f aca="false">IF($I35&gt;0%,IF(AND(QO$16&gt;=$F35,QO$16&lt;$F35+($G35*$I35)),"➤",""),"")</f>
        <v/>
      </c>
      <c r="QP35" s="76" t="str">
        <f aca="false">IF($I35&gt;0%,IF(AND(QP$16&gt;=$F35,QP$16&lt;$F35+($G35*$I35)),"➤",""),"")</f>
        <v/>
      </c>
      <c r="QQ35" s="76" t="str">
        <f aca="false">IF($I35&gt;0%,IF(AND(QQ$16&gt;=$F35,QQ$16&lt;$F35+($G35*$I35)),"➤",""),"")</f>
        <v/>
      </c>
      <c r="QR35" s="76" t="str">
        <f aca="false">IF($I35&gt;0%,IF(AND(QR$16&gt;=$F35,QR$16&lt;$F35+($G35*$I35)),"➤",""),"")</f>
        <v/>
      </c>
      <c r="QS35" s="76" t="str">
        <f aca="false">IF($I35&gt;0%,IF(AND(QS$16&gt;=$F35,QS$16&lt;$F35+($G35*$I35)),"➤",""),"")</f>
        <v/>
      </c>
      <c r="QT35" s="76" t="str">
        <f aca="false">IF($I35&gt;0%,IF(AND(QT$16&gt;=$F35,QT$16&lt;$F35+($G35*$I35)),"➤",""),"")</f>
        <v/>
      </c>
      <c r="QU35" s="76" t="str">
        <f aca="false">IF($I35&gt;0%,IF(AND(QU$16&gt;=$F35,QU$16&lt;$F35+($G35*$I35)),"➤",""),"")</f>
        <v/>
      </c>
      <c r="QV35" s="76" t="str">
        <f aca="false">IF($I35&gt;0%,IF(AND(QV$16&gt;=$F35,QV$16&lt;$F35+($G35*$I35)),"➤",""),"")</f>
        <v/>
      </c>
      <c r="QW35" s="76" t="str">
        <f aca="false">IF($I35&gt;0%,IF(AND(QW$16&gt;=$F35,QW$16&lt;$F35+($G35*$I35)),"➤",""),"")</f>
        <v/>
      </c>
      <c r="QX35" s="76" t="str">
        <f aca="false">IF($I35&gt;0%,IF(AND(QX$16&gt;=$F35,QX$16&lt;$F35+($G35*$I35)),"➤",""),"")</f>
        <v/>
      </c>
      <c r="QY35" s="76" t="str">
        <f aca="false">IF($I35&gt;0%,IF(AND(QY$16&gt;=$F35,QY$16&lt;$F35+($G35*$I35)),"➤",""),"")</f>
        <v/>
      </c>
      <c r="QZ35" s="76" t="str">
        <f aca="false">IF($I35&gt;0%,IF(AND(QZ$16&gt;=$F35,QZ$16&lt;$F35+($G35*$I35)),"➤",""),"")</f>
        <v/>
      </c>
      <c r="RA35" s="76" t="str">
        <f aca="false">IF($I35&gt;0%,IF(AND(RA$16&gt;=$F35,RA$16&lt;$F35+($G35*$I35)),"➤",""),"")</f>
        <v/>
      </c>
      <c r="RB35" s="76" t="str">
        <f aca="false">IF($I35&gt;0%,IF(AND(RB$16&gt;=$F35,RB$16&lt;$F35+($G35*$I35)),"➤",""),"")</f>
        <v/>
      </c>
      <c r="RC35" s="76" t="str">
        <f aca="false">IF($I35&gt;0%,IF(AND(RC$16&gt;=$F35,RC$16&lt;$F35+($G35*$I35)),"➤",""),"")</f>
        <v/>
      </c>
      <c r="RD35" s="76" t="str">
        <f aca="false">IF($I35&gt;0%,IF(AND(RD$16&gt;=$F35,RD$16&lt;$F35+($G35*$I35)),"➤",""),"")</f>
        <v/>
      </c>
      <c r="RE35" s="76" t="str">
        <f aca="false">IF($I35&gt;0%,IF(AND(RE$16&gt;=$F35,RE$16&lt;$F35+($G35*$I35)),"➤",""),"")</f>
        <v/>
      </c>
      <c r="RF35" s="76" t="str">
        <f aca="false">IF($I35&gt;0%,IF(AND(RF$16&gt;=$F35,RF$16&lt;$F35+($G35*$I35)),"➤",""),"")</f>
        <v/>
      </c>
      <c r="RG35" s="76" t="str">
        <f aca="false">IF($I35&gt;0%,IF(AND(RG$16&gt;=$F35,RG$16&lt;$F35+($G35*$I35)),"➤",""),"")</f>
        <v/>
      </c>
      <c r="RH35" s="76" t="str">
        <f aca="false">IF($I35&gt;0%,IF(AND(RH$16&gt;=$F35,RH$16&lt;$F35+($G35*$I35)),"➤",""),"")</f>
        <v/>
      </c>
      <c r="RI35" s="76" t="str">
        <f aca="false">IF($I35&gt;0%,IF(AND(RI$16&gt;=$F35,RI$16&lt;$F35+($G35*$I35)),"➤",""),"")</f>
        <v/>
      </c>
      <c r="RJ35" s="76" t="str">
        <f aca="false">IF($I35&gt;0%,IF(AND(RJ$16&gt;=$F35,RJ$16&lt;$F35+($G35*$I35)),"➤",""),"")</f>
        <v/>
      </c>
      <c r="RK35" s="76" t="str">
        <f aca="false">IF($I35&gt;0%,IF(AND(RK$16&gt;=$F35,RK$16&lt;$F35+($G35*$I35)),"➤",""),"")</f>
        <v/>
      </c>
      <c r="RL35" s="76" t="str">
        <f aca="false">IF($I35&gt;0%,IF(AND(RL$16&gt;=$F35,RL$16&lt;$F35+($G35*$I35)),"➤",""),"")</f>
        <v/>
      </c>
      <c r="RM35" s="76" t="str">
        <f aca="false">IF($I35&gt;0%,IF(AND(RM$16&gt;=$F35,RM$16&lt;$F35+($G35*$I35)),"➤",""),"")</f>
        <v/>
      </c>
      <c r="RN35" s="76" t="str">
        <f aca="false">IF($I35&gt;0%,IF(AND(RN$16&gt;=$F35,RN$16&lt;$F35+($G35*$I35)),"➤",""),"")</f>
        <v/>
      </c>
      <c r="RO35" s="76" t="str">
        <f aca="false">IF($I35&gt;0%,IF(AND(RO$16&gt;=$F35,RO$16&lt;$F35+($G35*$I35)),"➤",""),"")</f>
        <v/>
      </c>
      <c r="RP35" s="76" t="str">
        <f aca="false">IF($I35&gt;0%,IF(AND(RP$16&gt;=$F35,RP$16&lt;$F35+($G35*$I35)),"➤",""),"")</f>
        <v/>
      </c>
      <c r="RQ35" s="76" t="str">
        <f aca="false">IF($I35&gt;0%,IF(AND(RQ$16&gt;=$F35,RQ$16&lt;$F35+($G35*$I35)),"➤",""),"")</f>
        <v/>
      </c>
      <c r="RR35" s="76" t="str">
        <f aca="false">IF($I35&gt;0%,IF(AND(RR$16&gt;=$F35,RR$16&lt;$F35+($G35*$I35)),"➤",""),"")</f>
        <v/>
      </c>
      <c r="RS35" s="76" t="str">
        <f aca="false">IF($I35&gt;0%,IF(AND(RS$16&gt;=$F35,RS$16&lt;$F35+($G35*$I35)),"➤",""),"")</f>
        <v/>
      </c>
      <c r="RT35" s="76" t="str">
        <f aca="false">IF($I35&gt;0%,IF(AND(RT$16&gt;=$F35,RT$16&lt;$F35+($G35*$I35)),"➤",""),"")</f>
        <v/>
      </c>
      <c r="RU35" s="76" t="str">
        <f aca="false">IF($I35&gt;0%,IF(AND(RU$16&gt;=$F35,RU$16&lt;$F35+($G35*$I35)),"➤",""),"")</f>
        <v/>
      </c>
      <c r="RV35" s="76" t="str">
        <f aca="false">IF($I35&gt;0%,IF(AND(RV$16&gt;=$F35,RV$16&lt;$F35+($G35*$I35)),"➤",""),"")</f>
        <v/>
      </c>
      <c r="RW35" s="76" t="str">
        <f aca="false">IF($I35&gt;0%,IF(AND(RW$16&gt;=$F35,RW$16&lt;$F35+($G35*$I35)),"➤",""),"")</f>
        <v/>
      </c>
      <c r="RX35" s="76" t="str">
        <f aca="false">IF($I35&gt;0%,IF(AND(RX$16&gt;=$F35,RX$16&lt;$F35+($G35*$I35)),"➤",""),"")</f>
        <v/>
      </c>
      <c r="RY35" s="76" t="str">
        <f aca="false">IF($I35&gt;0%,IF(AND(RY$16&gt;=$F35,RY$16&lt;$F35+($G35*$I35)),"➤",""),"")</f>
        <v/>
      </c>
      <c r="RZ35" s="76" t="str">
        <f aca="false">IF($I35&gt;0%,IF(AND(RZ$16&gt;=$F35,RZ$16&lt;$F35+($G35*$I35)),"➤",""),"")</f>
        <v/>
      </c>
      <c r="SA35" s="76" t="str">
        <f aca="false">IF($I35&gt;0%,IF(AND(SA$16&gt;=$F35,SA$16&lt;$F35+($G35*$I35)),"➤",""),"")</f>
        <v/>
      </c>
      <c r="SB35" s="76" t="str">
        <f aca="false">IF($I35&gt;0%,IF(AND(SB$16&gt;=$F35,SB$16&lt;$F35+($G35*$I35)),"➤",""),"")</f>
        <v/>
      </c>
      <c r="SC35" s="76" t="str">
        <f aca="false">IF($I35&gt;0%,IF(AND(SC$16&gt;=$F35,SC$16&lt;$F35+($G35*$I35)),"➤",""),"")</f>
        <v/>
      </c>
      <c r="SD35" s="76" t="str">
        <f aca="false">IF($I35&gt;0%,IF(AND(SD$16&gt;=$F35,SD$16&lt;$F35+($G35*$I35)),"➤",""),"")</f>
        <v/>
      </c>
      <c r="SE35" s="76" t="str">
        <f aca="false">IF($I35&gt;0%,IF(AND(SE$16&gt;=$F35,SE$16&lt;$F35+($G35*$I35)),"➤",""),"")</f>
        <v/>
      </c>
      <c r="SF35" s="76" t="str">
        <f aca="false">IF($I35&gt;0%,IF(AND(SF$16&gt;=$F35,SF$16&lt;$F35+($G35*$I35)),"➤",""),"")</f>
        <v/>
      </c>
      <c r="SG35" s="76" t="str">
        <f aca="false">IF($I35&gt;0%,IF(AND(SG$16&gt;=$F35,SG$16&lt;$F35+($G35*$I35)),"➤",""),"")</f>
        <v/>
      </c>
      <c r="SH35" s="76" t="str">
        <f aca="false">IF($I35&gt;0%,IF(AND(SH$16&gt;=$F35,SH$16&lt;$F35+($G35*$I35)),"➤",""),"")</f>
        <v/>
      </c>
      <c r="SI35" s="76" t="str">
        <f aca="false">IF($I35&gt;0%,IF(AND(SI$16&gt;=$F35,SI$16&lt;$F35+($G35*$I35)),"➤",""),"")</f>
        <v/>
      </c>
      <c r="SJ35" s="76" t="str">
        <f aca="false">IF($I35&gt;0%,IF(AND(SJ$16&gt;=$F35,SJ$16&lt;$F35+($G35*$I35)),"➤",""),"")</f>
        <v/>
      </c>
      <c r="SK35" s="76" t="str">
        <f aca="false">IF($I35&gt;0%,IF(AND(SK$16&gt;=$F35,SK$16&lt;$F35+($G35*$I35)),"➤",""),"")</f>
        <v/>
      </c>
      <c r="SL35" s="76" t="str">
        <f aca="false">IF($I35&gt;0%,IF(AND(SL$16&gt;=$F35,SL$16&lt;$F35+($G35*$I35)),"➤",""),"")</f>
        <v/>
      </c>
      <c r="SM35" s="76" t="str">
        <f aca="false">IF($I35&gt;0%,IF(AND(SM$16&gt;=$F35,SM$16&lt;$F35+($G35*$I35)),"➤",""),"")</f>
        <v/>
      </c>
      <c r="SN35" s="76" t="str">
        <f aca="false">IF($I35&gt;0%,IF(AND(SN$16&gt;=$F35,SN$16&lt;$F35+($G35*$I35)),"➤",""),"")</f>
        <v/>
      </c>
      <c r="SO35" s="76" t="str">
        <f aca="false">IF($I35&gt;0%,IF(AND(SO$16&gt;=$F35,SO$16&lt;$F35+($G35*$I35)),"➤",""),"")</f>
        <v/>
      </c>
      <c r="SP35" s="76" t="str">
        <f aca="false">IF($I35&gt;0%,IF(AND(SP$16&gt;=$F35,SP$16&lt;$F35+($G35*$I35)),"➤",""),"")</f>
        <v/>
      </c>
      <c r="SQ35" s="76" t="str">
        <f aca="false">IF($I35&gt;0%,IF(AND(SQ$16&gt;=$F35,SQ$16&lt;$F35+($G35*$I35)),"➤",""),"")</f>
        <v/>
      </c>
      <c r="SR35" s="76" t="str">
        <f aca="false">IF($I35&gt;0%,IF(AND(SR$16&gt;=$F35,SR$16&lt;$F35+($G35*$I35)),"➤",""),"")</f>
        <v/>
      </c>
      <c r="SS35" s="76" t="str">
        <f aca="false">IF($I35&gt;0%,IF(AND(SS$16&gt;=$F35,SS$16&lt;$F35+($G35*$I35)),"➤",""),"")</f>
        <v/>
      </c>
      <c r="ST35" s="76" t="str">
        <f aca="false">IF($I35&gt;0%,IF(AND(ST$16&gt;=$F35,ST$16&lt;$F35+($G35*$I35)),"➤",""),"")</f>
        <v/>
      </c>
      <c r="SU35" s="76" t="str">
        <f aca="false">IF($I35&gt;0%,IF(AND(SU$16&gt;=$F35,SU$16&lt;$F35+($G35*$I35)),"➤",""),"")</f>
        <v/>
      </c>
      <c r="SV35" s="76" t="str">
        <f aca="false">IF($I35&gt;0%,IF(AND(SV$16&gt;=$F35,SV$16&lt;$F35+($G35*$I35)),"➤",""),"")</f>
        <v/>
      </c>
      <c r="SW35" s="77" t="str">
        <f aca="false">IF($I35&gt;0%,IF(AND(SW$16&gt;=$F35,SW$16&lt;$F35+($G35*$I35)),"➤",""),"")</f>
        <v/>
      </c>
    </row>
    <row r="36" customFormat="false" ht="14.25" hidden="false" customHeight="false" outlineLevel="1" collapsed="false">
      <c r="C36" s="10"/>
      <c r="D36" s="78"/>
      <c r="E36" s="79"/>
      <c r="F36" s="80" t="n">
        <v>44150</v>
      </c>
      <c r="G36" s="93" t="n">
        <v>3</v>
      </c>
      <c r="H36" s="94" t="n">
        <f aca="false">(F36+G36)-1</f>
        <v>44152</v>
      </c>
      <c r="I36" s="95" t="n">
        <v>1</v>
      </c>
      <c r="J36" s="84"/>
      <c r="K36" s="85"/>
      <c r="L36" s="75" t="str">
        <f aca="false">IF($I36&gt;0%,IF(AND(L$16&gt;=$F36,L$16&lt;$F36+($G36*$I36)),"➤",""),"")</f>
        <v/>
      </c>
      <c r="M36" s="76" t="str">
        <f aca="false">IF($I36&gt;0%,IF(AND(M$16&gt;=$F36,M$16&lt;$F36+($G36*$I36)),"➤",""),"")</f>
        <v/>
      </c>
      <c r="N36" s="76" t="str">
        <f aca="false">IF($I36&gt;0%,IF(AND(N$16&gt;=$F36,N$16&lt;$F36+($G36*$I36)),"➤",""),"")</f>
        <v/>
      </c>
      <c r="O36" s="76" t="str">
        <f aca="false">IF($I36&gt;0%,IF(AND(O$16&gt;=$F36,O$16&lt;$F36+($G36*$I36)),"➤",""),"")</f>
        <v/>
      </c>
      <c r="P36" s="76" t="str">
        <f aca="false">IF($I36&gt;0%,IF(AND(P$16&gt;=$F36,P$16&lt;$F36+($G36*$I36)),"➤",""),"")</f>
        <v/>
      </c>
      <c r="Q36" s="76" t="str">
        <f aca="false">IF($I36&gt;0%,IF(AND(Q$16&gt;=$F36,Q$16&lt;$F36+($G36*$I36)),"➤",""),"")</f>
        <v/>
      </c>
      <c r="R36" s="76" t="str">
        <f aca="false">IF($I36&gt;0%,IF(AND(R$16&gt;=$F36,R$16&lt;$F36+($G36*$I36)),"➤",""),"")</f>
        <v/>
      </c>
      <c r="S36" s="76" t="str">
        <f aca="false">IF($I36&gt;0%,IF(AND(S$16&gt;=$F36,S$16&lt;$F36+($G36*$I36)),"➤",""),"")</f>
        <v/>
      </c>
      <c r="T36" s="76" t="str">
        <f aca="false">IF($I36&gt;0%,IF(AND(T$16&gt;=$F36,T$16&lt;$F36+($G36*$I36)),"➤",""),"")</f>
        <v/>
      </c>
      <c r="U36" s="76" t="str">
        <f aca="false">IF($I36&gt;0%,IF(AND(U$16&gt;=$F36,U$16&lt;$F36+($G36*$I36)),"➤",""),"")</f>
        <v/>
      </c>
      <c r="V36" s="76" t="str">
        <f aca="false">IF($I36&gt;0%,IF(AND(V$16&gt;=$F36,V$16&lt;$F36+($G36*$I36)),"➤",""),"")</f>
        <v/>
      </c>
      <c r="W36" s="76" t="str">
        <f aca="false">IF($I36&gt;0%,IF(AND(W$16&gt;=$F36,W$16&lt;$F36+($G36*$I36)),"➤",""),"")</f>
        <v/>
      </c>
      <c r="X36" s="76" t="str">
        <f aca="false">IF($I36&gt;0%,IF(AND(X$16&gt;=$F36,X$16&lt;$F36+($G36*$I36)),"➤",""),"")</f>
        <v/>
      </c>
      <c r="Y36" s="76" t="str">
        <f aca="false">IF($I36&gt;0%,IF(AND(Y$16&gt;=$F36,Y$16&lt;$F36+($G36*$I36)),"➤",""),"")</f>
        <v/>
      </c>
      <c r="Z36" s="76" t="str">
        <f aca="false">IF($I36&gt;0%,IF(AND(Z$16&gt;=$F36,Z$16&lt;$F36+($G36*$I36)),"➤",""),"")</f>
        <v/>
      </c>
      <c r="AA36" s="76" t="str">
        <f aca="false">IF($I36&gt;0%,IF(AND(AA$16&gt;=$F36,AA$16&lt;$F36+($G36*$I36)),"➤",""),"")</f>
        <v/>
      </c>
      <c r="AB36" s="76" t="str">
        <f aca="false">IF($I36&gt;0%,IF(AND(AB$16&gt;=$F36,AB$16&lt;$F36+($G36*$I36)),"➤",""),"")</f>
        <v/>
      </c>
      <c r="AC36" s="76" t="str">
        <f aca="false">IF($I36&gt;0%,IF(AND(AC$16&gt;=$F36,AC$16&lt;$F36+($G36*$I36)),"➤",""),"")</f>
        <v/>
      </c>
      <c r="AD36" s="76" t="str">
        <f aca="false">IF($I36&gt;0%,IF(AND(AD$16&gt;=$F36,AD$16&lt;$F36+($G36*$I36)),"➤",""),"")</f>
        <v/>
      </c>
      <c r="AE36" s="76" t="str">
        <f aca="false">IF($I36&gt;0%,IF(AND(AE$16&gt;=$F36,AE$16&lt;$F36+($G36*$I36)),"➤",""),"")</f>
        <v/>
      </c>
      <c r="AF36" s="76" t="str">
        <f aca="false">IF($I36&gt;0%,IF(AND(AF$16&gt;=$F36,AF$16&lt;$F36+($G36*$I36)),"➤",""),"")</f>
        <v/>
      </c>
      <c r="AG36" s="76" t="str">
        <f aca="false">IF($I36&gt;0%,IF(AND(AG$16&gt;=$F36,AG$16&lt;$F36+($G36*$I36)),"➤",""),"")</f>
        <v/>
      </c>
      <c r="AH36" s="76" t="str">
        <f aca="false">IF($I36&gt;0%,IF(AND(AH$16&gt;=$F36,AH$16&lt;$F36+($G36*$I36)),"➤",""),"")</f>
        <v/>
      </c>
      <c r="AI36" s="76" t="str">
        <f aca="false">IF($I36&gt;0%,IF(AND(AI$16&gt;=$F36,AI$16&lt;$F36+($G36*$I36)),"➤",""),"")</f>
        <v/>
      </c>
      <c r="AJ36" s="76" t="str">
        <f aca="false">IF($I36&gt;0%,IF(AND(AJ$16&gt;=$F36,AJ$16&lt;$F36+($G36*$I36)),"➤",""),"")</f>
        <v/>
      </c>
      <c r="AK36" s="76" t="str">
        <f aca="false">IF($I36&gt;0%,IF(AND(AK$16&gt;=$F36,AK$16&lt;$F36+($G36*$I36)),"➤",""),"")</f>
        <v/>
      </c>
      <c r="AL36" s="76" t="str">
        <f aca="false">IF($I36&gt;0%,IF(AND(AL$16&gt;=$F36,AL$16&lt;$F36+($G36*$I36)),"➤",""),"")</f>
        <v/>
      </c>
      <c r="AM36" s="76" t="str">
        <f aca="false">IF($I36&gt;0%,IF(AND(AM$16&gt;=$F36,AM$16&lt;$F36+($G36*$I36)),"➤",""),"")</f>
        <v/>
      </c>
      <c r="AN36" s="76" t="str">
        <f aca="false">IF($I36&gt;0%,IF(AND(AN$16&gt;=$F36,AN$16&lt;$F36+($G36*$I36)),"➤",""),"")</f>
        <v/>
      </c>
      <c r="AO36" s="76" t="str">
        <f aca="false">IF($I36&gt;0%,IF(AND(AO$16&gt;=$F36,AO$16&lt;$F36+($G36*$I36)),"➤",""),"")</f>
        <v/>
      </c>
      <c r="AP36" s="76" t="str">
        <f aca="false">IF($I36&gt;0%,IF(AND(AP$16&gt;=$F36,AP$16&lt;$F36+($G36*$I36)),"➤",""),"")</f>
        <v/>
      </c>
      <c r="AQ36" s="76" t="str">
        <f aca="false">IF($I36&gt;0%,IF(AND(AQ$16&gt;=$F36,AQ$16&lt;$F36+($G36*$I36)),"➤",""),"")</f>
        <v/>
      </c>
      <c r="AR36" s="76" t="str">
        <f aca="false">IF($I36&gt;0%,IF(AND(AR$16&gt;=$F36,AR$16&lt;$F36+($G36*$I36)),"➤",""),"")</f>
        <v/>
      </c>
      <c r="AS36" s="76" t="str">
        <f aca="false">IF($I36&gt;0%,IF(AND(AS$16&gt;=$F36,AS$16&lt;$F36+($G36*$I36)),"➤",""),"")</f>
        <v/>
      </c>
      <c r="AT36" s="76" t="str">
        <f aca="false">IF($I36&gt;0%,IF(AND(AT$16&gt;=$F36,AT$16&lt;$F36+($G36*$I36)),"➤",""),"")</f>
        <v/>
      </c>
      <c r="AU36" s="76" t="str">
        <f aca="false">IF($I36&gt;0%,IF(AND(AU$16&gt;=$F36,AU$16&lt;$F36+($G36*$I36)),"➤",""),"")</f>
        <v/>
      </c>
      <c r="AV36" s="76" t="str">
        <f aca="false">IF($I36&gt;0%,IF(AND(AV$16&gt;=$F36,AV$16&lt;$F36+($G36*$I36)),"➤",""),"")</f>
        <v/>
      </c>
      <c r="AW36" s="76" t="str">
        <f aca="false">IF($I36&gt;0%,IF(AND(AW$16&gt;=$F36,AW$16&lt;$F36+($G36*$I36)),"➤",""),"")</f>
        <v/>
      </c>
      <c r="AX36" s="76" t="str">
        <f aca="false">IF($I36&gt;0%,IF(AND(AX$16&gt;=$F36,AX$16&lt;$F36+($G36*$I36)),"➤",""),"")</f>
        <v/>
      </c>
      <c r="AY36" s="76" t="str">
        <f aca="false">IF($I36&gt;0%,IF(AND(AY$16&gt;=$F36,AY$16&lt;$F36+($G36*$I36)),"➤",""),"")</f>
        <v/>
      </c>
      <c r="AZ36" s="76" t="str">
        <f aca="false">IF($I36&gt;0%,IF(AND(AZ$16&gt;=$F36,AZ$16&lt;$F36+($G36*$I36)),"➤",""),"")</f>
        <v/>
      </c>
      <c r="BA36" s="76" t="str">
        <f aca="false">IF($I36&gt;0%,IF(AND(BA$16&gt;=$F36,BA$16&lt;$F36+($G36*$I36)),"➤",""),"")</f>
        <v/>
      </c>
      <c r="BB36" s="76" t="str">
        <f aca="false">IF($I36&gt;0%,IF(AND(BB$16&gt;=$F36,BB$16&lt;$F36+($G36*$I36)),"➤",""),"")</f>
        <v/>
      </c>
      <c r="BC36" s="76" t="str">
        <f aca="false">IF($I36&gt;0%,IF(AND(BC$16&gt;=$F36,BC$16&lt;$F36+($G36*$I36)),"➤",""),"")</f>
        <v/>
      </c>
      <c r="BD36" s="76" t="str">
        <f aca="false">IF($I36&gt;0%,IF(AND(BD$16&gt;=$F36,BD$16&lt;$F36+($G36*$I36)),"➤",""),"")</f>
        <v/>
      </c>
      <c r="BE36" s="76" t="str">
        <f aca="false">IF($I36&gt;0%,IF(AND(BE$16&gt;=$F36,BE$16&lt;$F36+($G36*$I36)),"➤",""),"")</f>
        <v/>
      </c>
      <c r="BF36" s="76" t="str">
        <f aca="false">IF($I36&gt;0%,IF(AND(BF$16&gt;=$F36,BF$16&lt;$F36+($G36*$I36)),"➤",""),"")</f>
        <v/>
      </c>
      <c r="BG36" s="76" t="str">
        <f aca="false">IF($I36&gt;0%,IF(AND(BG$16&gt;=$F36,BG$16&lt;$F36+($G36*$I36)),"➤",""),"")</f>
        <v/>
      </c>
      <c r="BH36" s="76" t="str">
        <f aca="false">IF($I36&gt;0%,IF(AND(BH$16&gt;=$F36,BH$16&lt;$F36+($G36*$I36)),"➤",""),"")</f>
        <v/>
      </c>
      <c r="BI36" s="76" t="str">
        <f aca="false">IF($I36&gt;0%,IF(AND(BI$16&gt;=$F36,BI$16&lt;$F36+($G36*$I36)),"➤",""),"")</f>
        <v/>
      </c>
      <c r="BJ36" s="76" t="str">
        <f aca="false">IF($I36&gt;0%,IF(AND(BJ$16&gt;=$F36,BJ$16&lt;$F36+($G36*$I36)),"➤",""),"")</f>
        <v/>
      </c>
      <c r="BK36" s="76" t="str">
        <f aca="false">IF($I36&gt;0%,IF(AND(BK$16&gt;=$F36,BK$16&lt;$F36+($G36*$I36)),"➤",""),"")</f>
        <v/>
      </c>
      <c r="BL36" s="76" t="str">
        <f aca="false">IF($I36&gt;0%,IF(AND(BL$16&gt;=$F36,BL$16&lt;$F36+($G36*$I36)),"➤",""),"")</f>
        <v/>
      </c>
      <c r="BM36" s="76" t="str">
        <f aca="false">IF($I36&gt;0%,IF(AND(BM$16&gt;=$F36,BM$16&lt;$F36+($G36*$I36)),"➤",""),"")</f>
        <v/>
      </c>
      <c r="BN36" s="76" t="str">
        <f aca="false">IF($I36&gt;0%,IF(AND(BN$16&gt;=$F36,BN$16&lt;$F36+($G36*$I36)),"➤",""),"")</f>
        <v/>
      </c>
      <c r="BO36" s="76" t="str">
        <f aca="false">IF($I36&gt;0%,IF(AND(BO$16&gt;=$F36,BO$16&lt;$F36+($G36*$I36)),"➤",""),"")</f>
        <v/>
      </c>
      <c r="BP36" s="76" t="str">
        <f aca="false">IF($I36&gt;0%,IF(AND(BP$16&gt;=$F36,BP$16&lt;$F36+($G36*$I36)),"➤",""),"")</f>
        <v/>
      </c>
      <c r="BQ36" s="76" t="str">
        <f aca="false">IF($I36&gt;0%,IF(AND(BQ$16&gt;=$F36,BQ$16&lt;$F36+($G36*$I36)),"➤",""),"")</f>
        <v/>
      </c>
      <c r="BR36" s="76" t="str">
        <f aca="false">IF($I36&gt;0%,IF(AND(BR$16&gt;=$F36,BR$16&lt;$F36+($G36*$I36)),"➤",""),"")</f>
        <v/>
      </c>
      <c r="BS36" s="76" t="str">
        <f aca="false">IF($I36&gt;0%,IF(AND(BS$16&gt;=$F36,BS$16&lt;$F36+($G36*$I36)),"➤",""),"")</f>
        <v/>
      </c>
      <c r="BT36" s="76" t="str">
        <f aca="false">IF($I36&gt;0%,IF(AND(BT$16&gt;=$F36,BT$16&lt;$F36+($G36*$I36)),"➤",""),"")</f>
        <v/>
      </c>
      <c r="BU36" s="76" t="str">
        <f aca="false">IF($I36&gt;0%,IF(AND(BU$16&gt;=$F36,BU$16&lt;$F36+($G36*$I36)),"➤",""),"")</f>
        <v/>
      </c>
      <c r="BV36" s="76" t="str">
        <f aca="false">IF($I36&gt;0%,IF(AND(BV$16&gt;=$F36,BV$16&lt;$F36+($G36*$I36)),"➤",""),"")</f>
        <v/>
      </c>
      <c r="BW36" s="76" t="str">
        <f aca="false">IF($I36&gt;0%,IF(AND(BW$16&gt;=$F36,BW$16&lt;$F36+($G36*$I36)),"➤",""),"")</f>
        <v/>
      </c>
      <c r="BX36" s="76" t="str">
        <f aca="false">IF($I36&gt;0%,IF(AND(BX$16&gt;=$F36,BX$16&lt;$F36+($G36*$I36)),"➤",""),"")</f>
        <v/>
      </c>
      <c r="BY36" s="76" t="str">
        <f aca="false">IF($I36&gt;0%,IF(AND(BY$16&gt;=$F36,BY$16&lt;$F36+($G36*$I36)),"➤",""),"")</f>
        <v/>
      </c>
      <c r="BZ36" s="76" t="str">
        <f aca="false">IF($I36&gt;0%,IF(AND(BZ$16&gt;=$F36,BZ$16&lt;$F36+($G36*$I36)),"➤",""),"")</f>
        <v/>
      </c>
      <c r="CA36" s="76" t="str">
        <f aca="false">IF($I36&gt;0%,IF(AND(CA$16&gt;=$F36,CA$16&lt;$F36+($G36*$I36)),"➤",""),"")</f>
        <v/>
      </c>
      <c r="CB36" s="76" t="str">
        <f aca="false">IF($I36&gt;0%,IF(AND(CB$16&gt;=$F36,CB$16&lt;$F36+($G36*$I36)),"➤",""),"")</f>
        <v/>
      </c>
      <c r="CC36" s="76" t="str">
        <f aca="false">IF($I36&gt;0%,IF(AND(CC$16&gt;=$F36,CC$16&lt;$F36+($G36*$I36)),"➤",""),"")</f>
        <v/>
      </c>
      <c r="CD36" s="76" t="str">
        <f aca="false">IF($I36&gt;0%,IF(AND(CD$16&gt;=$F36,CD$16&lt;$F36+($G36*$I36)),"➤",""),"")</f>
        <v/>
      </c>
      <c r="CE36" s="76" t="str">
        <f aca="false">IF($I36&gt;0%,IF(AND(CE$16&gt;=$F36,CE$16&lt;$F36+($G36*$I36)),"➤",""),"")</f>
        <v/>
      </c>
      <c r="CF36" s="76" t="str">
        <f aca="false">IF($I36&gt;0%,IF(AND(CF$16&gt;=$F36,CF$16&lt;$F36+($G36*$I36)),"➤",""),"")</f>
        <v/>
      </c>
      <c r="CG36" s="76" t="str">
        <f aca="false">IF($I36&gt;0%,IF(AND(CG$16&gt;=$F36,CG$16&lt;$F36+($G36*$I36)),"➤",""),"")</f>
        <v/>
      </c>
      <c r="CH36" s="76" t="str">
        <f aca="false">IF($I36&gt;0%,IF(AND(CH$16&gt;=$F36,CH$16&lt;$F36+($G36*$I36)),"➤",""),"")</f>
        <v/>
      </c>
      <c r="CI36" s="76" t="str">
        <f aca="false">IF($I36&gt;0%,IF(AND(CI$16&gt;=$F36,CI$16&lt;$F36+($G36*$I36)),"➤",""),"")</f>
        <v/>
      </c>
      <c r="CJ36" s="76" t="str">
        <f aca="false">IF($I36&gt;0%,IF(AND(CJ$16&gt;=$F36,CJ$16&lt;$F36+($G36*$I36)),"➤",""),"")</f>
        <v/>
      </c>
      <c r="CK36" s="76" t="str">
        <f aca="false">IF($I36&gt;0%,IF(AND(CK$16&gt;=$F36,CK$16&lt;$F36+($G36*$I36)),"➤",""),"")</f>
        <v/>
      </c>
      <c r="CL36" s="76" t="str">
        <f aca="false">IF($I36&gt;0%,IF(AND(CL$16&gt;=$F36,CL$16&lt;$F36+($G36*$I36)),"➤",""),"")</f>
        <v/>
      </c>
      <c r="CM36" s="76" t="str">
        <f aca="false">IF($I36&gt;0%,IF(AND(CM$16&gt;=$F36,CM$16&lt;$F36+($G36*$I36)),"➤",""),"")</f>
        <v/>
      </c>
      <c r="CN36" s="76" t="str">
        <f aca="false">IF($I36&gt;0%,IF(AND(CN$16&gt;=$F36,CN$16&lt;$F36+($G36*$I36)),"➤",""),"")</f>
        <v/>
      </c>
      <c r="CO36" s="76" t="str">
        <f aca="false">IF($I36&gt;0%,IF(AND(CO$16&gt;=$F36,CO$16&lt;$F36+($G36*$I36)),"➤",""),"")</f>
        <v/>
      </c>
      <c r="CP36" s="76" t="str">
        <f aca="false">IF($I36&gt;0%,IF(AND(CP$16&gt;=$F36,CP$16&lt;$F36+($G36*$I36)),"➤",""),"")</f>
        <v/>
      </c>
      <c r="CQ36" s="76" t="str">
        <f aca="false">IF($I36&gt;0%,IF(AND(CQ$16&gt;=$F36,CQ$16&lt;$F36+($G36*$I36)),"➤",""),"")</f>
        <v/>
      </c>
      <c r="CR36" s="76" t="str">
        <f aca="false">IF($I36&gt;0%,IF(AND(CR$16&gt;=$F36,CR$16&lt;$F36+($G36*$I36)),"➤",""),"")</f>
        <v/>
      </c>
      <c r="CS36" s="76" t="str">
        <f aca="false">IF($I36&gt;0%,IF(AND(CS$16&gt;=$F36,CS$16&lt;$F36+($G36*$I36)),"➤",""),"")</f>
        <v/>
      </c>
      <c r="CT36" s="76" t="str">
        <f aca="false">IF($I36&gt;0%,IF(AND(CT$16&gt;=$F36,CT$16&lt;$F36+($G36*$I36)),"➤",""),"")</f>
        <v/>
      </c>
      <c r="CU36" s="76" t="str">
        <f aca="false">IF($I36&gt;0%,IF(AND(CU$16&gt;=$F36,CU$16&lt;$F36+($G36*$I36)),"➤",""),"")</f>
        <v/>
      </c>
      <c r="CV36" s="76" t="str">
        <f aca="false">IF($I36&gt;0%,IF(AND(CV$16&gt;=$F36,CV$16&lt;$F36+($G36*$I36)),"➤",""),"")</f>
        <v/>
      </c>
      <c r="CW36" s="76" t="str">
        <f aca="false">IF($I36&gt;0%,IF(AND(CW$16&gt;=$F36,CW$16&lt;$F36+($G36*$I36)),"➤",""),"")</f>
        <v/>
      </c>
      <c r="CX36" s="76" t="str">
        <f aca="false">IF($I36&gt;0%,IF(AND(CX$16&gt;=$F36,CX$16&lt;$F36+($G36*$I36)),"➤",""),"")</f>
        <v/>
      </c>
      <c r="CY36" s="76" t="str">
        <f aca="false">IF($I36&gt;0%,IF(AND(CY$16&gt;=$F36,CY$16&lt;$F36+($G36*$I36)),"➤",""),"")</f>
        <v/>
      </c>
      <c r="CZ36" s="76" t="str">
        <f aca="false">IF($I36&gt;0%,IF(AND(CZ$16&gt;=$F36,CZ$16&lt;$F36+($G36*$I36)),"➤",""),"")</f>
        <v/>
      </c>
      <c r="DA36" s="76" t="str">
        <f aca="false">IF($I36&gt;0%,IF(AND(DA$16&gt;=$F36,DA$16&lt;$F36+($G36*$I36)),"➤",""),"")</f>
        <v/>
      </c>
      <c r="DB36" s="76" t="str">
        <f aca="false">IF($I36&gt;0%,IF(AND(DB$16&gt;=$F36,DB$16&lt;$F36+($G36*$I36)),"➤",""),"")</f>
        <v/>
      </c>
      <c r="DC36" s="76" t="str">
        <f aca="false">IF($I36&gt;0%,IF(AND(DC$16&gt;=$F36,DC$16&lt;$F36+($G36*$I36)),"➤",""),"")</f>
        <v/>
      </c>
      <c r="DD36" s="76" t="str">
        <f aca="false">IF($I36&gt;0%,IF(AND(DD$16&gt;=$F36,DD$16&lt;$F36+($G36*$I36)),"➤",""),"")</f>
        <v/>
      </c>
      <c r="DE36" s="76" t="str">
        <f aca="false">IF($I36&gt;0%,IF(AND(DE$16&gt;=$F36,DE$16&lt;$F36+($G36*$I36)),"➤",""),"")</f>
        <v/>
      </c>
      <c r="DF36" s="76" t="str">
        <f aca="false">IF($I36&gt;0%,IF(AND(DF$16&gt;=$F36,DF$16&lt;$F36+($G36*$I36)),"➤",""),"")</f>
        <v/>
      </c>
      <c r="DG36" s="76" t="str">
        <f aca="false">IF($I36&gt;0%,IF(AND(DG$16&gt;=$F36,DG$16&lt;$F36+($G36*$I36)),"➤",""),"")</f>
        <v/>
      </c>
      <c r="DH36" s="76" t="str">
        <f aca="false">IF($I36&gt;0%,IF(AND(DH$16&gt;=$F36,DH$16&lt;$F36+($G36*$I36)),"➤",""),"")</f>
        <v/>
      </c>
      <c r="DI36" s="76" t="str">
        <f aca="false">IF($I36&gt;0%,IF(AND(DI$16&gt;=$F36,DI$16&lt;$F36+($G36*$I36)),"➤",""),"")</f>
        <v/>
      </c>
      <c r="DJ36" s="76" t="str">
        <f aca="false">IF($I36&gt;0%,IF(AND(DJ$16&gt;=$F36,DJ$16&lt;$F36+($G36*$I36)),"➤",""),"")</f>
        <v/>
      </c>
      <c r="DK36" s="76" t="str">
        <f aca="false">IF($I36&gt;0%,IF(AND(DK$16&gt;=$F36,DK$16&lt;$F36+($G36*$I36)),"➤",""),"")</f>
        <v/>
      </c>
      <c r="DL36" s="76" t="str">
        <f aca="false">IF($I36&gt;0%,IF(AND(DL$16&gt;=$F36,DL$16&lt;$F36+($G36*$I36)),"➤",""),"")</f>
        <v/>
      </c>
      <c r="DM36" s="76" t="str">
        <f aca="false">IF($I36&gt;0%,IF(AND(DM$16&gt;=$F36,DM$16&lt;$F36+($G36*$I36)),"➤",""),"")</f>
        <v/>
      </c>
      <c r="DN36" s="76" t="str">
        <f aca="false">IF($I36&gt;0%,IF(AND(DN$16&gt;=$F36,DN$16&lt;$F36+($G36*$I36)),"➤",""),"")</f>
        <v/>
      </c>
      <c r="DO36" s="76" t="str">
        <f aca="false">IF($I36&gt;0%,IF(AND(DO$16&gt;=$F36,DO$16&lt;$F36+($G36*$I36)),"➤",""),"")</f>
        <v/>
      </c>
      <c r="DP36" s="76" t="str">
        <f aca="false">IF($I36&gt;0%,IF(AND(DP$16&gt;=$F36,DP$16&lt;$F36+($G36*$I36)),"➤",""),"")</f>
        <v/>
      </c>
      <c r="DQ36" s="76" t="str">
        <f aca="false">IF($I36&gt;0%,IF(AND(DQ$16&gt;=$F36,DQ$16&lt;$F36+($G36*$I36)),"➤",""),"")</f>
        <v/>
      </c>
      <c r="DR36" s="76" t="str">
        <f aca="false">IF($I36&gt;0%,IF(AND(DR$16&gt;=$F36,DR$16&lt;$F36+($G36*$I36)),"➤",""),"")</f>
        <v/>
      </c>
      <c r="DS36" s="76" t="str">
        <f aca="false">IF($I36&gt;0%,IF(AND(DS$16&gt;=$F36,DS$16&lt;$F36+($G36*$I36)),"➤",""),"")</f>
        <v/>
      </c>
      <c r="DT36" s="76" t="str">
        <f aca="false">IF($I36&gt;0%,IF(AND(DT$16&gt;=$F36,DT$16&lt;$F36+($G36*$I36)),"➤",""),"")</f>
        <v/>
      </c>
      <c r="DU36" s="76" t="str">
        <f aca="false">IF($I36&gt;0%,IF(AND(DU$16&gt;=$F36,DU$16&lt;$F36+($G36*$I36)),"➤",""),"")</f>
        <v/>
      </c>
      <c r="DV36" s="76" t="str">
        <f aca="false">IF($I36&gt;0%,IF(AND(DV$16&gt;=$F36,DV$16&lt;$F36+($G36*$I36)),"➤",""),"")</f>
        <v/>
      </c>
      <c r="DW36" s="76" t="str">
        <f aca="false">IF($I36&gt;0%,IF(AND(DW$16&gt;=$F36,DW$16&lt;$F36+($G36*$I36)),"➤",""),"")</f>
        <v/>
      </c>
      <c r="DX36" s="76" t="str">
        <f aca="false">IF($I36&gt;0%,IF(AND(DX$16&gt;=$F36,DX$16&lt;$F36+($G36*$I36)),"➤",""),"")</f>
        <v/>
      </c>
      <c r="DY36" s="76" t="str">
        <f aca="false">IF($I36&gt;0%,IF(AND(DY$16&gt;=$F36,DY$16&lt;$F36+($G36*$I36)),"➤",""),"")</f>
        <v/>
      </c>
      <c r="DZ36" s="76" t="str">
        <f aca="false">IF($I36&gt;0%,IF(AND(DZ$16&gt;=$F36,DZ$16&lt;$F36+($G36*$I36)),"➤",""),"")</f>
        <v/>
      </c>
      <c r="EA36" s="76" t="str">
        <f aca="false">IF($I36&gt;0%,IF(AND(EA$16&gt;=$F36,EA$16&lt;$F36+($G36*$I36)),"➤",""),"")</f>
        <v/>
      </c>
      <c r="EB36" s="76" t="str">
        <f aca="false">IF($I36&gt;0%,IF(AND(EB$16&gt;=$F36,EB$16&lt;$F36+($G36*$I36)),"➤",""),"")</f>
        <v/>
      </c>
      <c r="EC36" s="76" t="str">
        <f aca="false">IF($I36&gt;0%,IF(AND(EC$16&gt;=$F36,EC$16&lt;$F36+($G36*$I36)),"➤",""),"")</f>
        <v/>
      </c>
      <c r="ED36" s="76" t="str">
        <f aca="false">IF($I36&gt;0%,IF(AND(ED$16&gt;=$F36,ED$16&lt;$F36+($G36*$I36)),"➤",""),"")</f>
        <v/>
      </c>
      <c r="EE36" s="76" t="str">
        <f aca="false">IF($I36&gt;0%,IF(AND(EE$16&gt;=$F36,EE$16&lt;$F36+($G36*$I36)),"➤",""),"")</f>
        <v/>
      </c>
      <c r="EF36" s="76" t="str">
        <f aca="false">IF($I36&gt;0%,IF(AND(EF$16&gt;=$F36,EF$16&lt;$F36+($G36*$I36)),"➤",""),"")</f>
        <v/>
      </c>
      <c r="EG36" s="76" t="str">
        <f aca="false">IF($I36&gt;0%,IF(AND(EG$16&gt;=$F36,EG$16&lt;$F36+($G36*$I36)),"➤",""),"")</f>
        <v/>
      </c>
      <c r="EH36" s="76" t="str">
        <f aca="false">IF($I36&gt;0%,IF(AND(EH$16&gt;=$F36,EH$16&lt;$F36+($G36*$I36)),"➤",""),"")</f>
        <v/>
      </c>
      <c r="EI36" s="76" t="str">
        <f aca="false">IF($I36&gt;0%,IF(AND(EI$16&gt;=$F36,EI$16&lt;$F36+($G36*$I36)),"➤",""),"")</f>
        <v/>
      </c>
      <c r="EJ36" s="76" t="str">
        <f aca="false">IF($I36&gt;0%,IF(AND(EJ$16&gt;=$F36,EJ$16&lt;$F36+($G36*$I36)),"➤",""),"")</f>
        <v/>
      </c>
      <c r="EK36" s="76" t="str">
        <f aca="false">IF($I36&gt;0%,IF(AND(EK$16&gt;=$F36,EK$16&lt;$F36+($G36*$I36)),"➤",""),"")</f>
        <v/>
      </c>
      <c r="EL36" s="76" t="str">
        <f aca="false">IF($I36&gt;0%,IF(AND(EL$16&gt;=$F36,EL$16&lt;$F36+($G36*$I36)),"➤",""),"")</f>
        <v/>
      </c>
      <c r="EM36" s="76" t="str">
        <f aca="false">IF($I36&gt;0%,IF(AND(EM$16&gt;=$F36,EM$16&lt;$F36+($G36*$I36)),"➤",""),"")</f>
        <v/>
      </c>
      <c r="EN36" s="76" t="str">
        <f aca="false">IF($I36&gt;0%,IF(AND(EN$16&gt;=$F36,EN$16&lt;$F36+($G36*$I36)),"➤",""),"")</f>
        <v/>
      </c>
      <c r="EO36" s="76" t="str">
        <f aca="false">IF($I36&gt;0%,IF(AND(EO$16&gt;=$F36,EO$16&lt;$F36+($G36*$I36)),"➤",""),"")</f>
        <v/>
      </c>
      <c r="EP36" s="76" t="str">
        <f aca="false">IF($I36&gt;0%,IF(AND(EP$16&gt;=$F36,EP$16&lt;$F36+($G36*$I36)),"➤",""),"")</f>
        <v/>
      </c>
      <c r="EQ36" s="76" t="str">
        <f aca="false">IF($I36&gt;0%,IF(AND(EQ$16&gt;=$F36,EQ$16&lt;$F36+($G36*$I36)),"➤",""),"")</f>
        <v/>
      </c>
      <c r="ER36" s="76" t="str">
        <f aca="false">IF($I36&gt;0%,IF(AND(ER$16&gt;=$F36,ER$16&lt;$F36+($G36*$I36)),"➤",""),"")</f>
        <v/>
      </c>
      <c r="ES36" s="76" t="str">
        <f aca="false">IF($I36&gt;0%,IF(AND(ES$16&gt;=$F36,ES$16&lt;$F36+($G36*$I36)),"➤",""),"")</f>
        <v/>
      </c>
      <c r="ET36" s="76" t="str">
        <f aca="false">IF($I36&gt;0%,IF(AND(ET$16&gt;=$F36,ET$16&lt;$F36+($G36*$I36)),"➤",""),"")</f>
        <v/>
      </c>
      <c r="EU36" s="76" t="str">
        <f aca="false">IF($I36&gt;0%,IF(AND(EU$16&gt;=$F36,EU$16&lt;$F36+($G36*$I36)),"➤",""),"")</f>
        <v/>
      </c>
      <c r="EV36" s="76" t="str">
        <f aca="false">IF($I36&gt;0%,IF(AND(EV$16&gt;=$F36,EV$16&lt;$F36+($G36*$I36)),"➤",""),"")</f>
        <v/>
      </c>
      <c r="EW36" s="76" t="str">
        <f aca="false">IF($I36&gt;0%,IF(AND(EW$16&gt;=$F36,EW$16&lt;$F36+($G36*$I36)),"➤",""),"")</f>
        <v/>
      </c>
      <c r="EX36" s="76" t="str">
        <f aca="false">IF($I36&gt;0%,IF(AND(EX$16&gt;=$F36,EX$16&lt;$F36+($G36*$I36)),"➤",""),"")</f>
        <v/>
      </c>
      <c r="EY36" s="76" t="str">
        <f aca="false">IF($I36&gt;0%,IF(AND(EY$16&gt;=$F36,EY$16&lt;$F36+($G36*$I36)),"➤",""),"")</f>
        <v/>
      </c>
      <c r="EZ36" s="76" t="str">
        <f aca="false">IF($I36&gt;0%,IF(AND(EZ$16&gt;=$F36,EZ$16&lt;$F36+($G36*$I36)),"➤",""),"")</f>
        <v/>
      </c>
      <c r="FA36" s="76" t="str">
        <f aca="false">IF($I36&gt;0%,IF(AND(FA$16&gt;=$F36,FA$16&lt;$F36+($G36*$I36)),"➤",""),"")</f>
        <v/>
      </c>
      <c r="FB36" s="76" t="str">
        <f aca="false">IF($I36&gt;0%,IF(AND(FB$16&gt;=$F36,FB$16&lt;$F36+($G36*$I36)),"➤",""),"")</f>
        <v/>
      </c>
      <c r="FC36" s="76" t="str">
        <f aca="false">IF($I36&gt;0%,IF(AND(FC$16&gt;=$F36,FC$16&lt;$F36+($G36*$I36)),"➤",""),"")</f>
        <v/>
      </c>
      <c r="FD36" s="76" t="str">
        <f aca="false">IF($I36&gt;0%,IF(AND(FD$16&gt;=$F36,FD$16&lt;$F36+($G36*$I36)),"➤",""),"")</f>
        <v/>
      </c>
      <c r="FE36" s="76" t="str">
        <f aca="false">IF($I36&gt;0%,IF(AND(FE$16&gt;=$F36,FE$16&lt;$F36+($G36*$I36)),"➤",""),"")</f>
        <v/>
      </c>
      <c r="FF36" s="76" t="str">
        <f aca="false">IF($I36&gt;0%,IF(AND(FF$16&gt;=$F36,FF$16&lt;$F36+($G36*$I36)),"➤",""),"")</f>
        <v/>
      </c>
      <c r="FG36" s="76" t="str">
        <f aca="false">IF($I36&gt;0%,IF(AND(FG$16&gt;=$F36,FG$16&lt;$F36+($G36*$I36)),"➤",""),"")</f>
        <v/>
      </c>
      <c r="FH36" s="76" t="str">
        <f aca="false">IF($I36&gt;0%,IF(AND(FH$16&gt;=$F36,FH$16&lt;$F36+($G36*$I36)),"➤",""),"")</f>
        <v/>
      </c>
      <c r="FI36" s="76" t="str">
        <f aca="false">IF($I36&gt;0%,IF(AND(FI$16&gt;=$F36,FI$16&lt;$F36+($G36*$I36)),"➤",""),"")</f>
        <v/>
      </c>
      <c r="FJ36" s="76" t="str">
        <f aca="false">IF($I36&gt;0%,IF(AND(FJ$16&gt;=$F36,FJ$16&lt;$F36+($G36*$I36)),"➤",""),"")</f>
        <v/>
      </c>
      <c r="FK36" s="76" t="str">
        <f aca="false">IF($I36&gt;0%,IF(AND(FK$16&gt;=$F36,FK$16&lt;$F36+($G36*$I36)),"➤",""),"")</f>
        <v/>
      </c>
      <c r="FL36" s="76" t="str">
        <f aca="false">IF($I36&gt;0%,IF(AND(FL$16&gt;=$F36,FL$16&lt;$F36+($G36*$I36)),"➤",""),"")</f>
        <v/>
      </c>
      <c r="FM36" s="76" t="str">
        <f aca="false">IF($I36&gt;0%,IF(AND(FM$16&gt;=$F36,FM$16&lt;$F36+($G36*$I36)),"➤",""),"")</f>
        <v/>
      </c>
      <c r="FN36" s="76" t="str">
        <f aca="false">IF($I36&gt;0%,IF(AND(FN$16&gt;=$F36,FN$16&lt;$F36+($G36*$I36)),"➤",""),"")</f>
        <v/>
      </c>
      <c r="FO36" s="76" t="str">
        <f aca="false">IF($I36&gt;0%,IF(AND(FO$16&gt;=$F36,FO$16&lt;$F36+($G36*$I36)),"➤",""),"")</f>
        <v/>
      </c>
      <c r="FP36" s="76" t="str">
        <f aca="false">IF($I36&gt;0%,IF(AND(FP$16&gt;=$F36,FP$16&lt;$F36+($G36*$I36)),"➤",""),"")</f>
        <v/>
      </c>
      <c r="FQ36" s="76" t="str">
        <f aca="false">IF($I36&gt;0%,IF(AND(FQ$16&gt;=$F36,FQ$16&lt;$F36+($G36*$I36)),"➤",""),"")</f>
        <v/>
      </c>
      <c r="FR36" s="76" t="str">
        <f aca="false">IF($I36&gt;0%,IF(AND(FR$16&gt;=$F36,FR$16&lt;$F36+($G36*$I36)),"➤",""),"")</f>
        <v/>
      </c>
      <c r="FS36" s="76" t="str">
        <f aca="false">IF($I36&gt;0%,IF(AND(FS$16&gt;=$F36,FS$16&lt;$F36+($G36*$I36)),"➤",""),"")</f>
        <v/>
      </c>
      <c r="FT36" s="76" t="str">
        <f aca="false">IF($I36&gt;0%,IF(AND(FT$16&gt;=$F36,FT$16&lt;$F36+($G36*$I36)),"➤",""),"")</f>
        <v/>
      </c>
      <c r="FU36" s="76" t="str">
        <f aca="false">IF($I36&gt;0%,IF(AND(FU$16&gt;=$F36,FU$16&lt;$F36+($G36*$I36)),"➤",""),"")</f>
        <v/>
      </c>
      <c r="FV36" s="76" t="str">
        <f aca="false">IF($I36&gt;0%,IF(AND(FV$16&gt;=$F36,FV$16&lt;$F36+($G36*$I36)),"➤",""),"")</f>
        <v/>
      </c>
      <c r="FW36" s="76" t="str">
        <f aca="false">IF($I36&gt;0%,IF(AND(FW$16&gt;=$F36,FW$16&lt;$F36+($G36*$I36)),"➤",""),"")</f>
        <v/>
      </c>
      <c r="FX36" s="76" t="str">
        <f aca="false">IF($I36&gt;0%,IF(AND(FX$16&gt;=$F36,FX$16&lt;$F36+($G36*$I36)),"➤",""),"")</f>
        <v/>
      </c>
      <c r="FY36" s="76" t="str">
        <f aca="false">IF($I36&gt;0%,IF(AND(FY$16&gt;=$F36,FY$16&lt;$F36+($G36*$I36)),"➤",""),"")</f>
        <v/>
      </c>
      <c r="FZ36" s="76" t="str">
        <f aca="false">IF($I36&gt;0%,IF(AND(FZ$16&gt;=$F36,FZ$16&lt;$F36+($G36*$I36)),"➤",""),"")</f>
        <v/>
      </c>
      <c r="GA36" s="76" t="str">
        <f aca="false">IF($I36&gt;0%,IF(AND(GA$16&gt;=$F36,GA$16&lt;$F36+($G36*$I36)),"➤",""),"")</f>
        <v/>
      </c>
      <c r="GB36" s="76" t="str">
        <f aca="false">IF($I36&gt;0%,IF(AND(GB$16&gt;=$F36,GB$16&lt;$F36+($G36*$I36)),"➤",""),"")</f>
        <v/>
      </c>
      <c r="GC36" s="76" t="str">
        <f aca="false">IF($I36&gt;0%,IF(AND(GC$16&gt;=$F36,GC$16&lt;$F36+($G36*$I36)),"➤",""),"")</f>
        <v/>
      </c>
      <c r="GD36" s="76" t="str">
        <f aca="false">IF($I36&gt;0%,IF(AND(GD$16&gt;=$F36,GD$16&lt;$F36+($G36*$I36)),"➤",""),"")</f>
        <v/>
      </c>
      <c r="GE36" s="76" t="str">
        <f aca="false">IF($I36&gt;0%,IF(AND(GE$16&gt;=$F36,GE$16&lt;$F36+($G36*$I36)),"➤",""),"")</f>
        <v/>
      </c>
      <c r="GF36" s="76" t="str">
        <f aca="false">IF($I36&gt;0%,IF(AND(GF$16&gt;=$F36,GF$16&lt;$F36+($G36*$I36)),"➤",""),"")</f>
        <v/>
      </c>
      <c r="GG36" s="76" t="str">
        <f aca="false">IF($I36&gt;0%,IF(AND(GG$16&gt;=$F36,GG$16&lt;$F36+($G36*$I36)),"➤",""),"")</f>
        <v/>
      </c>
      <c r="GH36" s="76" t="str">
        <f aca="false">IF($I36&gt;0%,IF(AND(GH$16&gt;=$F36,GH$16&lt;$F36+($G36*$I36)),"➤",""),"")</f>
        <v/>
      </c>
      <c r="GI36" s="76" t="str">
        <f aca="false">IF($I36&gt;0%,IF(AND(GI$16&gt;=$F36,GI$16&lt;$F36+($G36*$I36)),"➤",""),"")</f>
        <v/>
      </c>
      <c r="GJ36" s="76" t="str">
        <f aca="false">IF($I36&gt;0%,IF(AND(GJ$16&gt;=$F36,GJ$16&lt;$F36+($G36*$I36)),"➤",""),"")</f>
        <v/>
      </c>
      <c r="GK36" s="76" t="str">
        <f aca="false">IF($I36&gt;0%,IF(AND(GK$16&gt;=$F36,GK$16&lt;$F36+($G36*$I36)),"➤",""),"")</f>
        <v/>
      </c>
      <c r="GL36" s="76" t="str">
        <f aca="false">IF($I36&gt;0%,IF(AND(GL$16&gt;=$F36,GL$16&lt;$F36+($G36*$I36)),"➤",""),"")</f>
        <v/>
      </c>
      <c r="GM36" s="76" t="str">
        <f aca="false">IF($I36&gt;0%,IF(AND(GM$16&gt;=$F36,GM$16&lt;$F36+($G36*$I36)),"➤",""),"")</f>
        <v/>
      </c>
      <c r="GN36" s="76" t="str">
        <f aca="false">IF($I36&gt;0%,IF(AND(GN$16&gt;=$F36,GN$16&lt;$F36+($G36*$I36)),"➤",""),"")</f>
        <v/>
      </c>
      <c r="GO36" s="76" t="str">
        <f aca="false">IF($I36&gt;0%,IF(AND(GO$16&gt;=$F36,GO$16&lt;$F36+($G36*$I36)),"➤",""),"")</f>
        <v/>
      </c>
      <c r="GP36" s="76" t="str">
        <f aca="false">IF($I36&gt;0%,IF(AND(GP$16&gt;=$F36,GP$16&lt;$F36+($G36*$I36)),"➤",""),"")</f>
        <v/>
      </c>
      <c r="GQ36" s="76" t="str">
        <f aca="false">IF($I36&gt;0%,IF(AND(GQ$16&gt;=$F36,GQ$16&lt;$F36+($G36*$I36)),"➤",""),"")</f>
        <v/>
      </c>
      <c r="GR36" s="76" t="str">
        <f aca="false">IF($I36&gt;0%,IF(AND(GR$16&gt;=$F36,GR$16&lt;$F36+($G36*$I36)),"➤",""),"")</f>
        <v/>
      </c>
      <c r="GS36" s="76" t="str">
        <f aca="false">IF($I36&gt;0%,IF(AND(GS$16&gt;=$F36,GS$16&lt;$F36+($G36*$I36)),"➤",""),"")</f>
        <v/>
      </c>
      <c r="GT36" s="76" t="str">
        <f aca="false">IF($I36&gt;0%,IF(AND(GT$16&gt;=$F36,GT$16&lt;$F36+($G36*$I36)),"➤",""),"")</f>
        <v/>
      </c>
      <c r="GU36" s="76" t="str">
        <f aca="false">IF($I36&gt;0%,IF(AND(GU$16&gt;=$F36,GU$16&lt;$F36+($G36*$I36)),"➤",""),"")</f>
        <v/>
      </c>
      <c r="GV36" s="76" t="str">
        <f aca="false">IF($I36&gt;0%,IF(AND(GV$16&gt;=$F36,GV$16&lt;$F36+($G36*$I36)),"➤",""),"")</f>
        <v/>
      </c>
      <c r="GW36" s="76" t="str">
        <f aca="false">IF($I36&gt;0%,IF(AND(GW$16&gt;=$F36,GW$16&lt;$F36+($G36*$I36)),"➤",""),"")</f>
        <v/>
      </c>
      <c r="GX36" s="76" t="str">
        <f aca="false">IF($I36&gt;0%,IF(AND(GX$16&gt;=$F36,GX$16&lt;$F36+($G36*$I36)),"➤",""),"")</f>
        <v/>
      </c>
      <c r="GY36" s="76" t="str">
        <f aca="false">IF($I36&gt;0%,IF(AND(GY$16&gt;=$F36,GY$16&lt;$F36+($G36*$I36)),"➤",""),"")</f>
        <v/>
      </c>
      <c r="GZ36" s="76" t="str">
        <f aca="false">IF($I36&gt;0%,IF(AND(GZ$16&gt;=$F36,GZ$16&lt;$F36+($G36*$I36)),"➤",""),"")</f>
        <v/>
      </c>
      <c r="HA36" s="76" t="str">
        <f aca="false">IF($I36&gt;0%,IF(AND(HA$16&gt;=$F36,HA$16&lt;$F36+($G36*$I36)),"➤",""),"")</f>
        <v/>
      </c>
      <c r="HB36" s="76" t="str">
        <f aca="false">IF($I36&gt;0%,IF(AND(HB$16&gt;=$F36,HB$16&lt;$F36+($G36*$I36)),"➤",""),"")</f>
        <v/>
      </c>
      <c r="HC36" s="76" t="str">
        <f aca="false">IF($I36&gt;0%,IF(AND(HC$16&gt;=$F36,HC$16&lt;$F36+($G36*$I36)),"➤",""),"")</f>
        <v/>
      </c>
      <c r="HD36" s="76" t="str">
        <f aca="false">IF($I36&gt;0%,IF(AND(HD$16&gt;=$F36,HD$16&lt;$F36+($G36*$I36)),"➤",""),"")</f>
        <v/>
      </c>
      <c r="HE36" s="76" t="str">
        <f aca="false">IF($I36&gt;0%,IF(AND(HE$16&gt;=$F36,HE$16&lt;$F36+($G36*$I36)),"➤",""),"")</f>
        <v/>
      </c>
      <c r="HF36" s="76" t="str">
        <f aca="false">IF($I36&gt;0%,IF(AND(HF$16&gt;=$F36,HF$16&lt;$F36+($G36*$I36)),"➤",""),"")</f>
        <v/>
      </c>
      <c r="HG36" s="76" t="str">
        <f aca="false">IF($I36&gt;0%,IF(AND(HG$16&gt;=$F36,HG$16&lt;$F36+($G36*$I36)),"➤",""),"")</f>
        <v/>
      </c>
      <c r="HH36" s="76" t="str">
        <f aca="false">IF($I36&gt;0%,IF(AND(HH$16&gt;=$F36,HH$16&lt;$F36+($G36*$I36)),"➤",""),"")</f>
        <v/>
      </c>
      <c r="HI36" s="76" t="str">
        <f aca="false">IF($I36&gt;0%,IF(AND(HI$16&gt;=$F36,HI$16&lt;$F36+($G36*$I36)),"➤",""),"")</f>
        <v/>
      </c>
      <c r="HJ36" s="76" t="str">
        <f aca="false">IF($I36&gt;0%,IF(AND(HJ$16&gt;=$F36,HJ$16&lt;$F36+($G36*$I36)),"➤",""),"")</f>
        <v/>
      </c>
      <c r="HK36" s="76" t="str">
        <f aca="false">IF($I36&gt;0%,IF(AND(HK$16&gt;=$F36,HK$16&lt;$F36+($G36*$I36)),"➤",""),"")</f>
        <v/>
      </c>
      <c r="HL36" s="76" t="str">
        <f aca="false">IF($I36&gt;0%,IF(AND(HL$16&gt;=$F36,HL$16&lt;$F36+($G36*$I36)),"➤",""),"")</f>
        <v/>
      </c>
      <c r="HM36" s="76" t="str">
        <f aca="false">IF($I36&gt;0%,IF(AND(HM$16&gt;=$F36,HM$16&lt;$F36+($G36*$I36)),"➤",""),"")</f>
        <v/>
      </c>
      <c r="HN36" s="76" t="str">
        <f aca="false">IF($I36&gt;0%,IF(AND(HN$16&gt;=$F36,HN$16&lt;$F36+($G36*$I36)),"➤",""),"")</f>
        <v/>
      </c>
      <c r="HO36" s="76" t="str">
        <f aca="false">IF($I36&gt;0%,IF(AND(HO$16&gt;=$F36,HO$16&lt;$F36+($G36*$I36)),"➤",""),"")</f>
        <v/>
      </c>
      <c r="HP36" s="76" t="str">
        <f aca="false">IF($I36&gt;0%,IF(AND(HP$16&gt;=$F36,HP$16&lt;$F36+($G36*$I36)),"➤",""),"")</f>
        <v/>
      </c>
      <c r="HQ36" s="76" t="str">
        <f aca="false">IF($I36&gt;0%,IF(AND(HQ$16&gt;=$F36,HQ$16&lt;$F36+($G36*$I36)),"➤",""),"")</f>
        <v/>
      </c>
      <c r="HR36" s="76" t="str">
        <f aca="false">IF($I36&gt;0%,IF(AND(HR$16&gt;=$F36,HR$16&lt;$F36+($G36*$I36)),"➤",""),"")</f>
        <v/>
      </c>
      <c r="HS36" s="76" t="str">
        <f aca="false">IF($I36&gt;0%,IF(AND(HS$16&gt;=$F36,HS$16&lt;$F36+($G36*$I36)),"➤",""),"")</f>
        <v/>
      </c>
      <c r="HT36" s="76" t="str">
        <f aca="false">IF($I36&gt;0%,IF(AND(HT$16&gt;=$F36,HT$16&lt;$F36+($G36*$I36)),"➤",""),"")</f>
        <v/>
      </c>
      <c r="HU36" s="76" t="str">
        <f aca="false">IF($I36&gt;0%,IF(AND(HU$16&gt;=$F36,HU$16&lt;$F36+($G36*$I36)),"➤",""),"")</f>
        <v/>
      </c>
      <c r="HV36" s="76" t="str">
        <f aca="false">IF($I36&gt;0%,IF(AND(HV$16&gt;=$F36,HV$16&lt;$F36+($G36*$I36)),"➤",""),"")</f>
        <v/>
      </c>
      <c r="HW36" s="76" t="str">
        <f aca="false">IF($I36&gt;0%,IF(AND(HW$16&gt;=$F36,HW$16&lt;$F36+($G36*$I36)),"➤",""),"")</f>
        <v/>
      </c>
      <c r="HX36" s="76" t="str">
        <f aca="false">IF($I36&gt;0%,IF(AND(HX$16&gt;=$F36,HX$16&lt;$F36+($G36*$I36)),"➤",""),"")</f>
        <v/>
      </c>
      <c r="HY36" s="76" t="str">
        <f aca="false">IF($I36&gt;0%,IF(AND(HY$16&gt;=$F36,HY$16&lt;$F36+($G36*$I36)),"➤",""),"")</f>
        <v/>
      </c>
      <c r="HZ36" s="76" t="str">
        <f aca="false">IF($I36&gt;0%,IF(AND(HZ$16&gt;=$F36,HZ$16&lt;$F36+($G36*$I36)),"➤",""),"")</f>
        <v/>
      </c>
      <c r="IA36" s="76" t="str">
        <f aca="false">IF($I36&gt;0%,IF(AND(IA$16&gt;=$F36,IA$16&lt;$F36+($G36*$I36)),"➤",""),"")</f>
        <v/>
      </c>
      <c r="IB36" s="76" t="str">
        <f aca="false">IF($I36&gt;0%,IF(AND(IB$16&gt;=$F36,IB$16&lt;$F36+($G36*$I36)),"➤",""),"")</f>
        <v/>
      </c>
      <c r="IC36" s="76" t="str">
        <f aca="false">IF($I36&gt;0%,IF(AND(IC$16&gt;=$F36,IC$16&lt;$F36+($G36*$I36)),"➤",""),"")</f>
        <v/>
      </c>
      <c r="ID36" s="76" t="str">
        <f aca="false">IF($I36&gt;0%,IF(AND(ID$16&gt;=$F36,ID$16&lt;$F36+($G36*$I36)),"➤",""),"")</f>
        <v/>
      </c>
      <c r="IE36" s="76" t="str">
        <f aca="false">IF($I36&gt;0%,IF(AND(IE$16&gt;=$F36,IE$16&lt;$F36+($G36*$I36)),"➤",""),"")</f>
        <v/>
      </c>
      <c r="IF36" s="76" t="str">
        <f aca="false">IF($I36&gt;0%,IF(AND(IF$16&gt;=$F36,IF$16&lt;$F36+($G36*$I36)),"➤",""),"")</f>
        <v/>
      </c>
      <c r="IG36" s="76" t="str">
        <f aca="false">IF($I36&gt;0%,IF(AND(IG$16&gt;=$F36,IG$16&lt;$F36+($G36*$I36)),"➤",""),"")</f>
        <v/>
      </c>
      <c r="IH36" s="76" t="str">
        <f aca="false">IF($I36&gt;0%,IF(AND(IH$16&gt;=$F36,IH$16&lt;$F36+($G36*$I36)),"➤",""),"")</f>
        <v/>
      </c>
      <c r="II36" s="76" t="str">
        <f aca="false">IF($I36&gt;0%,IF(AND(II$16&gt;=$F36,II$16&lt;$F36+($G36*$I36)),"➤",""),"")</f>
        <v/>
      </c>
      <c r="IJ36" s="76" t="str">
        <f aca="false">IF($I36&gt;0%,IF(AND(IJ$16&gt;=$F36,IJ$16&lt;$F36+($G36*$I36)),"➤",""),"")</f>
        <v/>
      </c>
      <c r="IK36" s="76" t="str">
        <f aca="false">IF($I36&gt;0%,IF(AND(IK$16&gt;=$F36,IK$16&lt;$F36+($G36*$I36)),"➤",""),"")</f>
        <v/>
      </c>
      <c r="IL36" s="76" t="str">
        <f aca="false">IF($I36&gt;0%,IF(AND(IL$16&gt;=$F36,IL$16&lt;$F36+($G36*$I36)),"➤",""),"")</f>
        <v/>
      </c>
      <c r="IM36" s="76" t="str">
        <f aca="false">IF($I36&gt;0%,IF(AND(IM$16&gt;=$F36,IM$16&lt;$F36+($G36*$I36)),"➤",""),"")</f>
        <v/>
      </c>
      <c r="IN36" s="76" t="str">
        <f aca="false">IF($I36&gt;0%,IF(AND(IN$16&gt;=$F36,IN$16&lt;$F36+($G36*$I36)),"➤",""),"")</f>
        <v/>
      </c>
      <c r="IO36" s="76" t="str">
        <f aca="false">IF($I36&gt;0%,IF(AND(IO$16&gt;=$F36,IO$16&lt;$F36+($G36*$I36)),"➤",""),"")</f>
        <v/>
      </c>
      <c r="IP36" s="76" t="str">
        <f aca="false">IF($I36&gt;0%,IF(AND(IP$16&gt;=$F36,IP$16&lt;$F36+($G36*$I36)),"➤",""),"")</f>
        <v/>
      </c>
      <c r="IQ36" s="76" t="str">
        <f aca="false">IF($I36&gt;0%,IF(AND(IQ$16&gt;=$F36,IQ$16&lt;$F36+($G36*$I36)),"➤",""),"")</f>
        <v/>
      </c>
      <c r="IR36" s="76" t="str">
        <f aca="false">IF($I36&gt;0%,IF(AND(IR$16&gt;=$F36,IR$16&lt;$F36+($G36*$I36)),"➤",""),"")</f>
        <v/>
      </c>
      <c r="IS36" s="76" t="str">
        <f aca="false">IF($I36&gt;0%,IF(AND(IS$16&gt;=$F36,IS$16&lt;$F36+($G36*$I36)),"➤",""),"")</f>
        <v/>
      </c>
      <c r="IT36" s="76" t="str">
        <f aca="false">IF($I36&gt;0%,IF(AND(IT$16&gt;=$F36,IT$16&lt;$F36+($G36*$I36)),"➤",""),"")</f>
        <v/>
      </c>
      <c r="IU36" s="76" t="str">
        <f aca="false">IF($I36&gt;0%,IF(AND(IU$16&gt;=$F36,IU$16&lt;$F36+($G36*$I36)),"➤",""),"")</f>
        <v/>
      </c>
      <c r="IV36" s="76" t="str">
        <f aca="false">IF($I36&gt;0%,IF(AND(IV$16&gt;=$F36,IV$16&lt;$F36+($G36*$I36)),"➤",""),"")</f>
        <v/>
      </c>
      <c r="IW36" s="76" t="str">
        <f aca="false">IF($I36&gt;0%,IF(AND(IW$16&gt;=$F36,IW$16&lt;$F36+($G36*$I36)),"➤",""),"")</f>
        <v/>
      </c>
      <c r="IX36" s="76" t="str">
        <f aca="false">IF($I36&gt;0%,IF(AND(IX$16&gt;=$F36,IX$16&lt;$F36+($G36*$I36)),"➤",""),"")</f>
        <v/>
      </c>
      <c r="IY36" s="76" t="str">
        <f aca="false">IF($I36&gt;0%,IF(AND(IY$16&gt;=$F36,IY$16&lt;$F36+($G36*$I36)),"➤",""),"")</f>
        <v/>
      </c>
      <c r="IZ36" s="76" t="str">
        <f aca="false">IF($I36&gt;0%,IF(AND(IZ$16&gt;=$F36,IZ$16&lt;$F36+($G36*$I36)),"➤",""),"")</f>
        <v/>
      </c>
      <c r="JA36" s="76" t="str">
        <f aca="false">IF($I36&gt;0%,IF(AND(JA$16&gt;=$F36,JA$16&lt;$F36+($G36*$I36)),"➤",""),"")</f>
        <v/>
      </c>
      <c r="JB36" s="76" t="str">
        <f aca="false">IF($I36&gt;0%,IF(AND(JB$16&gt;=$F36,JB$16&lt;$F36+($G36*$I36)),"➤",""),"")</f>
        <v/>
      </c>
      <c r="JC36" s="76" t="str">
        <f aca="false">IF($I36&gt;0%,IF(AND(JC$16&gt;=$F36,JC$16&lt;$F36+($G36*$I36)),"➤",""),"")</f>
        <v/>
      </c>
      <c r="JD36" s="76" t="str">
        <f aca="false">IF($I36&gt;0%,IF(AND(JD$16&gt;=$F36,JD$16&lt;$F36+($G36*$I36)),"➤",""),"")</f>
        <v/>
      </c>
      <c r="JE36" s="76" t="str">
        <f aca="false">IF($I36&gt;0%,IF(AND(JE$16&gt;=$F36,JE$16&lt;$F36+($G36*$I36)),"➤",""),"")</f>
        <v/>
      </c>
      <c r="JF36" s="76" t="str">
        <f aca="false">IF($I36&gt;0%,IF(AND(JF$16&gt;=$F36,JF$16&lt;$F36+($G36*$I36)),"➤",""),"")</f>
        <v/>
      </c>
      <c r="JG36" s="76" t="str">
        <f aca="false">IF($I36&gt;0%,IF(AND(JG$16&gt;=$F36,JG$16&lt;$F36+($G36*$I36)),"➤",""),"")</f>
        <v/>
      </c>
      <c r="JH36" s="76" t="str">
        <f aca="false">IF($I36&gt;0%,IF(AND(JH$16&gt;=$F36,JH$16&lt;$F36+($G36*$I36)),"➤",""),"")</f>
        <v/>
      </c>
      <c r="JI36" s="76" t="str">
        <f aca="false">IF($I36&gt;0%,IF(AND(JI$16&gt;=$F36,JI$16&lt;$F36+($G36*$I36)),"➤",""),"")</f>
        <v/>
      </c>
      <c r="JJ36" s="76" t="str">
        <f aca="false">IF($I36&gt;0%,IF(AND(JJ$16&gt;=$F36,JJ$16&lt;$F36+($G36*$I36)),"➤",""),"")</f>
        <v/>
      </c>
      <c r="JK36" s="76" t="str">
        <f aca="false">IF($I36&gt;0%,IF(AND(JK$16&gt;=$F36,JK$16&lt;$F36+($G36*$I36)),"➤",""),"")</f>
        <v/>
      </c>
      <c r="JL36" s="76" t="str">
        <f aca="false">IF($I36&gt;0%,IF(AND(JL$16&gt;=$F36,JL$16&lt;$F36+($G36*$I36)),"➤",""),"")</f>
        <v/>
      </c>
      <c r="JM36" s="76" t="str">
        <f aca="false">IF($I36&gt;0%,IF(AND(JM$16&gt;=$F36,JM$16&lt;$F36+($G36*$I36)),"➤",""),"")</f>
        <v/>
      </c>
      <c r="JN36" s="76" t="str">
        <f aca="false">IF($I36&gt;0%,IF(AND(JN$16&gt;=$F36,JN$16&lt;$F36+($G36*$I36)),"➤",""),"")</f>
        <v/>
      </c>
      <c r="JO36" s="76" t="str">
        <f aca="false">IF($I36&gt;0%,IF(AND(JO$16&gt;=$F36,JO$16&lt;$F36+($G36*$I36)),"➤",""),"")</f>
        <v/>
      </c>
      <c r="JP36" s="76" t="str">
        <f aca="false">IF($I36&gt;0%,IF(AND(JP$16&gt;=$F36,JP$16&lt;$F36+($G36*$I36)),"➤",""),"")</f>
        <v/>
      </c>
      <c r="JQ36" s="76" t="str">
        <f aca="false">IF($I36&gt;0%,IF(AND(JQ$16&gt;=$F36,JQ$16&lt;$F36+($G36*$I36)),"➤",""),"")</f>
        <v/>
      </c>
      <c r="JR36" s="76" t="str">
        <f aca="false">IF($I36&gt;0%,IF(AND(JR$16&gt;=$F36,JR$16&lt;$F36+($G36*$I36)),"➤",""),"")</f>
        <v/>
      </c>
      <c r="JS36" s="76" t="str">
        <f aca="false">IF($I36&gt;0%,IF(AND(JS$16&gt;=$F36,JS$16&lt;$F36+($G36*$I36)),"➤",""),"")</f>
        <v/>
      </c>
      <c r="JT36" s="76" t="str">
        <f aca="false">IF($I36&gt;0%,IF(AND(JT$16&gt;=$F36,JT$16&lt;$F36+($G36*$I36)),"➤",""),"")</f>
        <v/>
      </c>
      <c r="JU36" s="76" t="str">
        <f aca="false">IF($I36&gt;0%,IF(AND(JU$16&gt;=$F36,JU$16&lt;$F36+($G36*$I36)),"➤",""),"")</f>
        <v/>
      </c>
      <c r="JV36" s="76" t="str">
        <f aca="false">IF($I36&gt;0%,IF(AND(JV$16&gt;=$F36,JV$16&lt;$F36+($G36*$I36)),"➤",""),"")</f>
        <v/>
      </c>
      <c r="JW36" s="76" t="str">
        <f aca="false">IF($I36&gt;0%,IF(AND(JW$16&gt;=$F36,JW$16&lt;$F36+($G36*$I36)),"➤",""),"")</f>
        <v/>
      </c>
      <c r="JX36" s="76" t="str">
        <f aca="false">IF($I36&gt;0%,IF(AND(JX$16&gt;=$F36,JX$16&lt;$F36+($G36*$I36)),"➤",""),"")</f>
        <v/>
      </c>
      <c r="JY36" s="76" t="str">
        <f aca="false">IF($I36&gt;0%,IF(AND(JY$16&gt;=$F36,JY$16&lt;$F36+($G36*$I36)),"➤",""),"")</f>
        <v/>
      </c>
      <c r="JZ36" s="76" t="str">
        <f aca="false">IF($I36&gt;0%,IF(AND(JZ$16&gt;=$F36,JZ$16&lt;$F36+($G36*$I36)),"➤",""),"")</f>
        <v/>
      </c>
      <c r="KA36" s="76" t="str">
        <f aca="false">IF($I36&gt;0%,IF(AND(KA$16&gt;=$F36,KA$16&lt;$F36+($G36*$I36)),"➤",""),"")</f>
        <v/>
      </c>
      <c r="KB36" s="76" t="str">
        <f aca="false">IF($I36&gt;0%,IF(AND(KB$16&gt;=$F36,KB$16&lt;$F36+($G36*$I36)),"➤",""),"")</f>
        <v/>
      </c>
      <c r="KC36" s="76" t="str">
        <f aca="false">IF($I36&gt;0%,IF(AND(KC$16&gt;=$F36,KC$16&lt;$F36+($G36*$I36)),"➤",""),"")</f>
        <v/>
      </c>
      <c r="KD36" s="76" t="str">
        <f aca="false">IF($I36&gt;0%,IF(AND(KD$16&gt;=$F36,KD$16&lt;$F36+($G36*$I36)),"➤",""),"")</f>
        <v/>
      </c>
      <c r="KE36" s="76" t="str">
        <f aca="false">IF($I36&gt;0%,IF(AND(KE$16&gt;=$F36,KE$16&lt;$F36+($G36*$I36)),"➤",""),"")</f>
        <v/>
      </c>
      <c r="KF36" s="76" t="str">
        <f aca="false">IF($I36&gt;0%,IF(AND(KF$16&gt;=$F36,KF$16&lt;$F36+($G36*$I36)),"➤",""),"")</f>
        <v/>
      </c>
      <c r="KG36" s="76" t="str">
        <f aca="false">IF($I36&gt;0%,IF(AND(KG$16&gt;=$F36,KG$16&lt;$F36+($G36*$I36)),"➤",""),"")</f>
        <v/>
      </c>
      <c r="KH36" s="76" t="str">
        <f aca="false">IF($I36&gt;0%,IF(AND(KH$16&gt;=$F36,KH$16&lt;$F36+($G36*$I36)),"➤",""),"")</f>
        <v/>
      </c>
      <c r="KI36" s="76" t="str">
        <f aca="false">IF($I36&gt;0%,IF(AND(KI$16&gt;=$F36,KI$16&lt;$F36+($G36*$I36)),"➤",""),"")</f>
        <v/>
      </c>
      <c r="KJ36" s="76" t="str">
        <f aca="false">IF($I36&gt;0%,IF(AND(KJ$16&gt;=$F36,KJ$16&lt;$F36+($G36*$I36)),"➤",""),"")</f>
        <v/>
      </c>
      <c r="KK36" s="76" t="str">
        <f aca="false">IF($I36&gt;0%,IF(AND(KK$16&gt;=$F36,KK$16&lt;$F36+($G36*$I36)),"➤",""),"")</f>
        <v/>
      </c>
      <c r="KL36" s="76" t="str">
        <f aca="false">IF($I36&gt;0%,IF(AND(KL$16&gt;=$F36,KL$16&lt;$F36+($G36*$I36)),"➤",""),"")</f>
        <v/>
      </c>
      <c r="KM36" s="76" t="str">
        <f aca="false">IF($I36&gt;0%,IF(AND(KM$16&gt;=$F36,KM$16&lt;$F36+($G36*$I36)),"➤",""),"")</f>
        <v/>
      </c>
      <c r="KN36" s="76" t="str">
        <f aca="false">IF($I36&gt;0%,IF(AND(KN$16&gt;=$F36,KN$16&lt;$F36+($G36*$I36)),"➤",""),"")</f>
        <v/>
      </c>
      <c r="KO36" s="76" t="str">
        <f aca="false">IF($I36&gt;0%,IF(AND(KO$16&gt;=$F36,KO$16&lt;$F36+($G36*$I36)),"➤",""),"")</f>
        <v/>
      </c>
      <c r="KP36" s="76" t="str">
        <f aca="false">IF($I36&gt;0%,IF(AND(KP$16&gt;=$F36,KP$16&lt;$F36+($G36*$I36)),"➤",""),"")</f>
        <v/>
      </c>
      <c r="KQ36" s="76" t="str">
        <f aca="false">IF($I36&gt;0%,IF(AND(KQ$16&gt;=$F36,KQ$16&lt;$F36+($G36*$I36)),"➤",""),"")</f>
        <v/>
      </c>
      <c r="KR36" s="76" t="str">
        <f aca="false">IF($I36&gt;0%,IF(AND(KR$16&gt;=$F36,KR$16&lt;$F36+($G36*$I36)),"➤",""),"")</f>
        <v/>
      </c>
      <c r="KS36" s="76" t="str">
        <f aca="false">IF($I36&gt;0%,IF(AND(KS$16&gt;=$F36,KS$16&lt;$F36+($G36*$I36)),"➤",""),"")</f>
        <v/>
      </c>
      <c r="KT36" s="76" t="str">
        <f aca="false">IF($I36&gt;0%,IF(AND(KT$16&gt;=$F36,KT$16&lt;$F36+($G36*$I36)),"➤",""),"")</f>
        <v/>
      </c>
      <c r="KU36" s="76" t="str">
        <f aca="false">IF($I36&gt;0%,IF(AND(KU$16&gt;=$F36,KU$16&lt;$F36+($G36*$I36)),"➤",""),"")</f>
        <v/>
      </c>
      <c r="KV36" s="76" t="str">
        <f aca="false">IF($I36&gt;0%,IF(AND(KV$16&gt;=$F36,KV$16&lt;$F36+($G36*$I36)),"➤",""),"")</f>
        <v/>
      </c>
      <c r="KW36" s="76" t="str">
        <f aca="false">IF($I36&gt;0%,IF(AND(KW$16&gt;=$F36,KW$16&lt;$F36+($G36*$I36)),"➤",""),"")</f>
        <v/>
      </c>
      <c r="KX36" s="76" t="str">
        <f aca="false">IF($I36&gt;0%,IF(AND(KX$16&gt;=$F36,KX$16&lt;$F36+($G36*$I36)),"➤",""),"")</f>
        <v/>
      </c>
      <c r="KY36" s="76" t="str">
        <f aca="false">IF($I36&gt;0%,IF(AND(KY$16&gt;=$F36,KY$16&lt;$F36+($G36*$I36)),"➤",""),"")</f>
        <v/>
      </c>
      <c r="KZ36" s="76" t="str">
        <f aca="false">IF($I36&gt;0%,IF(AND(KZ$16&gt;=$F36,KZ$16&lt;$F36+($G36*$I36)),"➤",""),"")</f>
        <v/>
      </c>
      <c r="LA36" s="76" t="str">
        <f aca="false">IF($I36&gt;0%,IF(AND(LA$16&gt;=$F36,LA$16&lt;$F36+($G36*$I36)),"➤",""),"")</f>
        <v/>
      </c>
      <c r="LB36" s="76" t="str">
        <f aca="false">IF($I36&gt;0%,IF(AND(LB$16&gt;=$F36,LB$16&lt;$F36+($G36*$I36)),"➤",""),"")</f>
        <v/>
      </c>
      <c r="LC36" s="76" t="str">
        <f aca="false">IF($I36&gt;0%,IF(AND(LC$16&gt;=$F36,LC$16&lt;$F36+($G36*$I36)),"➤",""),"")</f>
        <v/>
      </c>
      <c r="LD36" s="76" t="str">
        <f aca="false">IF($I36&gt;0%,IF(AND(LD$16&gt;=$F36,LD$16&lt;$F36+($G36*$I36)),"➤",""),"")</f>
        <v/>
      </c>
      <c r="LE36" s="76" t="str">
        <f aca="false">IF($I36&gt;0%,IF(AND(LE$16&gt;=$F36,LE$16&lt;$F36+($G36*$I36)),"➤",""),"")</f>
        <v/>
      </c>
      <c r="LF36" s="76" t="str">
        <f aca="false">IF($I36&gt;0%,IF(AND(LF$16&gt;=$F36,LF$16&lt;$F36+($G36*$I36)),"➤",""),"")</f>
        <v/>
      </c>
      <c r="LG36" s="76" t="str">
        <f aca="false">IF($I36&gt;0%,IF(AND(LG$16&gt;=$F36,LG$16&lt;$F36+($G36*$I36)),"➤",""),"")</f>
        <v/>
      </c>
      <c r="LH36" s="76" t="str">
        <f aca="false">IF($I36&gt;0%,IF(AND(LH$16&gt;=$F36,LH$16&lt;$F36+($G36*$I36)),"➤",""),"")</f>
        <v/>
      </c>
      <c r="LI36" s="76" t="str">
        <f aca="false">IF($I36&gt;0%,IF(AND(LI$16&gt;=$F36,LI$16&lt;$F36+($G36*$I36)),"➤",""),"")</f>
        <v/>
      </c>
      <c r="LJ36" s="76" t="str">
        <f aca="false">IF($I36&gt;0%,IF(AND(LJ$16&gt;=$F36,LJ$16&lt;$F36+($G36*$I36)),"➤",""),"")</f>
        <v/>
      </c>
      <c r="LK36" s="76" t="str">
        <f aca="false">IF($I36&gt;0%,IF(AND(LK$16&gt;=$F36,LK$16&lt;$F36+($G36*$I36)),"➤",""),"")</f>
        <v/>
      </c>
      <c r="LL36" s="76" t="str">
        <f aca="false">IF($I36&gt;0%,IF(AND(LL$16&gt;=$F36,LL$16&lt;$F36+($G36*$I36)),"➤",""),"")</f>
        <v/>
      </c>
      <c r="LM36" s="76" t="str">
        <f aca="false">IF($I36&gt;0%,IF(AND(LM$16&gt;=$F36,LM$16&lt;$F36+($G36*$I36)),"➤",""),"")</f>
        <v/>
      </c>
      <c r="LN36" s="76" t="str">
        <f aca="false">IF($I36&gt;0%,IF(AND(LN$16&gt;=$F36,LN$16&lt;$F36+($G36*$I36)),"➤",""),"")</f>
        <v/>
      </c>
      <c r="LO36" s="76" t="str">
        <f aca="false">IF($I36&gt;0%,IF(AND(LO$16&gt;=$F36,LO$16&lt;$F36+($G36*$I36)),"➤",""),"")</f>
        <v/>
      </c>
      <c r="LP36" s="76" t="str">
        <f aca="false">IF($I36&gt;0%,IF(AND(LP$16&gt;=$F36,LP$16&lt;$F36+($G36*$I36)),"➤",""),"")</f>
        <v/>
      </c>
      <c r="LQ36" s="76" t="str">
        <f aca="false">IF($I36&gt;0%,IF(AND(LQ$16&gt;=$F36,LQ$16&lt;$F36+($G36*$I36)),"➤",""),"")</f>
        <v/>
      </c>
      <c r="LR36" s="76" t="str">
        <f aca="false">IF($I36&gt;0%,IF(AND(LR$16&gt;=$F36,LR$16&lt;$F36+($G36*$I36)),"➤",""),"")</f>
        <v/>
      </c>
      <c r="LS36" s="76" t="str">
        <f aca="false">IF($I36&gt;0%,IF(AND(LS$16&gt;=$F36,LS$16&lt;$F36+($G36*$I36)),"➤",""),"")</f>
        <v/>
      </c>
      <c r="LT36" s="76" t="str">
        <f aca="false">IF($I36&gt;0%,IF(AND(LT$16&gt;=$F36,LT$16&lt;$F36+($G36*$I36)),"➤",""),"")</f>
        <v/>
      </c>
      <c r="LU36" s="76" t="str">
        <f aca="false">IF($I36&gt;0%,IF(AND(LU$16&gt;=$F36,LU$16&lt;$F36+($G36*$I36)),"➤",""),"")</f>
        <v/>
      </c>
      <c r="LV36" s="76" t="str">
        <f aca="false">IF($I36&gt;0%,IF(AND(LV$16&gt;=$F36,LV$16&lt;$F36+($G36*$I36)),"➤",""),"")</f>
        <v/>
      </c>
      <c r="LW36" s="76" t="str">
        <f aca="false">IF($I36&gt;0%,IF(AND(LW$16&gt;=$F36,LW$16&lt;$F36+($G36*$I36)),"➤",""),"")</f>
        <v/>
      </c>
      <c r="LX36" s="76" t="str">
        <f aca="false">IF($I36&gt;0%,IF(AND(LX$16&gt;=$F36,LX$16&lt;$F36+($G36*$I36)),"➤",""),"")</f>
        <v/>
      </c>
      <c r="LY36" s="76" t="str">
        <f aca="false">IF($I36&gt;0%,IF(AND(LY$16&gt;=$F36,LY$16&lt;$F36+($G36*$I36)),"➤",""),"")</f>
        <v/>
      </c>
      <c r="LZ36" s="76" t="str">
        <f aca="false">IF($I36&gt;0%,IF(AND(LZ$16&gt;=$F36,LZ$16&lt;$F36+($G36*$I36)),"➤",""),"")</f>
        <v/>
      </c>
      <c r="MA36" s="76" t="str">
        <f aca="false">IF($I36&gt;0%,IF(AND(MA$16&gt;=$F36,MA$16&lt;$F36+($G36*$I36)),"➤",""),"")</f>
        <v/>
      </c>
      <c r="MB36" s="76" t="str">
        <f aca="false">IF($I36&gt;0%,IF(AND(MB$16&gt;=$F36,MB$16&lt;$F36+($G36*$I36)),"➤",""),"")</f>
        <v/>
      </c>
      <c r="MC36" s="76" t="str">
        <f aca="false">IF($I36&gt;0%,IF(AND(MC$16&gt;=$F36,MC$16&lt;$F36+($G36*$I36)),"➤",""),"")</f>
        <v/>
      </c>
      <c r="MD36" s="76" t="str">
        <f aca="false">IF($I36&gt;0%,IF(AND(MD$16&gt;=$F36,MD$16&lt;$F36+($G36*$I36)),"➤",""),"")</f>
        <v/>
      </c>
      <c r="ME36" s="76" t="str">
        <f aca="false">IF($I36&gt;0%,IF(AND(ME$16&gt;=$F36,ME$16&lt;$F36+($G36*$I36)),"➤",""),"")</f>
        <v/>
      </c>
      <c r="MF36" s="76" t="str">
        <f aca="false">IF($I36&gt;0%,IF(AND(MF$16&gt;=$F36,MF$16&lt;$F36+($G36*$I36)),"➤",""),"")</f>
        <v/>
      </c>
      <c r="MG36" s="76" t="str">
        <f aca="false">IF($I36&gt;0%,IF(AND(MG$16&gt;=$F36,MG$16&lt;$F36+($G36*$I36)),"➤",""),"")</f>
        <v/>
      </c>
      <c r="MH36" s="76" t="str">
        <f aca="false">IF($I36&gt;0%,IF(AND(MH$16&gt;=$F36,MH$16&lt;$F36+($G36*$I36)),"➤",""),"")</f>
        <v/>
      </c>
      <c r="MI36" s="76" t="str">
        <f aca="false">IF($I36&gt;0%,IF(AND(MI$16&gt;=$F36,MI$16&lt;$F36+($G36*$I36)),"➤",""),"")</f>
        <v/>
      </c>
      <c r="MJ36" s="76" t="str">
        <f aca="false">IF($I36&gt;0%,IF(AND(MJ$16&gt;=$F36,MJ$16&lt;$F36+($G36*$I36)),"➤",""),"")</f>
        <v/>
      </c>
      <c r="MK36" s="76" t="str">
        <f aca="false">IF($I36&gt;0%,IF(AND(MK$16&gt;=$F36,MK$16&lt;$F36+($G36*$I36)),"➤",""),"")</f>
        <v/>
      </c>
      <c r="ML36" s="76" t="str">
        <f aca="false">IF($I36&gt;0%,IF(AND(ML$16&gt;=$F36,ML$16&lt;$F36+($G36*$I36)),"➤",""),"")</f>
        <v/>
      </c>
      <c r="MM36" s="76" t="str">
        <f aca="false">IF($I36&gt;0%,IF(AND(MM$16&gt;=$F36,MM$16&lt;$F36+($G36*$I36)),"➤",""),"")</f>
        <v/>
      </c>
      <c r="MN36" s="76" t="str">
        <f aca="false">IF($I36&gt;0%,IF(AND(MN$16&gt;=$F36,MN$16&lt;$F36+($G36*$I36)),"➤",""),"")</f>
        <v/>
      </c>
      <c r="MO36" s="76" t="str">
        <f aca="false">IF($I36&gt;0%,IF(AND(MO$16&gt;=$F36,MO$16&lt;$F36+($G36*$I36)),"➤",""),"")</f>
        <v/>
      </c>
      <c r="MP36" s="76" t="str">
        <f aca="false">IF($I36&gt;0%,IF(AND(MP$16&gt;=$F36,MP$16&lt;$F36+($G36*$I36)),"➤",""),"")</f>
        <v/>
      </c>
      <c r="MQ36" s="76" t="str">
        <f aca="false">IF($I36&gt;0%,IF(AND(MQ$16&gt;=$F36,MQ$16&lt;$F36+($G36*$I36)),"➤",""),"")</f>
        <v/>
      </c>
      <c r="MR36" s="76" t="str">
        <f aca="false">IF($I36&gt;0%,IF(AND(MR$16&gt;=$F36,MR$16&lt;$F36+($G36*$I36)),"➤",""),"")</f>
        <v/>
      </c>
      <c r="MS36" s="76" t="str">
        <f aca="false">IF($I36&gt;0%,IF(AND(MS$16&gt;=$F36,MS$16&lt;$F36+($G36*$I36)),"➤",""),"")</f>
        <v/>
      </c>
      <c r="MT36" s="76" t="str">
        <f aca="false">IF($I36&gt;0%,IF(AND(MT$16&gt;=$F36,MT$16&lt;$F36+($G36*$I36)),"➤",""),"")</f>
        <v/>
      </c>
      <c r="MU36" s="76" t="str">
        <f aca="false">IF($I36&gt;0%,IF(AND(MU$16&gt;=$F36,MU$16&lt;$F36+($G36*$I36)),"➤",""),"")</f>
        <v/>
      </c>
      <c r="MV36" s="76" t="str">
        <f aca="false">IF($I36&gt;0%,IF(AND(MV$16&gt;=$F36,MV$16&lt;$F36+($G36*$I36)),"➤",""),"")</f>
        <v/>
      </c>
      <c r="MW36" s="76" t="str">
        <f aca="false">IF($I36&gt;0%,IF(AND(MW$16&gt;=$F36,MW$16&lt;$F36+($G36*$I36)),"➤",""),"")</f>
        <v/>
      </c>
      <c r="MX36" s="76" t="str">
        <f aca="false">IF($I36&gt;0%,IF(AND(MX$16&gt;=$F36,MX$16&lt;$F36+($G36*$I36)),"➤",""),"")</f>
        <v/>
      </c>
      <c r="MY36" s="76" t="str">
        <f aca="false">IF($I36&gt;0%,IF(AND(MY$16&gt;=$F36,MY$16&lt;$F36+($G36*$I36)),"➤",""),"")</f>
        <v/>
      </c>
      <c r="MZ36" s="76" t="str">
        <f aca="false">IF($I36&gt;0%,IF(AND(MZ$16&gt;=$F36,MZ$16&lt;$F36+($G36*$I36)),"➤",""),"")</f>
        <v/>
      </c>
      <c r="NA36" s="76" t="str">
        <f aca="false">IF($I36&gt;0%,IF(AND(NA$16&gt;=$F36,NA$16&lt;$F36+($G36*$I36)),"➤",""),"")</f>
        <v/>
      </c>
      <c r="NB36" s="76" t="str">
        <f aca="false">IF($I36&gt;0%,IF(AND(NB$16&gt;=$F36,NB$16&lt;$F36+($G36*$I36)),"➤",""),"")</f>
        <v/>
      </c>
      <c r="NC36" s="76" t="str">
        <f aca="false">IF($I36&gt;0%,IF(AND(NC$16&gt;=$F36,NC$16&lt;$F36+($G36*$I36)),"➤",""),"")</f>
        <v/>
      </c>
      <c r="ND36" s="76" t="str">
        <f aca="false">IF($I36&gt;0%,IF(AND(ND$16&gt;=$F36,ND$16&lt;$F36+($G36*$I36)),"➤",""),"")</f>
        <v/>
      </c>
      <c r="NE36" s="76" t="str">
        <f aca="false">IF($I36&gt;0%,IF(AND(NE$16&gt;=$F36,NE$16&lt;$F36+($G36*$I36)),"➤",""),"")</f>
        <v/>
      </c>
      <c r="NF36" s="76" t="str">
        <f aca="false">IF($I36&gt;0%,IF(AND(NF$16&gt;=$F36,NF$16&lt;$F36+($G36*$I36)),"➤",""),"")</f>
        <v/>
      </c>
      <c r="NG36" s="76" t="str">
        <f aca="false">IF($I36&gt;0%,IF(AND(NG$16&gt;=$F36,NG$16&lt;$F36+($G36*$I36)),"➤",""),"")</f>
        <v/>
      </c>
      <c r="NH36" s="76" t="str">
        <f aca="false">IF($I36&gt;0%,IF(AND(NH$16&gt;=$F36,NH$16&lt;$F36+($G36*$I36)),"➤",""),"")</f>
        <v/>
      </c>
      <c r="NI36" s="76" t="str">
        <f aca="false">IF($I36&gt;0%,IF(AND(NI$16&gt;=$F36,NI$16&lt;$F36+($G36*$I36)),"➤",""),"")</f>
        <v/>
      </c>
      <c r="NJ36" s="76" t="str">
        <f aca="false">IF($I36&gt;0%,IF(AND(NJ$16&gt;=$F36,NJ$16&lt;$F36+($G36*$I36)),"➤",""),"")</f>
        <v/>
      </c>
      <c r="NK36" s="76" t="str">
        <f aca="false">IF($I36&gt;0%,IF(AND(NK$16&gt;=$F36,NK$16&lt;$F36+($G36*$I36)),"➤",""),"")</f>
        <v/>
      </c>
      <c r="NL36" s="76" t="str">
        <f aca="false">IF($I36&gt;0%,IF(AND(NL$16&gt;=$F36,NL$16&lt;$F36+($G36*$I36)),"➤",""),"")</f>
        <v/>
      </c>
      <c r="NM36" s="76" t="str">
        <f aca="false">IF($I36&gt;0%,IF(AND(NM$16&gt;=$F36,NM$16&lt;$F36+($G36*$I36)),"➤",""),"")</f>
        <v/>
      </c>
      <c r="NN36" s="76" t="str">
        <f aca="false">IF($I36&gt;0%,IF(AND(NN$16&gt;=$F36,NN$16&lt;$F36+($G36*$I36)),"➤",""),"")</f>
        <v/>
      </c>
      <c r="NO36" s="76" t="str">
        <f aca="false">IF($I36&gt;0%,IF(AND(NO$16&gt;=$F36,NO$16&lt;$F36+($G36*$I36)),"➤",""),"")</f>
        <v/>
      </c>
      <c r="NP36" s="76" t="str">
        <f aca="false">IF($I36&gt;0%,IF(AND(NP$16&gt;=$F36,NP$16&lt;$F36+($G36*$I36)),"➤",""),"")</f>
        <v/>
      </c>
      <c r="NQ36" s="76" t="str">
        <f aca="false">IF($I36&gt;0%,IF(AND(NQ$16&gt;=$F36,NQ$16&lt;$F36+($G36*$I36)),"➤",""),"")</f>
        <v/>
      </c>
      <c r="NR36" s="76" t="str">
        <f aca="false">IF($I36&gt;0%,IF(AND(NR$16&gt;=$F36,NR$16&lt;$F36+($G36*$I36)),"➤",""),"")</f>
        <v/>
      </c>
      <c r="NS36" s="76" t="str">
        <f aca="false">IF($I36&gt;0%,IF(AND(NS$16&gt;=$F36,NS$16&lt;$F36+($G36*$I36)),"➤",""),"")</f>
        <v/>
      </c>
      <c r="NT36" s="76" t="str">
        <f aca="false">IF($I36&gt;0%,IF(AND(NT$16&gt;=$F36,NT$16&lt;$F36+($G36*$I36)),"➤",""),"")</f>
        <v/>
      </c>
      <c r="NU36" s="76" t="str">
        <f aca="false">IF($I36&gt;0%,IF(AND(NU$16&gt;=$F36,NU$16&lt;$F36+($G36*$I36)),"➤",""),"")</f>
        <v/>
      </c>
      <c r="NV36" s="76" t="str">
        <f aca="false">IF($I36&gt;0%,IF(AND(NV$16&gt;=$F36,NV$16&lt;$F36+($G36*$I36)),"➤",""),"")</f>
        <v/>
      </c>
      <c r="NW36" s="76" t="str">
        <f aca="false">IF($I36&gt;0%,IF(AND(NW$16&gt;=$F36,NW$16&lt;$F36+($G36*$I36)),"➤",""),"")</f>
        <v/>
      </c>
      <c r="NX36" s="76" t="str">
        <f aca="false">IF($I36&gt;0%,IF(AND(NX$16&gt;=$F36,NX$16&lt;$F36+($G36*$I36)),"➤",""),"")</f>
        <v/>
      </c>
      <c r="NY36" s="76" t="str">
        <f aca="false">IF($I36&gt;0%,IF(AND(NY$16&gt;=$F36,NY$16&lt;$F36+($G36*$I36)),"➤",""),"")</f>
        <v/>
      </c>
      <c r="NZ36" s="76" t="str">
        <f aca="false">IF($I36&gt;0%,IF(AND(NZ$16&gt;=$F36,NZ$16&lt;$F36+($G36*$I36)),"➤",""),"")</f>
        <v/>
      </c>
      <c r="OA36" s="76" t="str">
        <f aca="false">IF($I36&gt;0%,IF(AND(OA$16&gt;=$F36,OA$16&lt;$F36+($G36*$I36)),"➤",""),"")</f>
        <v/>
      </c>
      <c r="OB36" s="76" t="str">
        <f aca="false">IF($I36&gt;0%,IF(AND(OB$16&gt;=$F36,OB$16&lt;$F36+($G36*$I36)),"➤",""),"")</f>
        <v/>
      </c>
      <c r="OC36" s="76" t="str">
        <f aca="false">IF($I36&gt;0%,IF(AND(OC$16&gt;=$F36,OC$16&lt;$F36+($G36*$I36)),"➤",""),"")</f>
        <v/>
      </c>
      <c r="OD36" s="76" t="str">
        <f aca="false">IF($I36&gt;0%,IF(AND(OD$16&gt;=$F36,OD$16&lt;$F36+($G36*$I36)),"➤",""),"")</f>
        <v/>
      </c>
      <c r="OE36" s="76" t="str">
        <f aca="false">IF($I36&gt;0%,IF(AND(OE$16&gt;=$F36,OE$16&lt;$F36+($G36*$I36)),"➤",""),"")</f>
        <v/>
      </c>
      <c r="OF36" s="76" t="str">
        <f aca="false">IF($I36&gt;0%,IF(AND(OF$16&gt;=$F36,OF$16&lt;$F36+($G36*$I36)),"➤",""),"")</f>
        <v/>
      </c>
      <c r="OG36" s="76" t="str">
        <f aca="false">IF($I36&gt;0%,IF(AND(OG$16&gt;=$F36,OG$16&lt;$F36+($G36*$I36)),"➤",""),"")</f>
        <v/>
      </c>
      <c r="OH36" s="76" t="str">
        <f aca="false">IF($I36&gt;0%,IF(AND(OH$16&gt;=$F36,OH$16&lt;$F36+($G36*$I36)),"➤",""),"")</f>
        <v/>
      </c>
      <c r="OI36" s="76" t="str">
        <f aca="false">IF($I36&gt;0%,IF(AND(OI$16&gt;=$F36,OI$16&lt;$F36+($G36*$I36)),"➤",""),"")</f>
        <v/>
      </c>
      <c r="OJ36" s="76" t="str">
        <f aca="false">IF($I36&gt;0%,IF(AND(OJ$16&gt;=$F36,OJ$16&lt;$F36+($G36*$I36)),"➤",""),"")</f>
        <v/>
      </c>
      <c r="OK36" s="76" t="str">
        <f aca="false">IF($I36&gt;0%,IF(AND(OK$16&gt;=$F36,OK$16&lt;$F36+($G36*$I36)),"➤",""),"")</f>
        <v/>
      </c>
      <c r="OL36" s="76" t="str">
        <f aca="false">IF($I36&gt;0%,IF(AND(OL$16&gt;=$F36,OL$16&lt;$F36+($G36*$I36)),"➤",""),"")</f>
        <v/>
      </c>
      <c r="OM36" s="76" t="str">
        <f aca="false">IF($I36&gt;0%,IF(AND(OM$16&gt;=$F36,OM$16&lt;$F36+($G36*$I36)),"➤",""),"")</f>
        <v/>
      </c>
      <c r="ON36" s="76" t="str">
        <f aca="false">IF($I36&gt;0%,IF(AND(ON$16&gt;=$F36,ON$16&lt;$F36+($G36*$I36)),"➤",""),"")</f>
        <v/>
      </c>
      <c r="OO36" s="76" t="str">
        <f aca="false">IF($I36&gt;0%,IF(AND(OO$16&gt;=$F36,OO$16&lt;$F36+($G36*$I36)),"➤",""),"")</f>
        <v/>
      </c>
      <c r="OP36" s="76" t="str">
        <f aca="false">IF($I36&gt;0%,IF(AND(OP$16&gt;=$F36,OP$16&lt;$F36+($G36*$I36)),"➤",""),"")</f>
        <v/>
      </c>
      <c r="OQ36" s="76" t="str">
        <f aca="false">IF($I36&gt;0%,IF(AND(OQ$16&gt;=$F36,OQ$16&lt;$F36+($G36*$I36)),"➤",""),"")</f>
        <v/>
      </c>
      <c r="OR36" s="76" t="str">
        <f aca="false">IF($I36&gt;0%,IF(AND(OR$16&gt;=$F36,OR$16&lt;$F36+($G36*$I36)),"➤",""),"")</f>
        <v/>
      </c>
      <c r="OS36" s="76" t="str">
        <f aca="false">IF($I36&gt;0%,IF(AND(OS$16&gt;=$F36,OS$16&lt;$F36+($G36*$I36)),"➤",""),"")</f>
        <v/>
      </c>
      <c r="OT36" s="76" t="str">
        <f aca="false">IF($I36&gt;0%,IF(AND(OT$16&gt;=$F36,OT$16&lt;$F36+($G36*$I36)),"➤",""),"")</f>
        <v/>
      </c>
      <c r="OU36" s="76" t="str">
        <f aca="false">IF($I36&gt;0%,IF(AND(OU$16&gt;=$F36,OU$16&lt;$F36+($G36*$I36)),"➤",""),"")</f>
        <v/>
      </c>
      <c r="OV36" s="76" t="str">
        <f aca="false">IF($I36&gt;0%,IF(AND(OV$16&gt;=$F36,OV$16&lt;$F36+($G36*$I36)),"➤",""),"")</f>
        <v/>
      </c>
      <c r="OW36" s="76" t="str">
        <f aca="false">IF($I36&gt;0%,IF(AND(OW$16&gt;=$F36,OW$16&lt;$F36+($G36*$I36)),"➤",""),"")</f>
        <v/>
      </c>
      <c r="OX36" s="76" t="str">
        <f aca="false">IF($I36&gt;0%,IF(AND(OX$16&gt;=$F36,OX$16&lt;$F36+($G36*$I36)),"➤",""),"")</f>
        <v/>
      </c>
      <c r="OY36" s="76" t="str">
        <f aca="false">IF($I36&gt;0%,IF(AND(OY$16&gt;=$F36,OY$16&lt;$F36+($G36*$I36)),"➤",""),"")</f>
        <v/>
      </c>
      <c r="OZ36" s="76" t="str">
        <f aca="false">IF($I36&gt;0%,IF(AND(OZ$16&gt;=$F36,OZ$16&lt;$F36+($G36*$I36)),"➤",""),"")</f>
        <v/>
      </c>
      <c r="PA36" s="76" t="str">
        <f aca="false">IF($I36&gt;0%,IF(AND(PA$16&gt;=$F36,PA$16&lt;$F36+($G36*$I36)),"➤",""),"")</f>
        <v/>
      </c>
      <c r="PB36" s="76" t="str">
        <f aca="false">IF($I36&gt;0%,IF(AND(PB$16&gt;=$F36,PB$16&lt;$F36+($G36*$I36)),"➤",""),"")</f>
        <v/>
      </c>
      <c r="PC36" s="76" t="str">
        <f aca="false">IF($I36&gt;0%,IF(AND(PC$16&gt;=$F36,PC$16&lt;$F36+($G36*$I36)),"➤",""),"")</f>
        <v/>
      </c>
      <c r="PD36" s="76" t="str">
        <f aca="false">IF($I36&gt;0%,IF(AND(PD$16&gt;=$F36,PD$16&lt;$F36+($G36*$I36)),"➤",""),"")</f>
        <v/>
      </c>
      <c r="PE36" s="76" t="str">
        <f aca="false">IF($I36&gt;0%,IF(AND(PE$16&gt;=$F36,PE$16&lt;$F36+($G36*$I36)),"➤",""),"")</f>
        <v/>
      </c>
      <c r="PF36" s="76" t="str">
        <f aca="false">IF($I36&gt;0%,IF(AND(PF$16&gt;=$F36,PF$16&lt;$F36+($G36*$I36)),"➤",""),"")</f>
        <v/>
      </c>
      <c r="PG36" s="76" t="str">
        <f aca="false">IF($I36&gt;0%,IF(AND(PG$16&gt;=$F36,PG$16&lt;$F36+($G36*$I36)),"➤",""),"")</f>
        <v/>
      </c>
      <c r="PH36" s="76" t="str">
        <f aca="false">IF($I36&gt;0%,IF(AND(PH$16&gt;=$F36,PH$16&lt;$F36+($G36*$I36)),"➤",""),"")</f>
        <v/>
      </c>
      <c r="PI36" s="76" t="str">
        <f aca="false">IF($I36&gt;0%,IF(AND(PI$16&gt;=$F36,PI$16&lt;$F36+($G36*$I36)),"➤",""),"")</f>
        <v/>
      </c>
      <c r="PJ36" s="76" t="str">
        <f aca="false">IF($I36&gt;0%,IF(AND(PJ$16&gt;=$F36,PJ$16&lt;$F36+($G36*$I36)),"➤",""),"")</f>
        <v/>
      </c>
      <c r="PK36" s="76" t="str">
        <f aca="false">IF($I36&gt;0%,IF(AND(PK$16&gt;=$F36,PK$16&lt;$F36+($G36*$I36)),"➤",""),"")</f>
        <v/>
      </c>
      <c r="PL36" s="76" t="str">
        <f aca="false">IF($I36&gt;0%,IF(AND(PL$16&gt;=$F36,PL$16&lt;$F36+($G36*$I36)),"➤",""),"")</f>
        <v/>
      </c>
      <c r="PM36" s="76" t="str">
        <f aca="false">IF($I36&gt;0%,IF(AND(PM$16&gt;=$F36,PM$16&lt;$F36+($G36*$I36)),"➤",""),"")</f>
        <v/>
      </c>
      <c r="PN36" s="76" t="str">
        <f aca="false">IF($I36&gt;0%,IF(AND(PN$16&gt;=$F36,PN$16&lt;$F36+($G36*$I36)),"➤",""),"")</f>
        <v/>
      </c>
      <c r="PO36" s="76" t="str">
        <f aca="false">IF($I36&gt;0%,IF(AND(PO$16&gt;=$F36,PO$16&lt;$F36+($G36*$I36)),"➤",""),"")</f>
        <v/>
      </c>
      <c r="PP36" s="76" t="str">
        <f aca="false">IF($I36&gt;0%,IF(AND(PP$16&gt;=$F36,PP$16&lt;$F36+($G36*$I36)),"➤",""),"")</f>
        <v/>
      </c>
      <c r="PQ36" s="76" t="str">
        <f aca="false">IF($I36&gt;0%,IF(AND(PQ$16&gt;=$F36,PQ$16&lt;$F36+($G36*$I36)),"➤",""),"")</f>
        <v/>
      </c>
      <c r="PR36" s="76" t="str">
        <f aca="false">IF($I36&gt;0%,IF(AND(PR$16&gt;=$F36,PR$16&lt;$F36+($G36*$I36)),"➤",""),"")</f>
        <v/>
      </c>
      <c r="PS36" s="76" t="str">
        <f aca="false">IF($I36&gt;0%,IF(AND(PS$16&gt;=$F36,PS$16&lt;$F36+($G36*$I36)),"➤",""),"")</f>
        <v/>
      </c>
      <c r="PT36" s="76" t="str">
        <f aca="false">IF($I36&gt;0%,IF(AND(PT$16&gt;=$F36,PT$16&lt;$F36+($G36*$I36)),"➤",""),"")</f>
        <v/>
      </c>
      <c r="PU36" s="76" t="str">
        <f aca="false">IF($I36&gt;0%,IF(AND(PU$16&gt;=$F36,PU$16&lt;$F36+($G36*$I36)),"➤",""),"")</f>
        <v/>
      </c>
      <c r="PV36" s="76" t="str">
        <f aca="false">IF($I36&gt;0%,IF(AND(PV$16&gt;=$F36,PV$16&lt;$F36+($G36*$I36)),"➤",""),"")</f>
        <v/>
      </c>
      <c r="PW36" s="76" t="str">
        <f aca="false">IF($I36&gt;0%,IF(AND(PW$16&gt;=$F36,PW$16&lt;$F36+($G36*$I36)),"➤",""),"")</f>
        <v/>
      </c>
      <c r="PX36" s="76" t="str">
        <f aca="false">IF($I36&gt;0%,IF(AND(PX$16&gt;=$F36,PX$16&lt;$F36+($G36*$I36)),"➤",""),"")</f>
        <v/>
      </c>
      <c r="PY36" s="76" t="str">
        <f aca="false">IF($I36&gt;0%,IF(AND(PY$16&gt;=$F36,PY$16&lt;$F36+($G36*$I36)),"➤",""),"")</f>
        <v/>
      </c>
      <c r="PZ36" s="76" t="str">
        <f aca="false">IF($I36&gt;0%,IF(AND(PZ$16&gt;=$F36,PZ$16&lt;$F36+($G36*$I36)),"➤",""),"")</f>
        <v/>
      </c>
      <c r="QA36" s="76" t="str">
        <f aca="false">IF($I36&gt;0%,IF(AND(QA$16&gt;=$F36,QA$16&lt;$F36+($G36*$I36)),"➤",""),"")</f>
        <v/>
      </c>
      <c r="QB36" s="76" t="str">
        <f aca="false">IF($I36&gt;0%,IF(AND(QB$16&gt;=$F36,QB$16&lt;$F36+($G36*$I36)),"➤",""),"")</f>
        <v/>
      </c>
      <c r="QC36" s="76" t="str">
        <f aca="false">IF($I36&gt;0%,IF(AND(QC$16&gt;=$F36,QC$16&lt;$F36+($G36*$I36)),"➤",""),"")</f>
        <v/>
      </c>
      <c r="QD36" s="76" t="str">
        <f aca="false">IF($I36&gt;0%,IF(AND(QD$16&gt;=$F36,QD$16&lt;$F36+($G36*$I36)),"➤",""),"")</f>
        <v/>
      </c>
      <c r="QE36" s="76" t="str">
        <f aca="false">IF($I36&gt;0%,IF(AND(QE$16&gt;=$F36,QE$16&lt;$F36+($G36*$I36)),"➤",""),"")</f>
        <v/>
      </c>
      <c r="QF36" s="76" t="str">
        <f aca="false">IF($I36&gt;0%,IF(AND(QF$16&gt;=$F36,QF$16&lt;$F36+($G36*$I36)),"➤",""),"")</f>
        <v/>
      </c>
      <c r="QG36" s="76" t="str">
        <f aca="false">IF($I36&gt;0%,IF(AND(QG$16&gt;=$F36,QG$16&lt;$F36+($G36*$I36)),"➤",""),"")</f>
        <v/>
      </c>
      <c r="QH36" s="76" t="str">
        <f aca="false">IF($I36&gt;0%,IF(AND(QH$16&gt;=$F36,QH$16&lt;$F36+($G36*$I36)),"➤",""),"")</f>
        <v/>
      </c>
      <c r="QI36" s="76" t="str">
        <f aca="false">IF($I36&gt;0%,IF(AND(QI$16&gt;=$F36,QI$16&lt;$F36+($G36*$I36)),"➤",""),"")</f>
        <v/>
      </c>
      <c r="QJ36" s="76" t="str">
        <f aca="false">IF($I36&gt;0%,IF(AND(QJ$16&gt;=$F36,QJ$16&lt;$F36+($G36*$I36)),"➤",""),"")</f>
        <v/>
      </c>
      <c r="QK36" s="76" t="str">
        <f aca="false">IF($I36&gt;0%,IF(AND(QK$16&gt;=$F36,QK$16&lt;$F36+($G36*$I36)),"➤",""),"")</f>
        <v/>
      </c>
      <c r="QL36" s="76" t="str">
        <f aca="false">IF($I36&gt;0%,IF(AND(QL$16&gt;=$F36,QL$16&lt;$F36+($G36*$I36)),"➤",""),"")</f>
        <v/>
      </c>
      <c r="QM36" s="76" t="str">
        <f aca="false">IF($I36&gt;0%,IF(AND(QM$16&gt;=$F36,QM$16&lt;$F36+($G36*$I36)),"➤",""),"")</f>
        <v/>
      </c>
      <c r="QN36" s="76" t="str">
        <f aca="false">IF($I36&gt;0%,IF(AND(QN$16&gt;=$F36,QN$16&lt;$F36+($G36*$I36)),"➤",""),"")</f>
        <v/>
      </c>
      <c r="QO36" s="76" t="str">
        <f aca="false">IF($I36&gt;0%,IF(AND(QO$16&gt;=$F36,QO$16&lt;$F36+($G36*$I36)),"➤",""),"")</f>
        <v/>
      </c>
      <c r="QP36" s="76" t="str">
        <f aca="false">IF($I36&gt;0%,IF(AND(QP$16&gt;=$F36,QP$16&lt;$F36+($G36*$I36)),"➤",""),"")</f>
        <v/>
      </c>
      <c r="QQ36" s="76" t="str">
        <f aca="false">IF($I36&gt;0%,IF(AND(QQ$16&gt;=$F36,QQ$16&lt;$F36+($G36*$I36)),"➤",""),"")</f>
        <v/>
      </c>
      <c r="QR36" s="76" t="str">
        <f aca="false">IF($I36&gt;0%,IF(AND(QR$16&gt;=$F36,QR$16&lt;$F36+($G36*$I36)),"➤",""),"")</f>
        <v/>
      </c>
      <c r="QS36" s="76" t="str">
        <f aca="false">IF($I36&gt;0%,IF(AND(QS$16&gt;=$F36,QS$16&lt;$F36+($G36*$I36)),"➤",""),"")</f>
        <v/>
      </c>
      <c r="QT36" s="76" t="str">
        <f aca="false">IF($I36&gt;0%,IF(AND(QT$16&gt;=$F36,QT$16&lt;$F36+($G36*$I36)),"➤",""),"")</f>
        <v/>
      </c>
      <c r="QU36" s="76" t="str">
        <f aca="false">IF($I36&gt;0%,IF(AND(QU$16&gt;=$F36,QU$16&lt;$F36+($G36*$I36)),"➤",""),"")</f>
        <v/>
      </c>
      <c r="QV36" s="76" t="str">
        <f aca="false">IF($I36&gt;0%,IF(AND(QV$16&gt;=$F36,QV$16&lt;$F36+($G36*$I36)),"➤",""),"")</f>
        <v/>
      </c>
      <c r="QW36" s="76" t="str">
        <f aca="false">IF($I36&gt;0%,IF(AND(QW$16&gt;=$F36,QW$16&lt;$F36+($G36*$I36)),"➤",""),"")</f>
        <v/>
      </c>
      <c r="QX36" s="76" t="str">
        <f aca="false">IF($I36&gt;0%,IF(AND(QX$16&gt;=$F36,QX$16&lt;$F36+($G36*$I36)),"➤",""),"")</f>
        <v/>
      </c>
      <c r="QY36" s="76" t="str">
        <f aca="false">IF($I36&gt;0%,IF(AND(QY$16&gt;=$F36,QY$16&lt;$F36+($G36*$I36)),"➤",""),"")</f>
        <v/>
      </c>
      <c r="QZ36" s="76" t="str">
        <f aca="false">IF($I36&gt;0%,IF(AND(QZ$16&gt;=$F36,QZ$16&lt;$F36+($G36*$I36)),"➤",""),"")</f>
        <v/>
      </c>
      <c r="RA36" s="76" t="str">
        <f aca="false">IF($I36&gt;0%,IF(AND(RA$16&gt;=$F36,RA$16&lt;$F36+($G36*$I36)),"➤",""),"")</f>
        <v/>
      </c>
      <c r="RB36" s="76" t="str">
        <f aca="false">IF($I36&gt;0%,IF(AND(RB$16&gt;=$F36,RB$16&lt;$F36+($G36*$I36)),"➤",""),"")</f>
        <v/>
      </c>
      <c r="RC36" s="76" t="str">
        <f aca="false">IF($I36&gt;0%,IF(AND(RC$16&gt;=$F36,RC$16&lt;$F36+($G36*$I36)),"➤",""),"")</f>
        <v/>
      </c>
      <c r="RD36" s="76" t="str">
        <f aca="false">IF($I36&gt;0%,IF(AND(RD$16&gt;=$F36,RD$16&lt;$F36+($G36*$I36)),"➤",""),"")</f>
        <v/>
      </c>
      <c r="RE36" s="76" t="str">
        <f aca="false">IF($I36&gt;0%,IF(AND(RE$16&gt;=$F36,RE$16&lt;$F36+($G36*$I36)),"➤",""),"")</f>
        <v/>
      </c>
      <c r="RF36" s="76" t="str">
        <f aca="false">IF($I36&gt;0%,IF(AND(RF$16&gt;=$F36,RF$16&lt;$F36+($G36*$I36)),"➤",""),"")</f>
        <v/>
      </c>
      <c r="RG36" s="76" t="str">
        <f aca="false">IF($I36&gt;0%,IF(AND(RG$16&gt;=$F36,RG$16&lt;$F36+($G36*$I36)),"➤",""),"")</f>
        <v/>
      </c>
      <c r="RH36" s="76" t="str">
        <f aca="false">IF($I36&gt;0%,IF(AND(RH$16&gt;=$F36,RH$16&lt;$F36+($G36*$I36)),"➤",""),"")</f>
        <v/>
      </c>
      <c r="RI36" s="76" t="str">
        <f aca="false">IF($I36&gt;0%,IF(AND(RI$16&gt;=$F36,RI$16&lt;$F36+($G36*$I36)),"➤",""),"")</f>
        <v/>
      </c>
      <c r="RJ36" s="76" t="str">
        <f aca="false">IF($I36&gt;0%,IF(AND(RJ$16&gt;=$F36,RJ$16&lt;$F36+($G36*$I36)),"➤",""),"")</f>
        <v/>
      </c>
      <c r="RK36" s="76" t="str">
        <f aca="false">IF($I36&gt;0%,IF(AND(RK$16&gt;=$F36,RK$16&lt;$F36+($G36*$I36)),"➤",""),"")</f>
        <v/>
      </c>
      <c r="RL36" s="76" t="str">
        <f aca="false">IF($I36&gt;0%,IF(AND(RL$16&gt;=$F36,RL$16&lt;$F36+($G36*$I36)),"➤",""),"")</f>
        <v/>
      </c>
      <c r="RM36" s="76" t="str">
        <f aca="false">IF($I36&gt;0%,IF(AND(RM$16&gt;=$F36,RM$16&lt;$F36+($G36*$I36)),"➤",""),"")</f>
        <v/>
      </c>
      <c r="RN36" s="76" t="str">
        <f aca="false">IF($I36&gt;0%,IF(AND(RN$16&gt;=$F36,RN$16&lt;$F36+($G36*$I36)),"➤",""),"")</f>
        <v/>
      </c>
      <c r="RO36" s="76" t="str">
        <f aca="false">IF($I36&gt;0%,IF(AND(RO$16&gt;=$F36,RO$16&lt;$F36+($G36*$I36)),"➤",""),"")</f>
        <v/>
      </c>
      <c r="RP36" s="76" t="str">
        <f aca="false">IF($I36&gt;0%,IF(AND(RP$16&gt;=$F36,RP$16&lt;$F36+($G36*$I36)),"➤",""),"")</f>
        <v/>
      </c>
      <c r="RQ36" s="76" t="str">
        <f aca="false">IF($I36&gt;0%,IF(AND(RQ$16&gt;=$F36,RQ$16&lt;$F36+($G36*$I36)),"➤",""),"")</f>
        <v/>
      </c>
      <c r="RR36" s="76" t="str">
        <f aca="false">IF($I36&gt;0%,IF(AND(RR$16&gt;=$F36,RR$16&lt;$F36+($G36*$I36)),"➤",""),"")</f>
        <v/>
      </c>
      <c r="RS36" s="76" t="str">
        <f aca="false">IF($I36&gt;0%,IF(AND(RS$16&gt;=$F36,RS$16&lt;$F36+($G36*$I36)),"➤",""),"")</f>
        <v/>
      </c>
      <c r="RT36" s="76" t="str">
        <f aca="false">IF($I36&gt;0%,IF(AND(RT$16&gt;=$F36,RT$16&lt;$F36+($G36*$I36)),"➤",""),"")</f>
        <v/>
      </c>
      <c r="RU36" s="76" t="str">
        <f aca="false">IF($I36&gt;0%,IF(AND(RU$16&gt;=$F36,RU$16&lt;$F36+($G36*$I36)),"➤",""),"")</f>
        <v/>
      </c>
      <c r="RV36" s="76" t="str">
        <f aca="false">IF($I36&gt;0%,IF(AND(RV$16&gt;=$F36,RV$16&lt;$F36+($G36*$I36)),"➤",""),"")</f>
        <v/>
      </c>
      <c r="RW36" s="76" t="str">
        <f aca="false">IF($I36&gt;0%,IF(AND(RW$16&gt;=$F36,RW$16&lt;$F36+($G36*$I36)),"➤",""),"")</f>
        <v/>
      </c>
      <c r="RX36" s="76" t="str">
        <f aca="false">IF($I36&gt;0%,IF(AND(RX$16&gt;=$F36,RX$16&lt;$F36+($G36*$I36)),"➤",""),"")</f>
        <v/>
      </c>
      <c r="RY36" s="76" t="str">
        <f aca="false">IF($I36&gt;0%,IF(AND(RY$16&gt;=$F36,RY$16&lt;$F36+($G36*$I36)),"➤",""),"")</f>
        <v/>
      </c>
      <c r="RZ36" s="76" t="str">
        <f aca="false">IF($I36&gt;0%,IF(AND(RZ$16&gt;=$F36,RZ$16&lt;$F36+($G36*$I36)),"➤",""),"")</f>
        <v/>
      </c>
      <c r="SA36" s="76" t="str">
        <f aca="false">IF($I36&gt;0%,IF(AND(SA$16&gt;=$F36,SA$16&lt;$F36+($G36*$I36)),"➤",""),"")</f>
        <v/>
      </c>
      <c r="SB36" s="76" t="str">
        <f aca="false">IF($I36&gt;0%,IF(AND(SB$16&gt;=$F36,SB$16&lt;$F36+($G36*$I36)),"➤",""),"")</f>
        <v/>
      </c>
      <c r="SC36" s="76" t="str">
        <f aca="false">IF($I36&gt;0%,IF(AND(SC$16&gt;=$F36,SC$16&lt;$F36+($G36*$I36)),"➤",""),"")</f>
        <v/>
      </c>
      <c r="SD36" s="76" t="str">
        <f aca="false">IF($I36&gt;0%,IF(AND(SD$16&gt;=$F36,SD$16&lt;$F36+($G36*$I36)),"➤",""),"")</f>
        <v/>
      </c>
      <c r="SE36" s="76" t="str">
        <f aca="false">IF($I36&gt;0%,IF(AND(SE$16&gt;=$F36,SE$16&lt;$F36+($G36*$I36)),"➤",""),"")</f>
        <v/>
      </c>
      <c r="SF36" s="76" t="str">
        <f aca="false">IF($I36&gt;0%,IF(AND(SF$16&gt;=$F36,SF$16&lt;$F36+($G36*$I36)),"➤",""),"")</f>
        <v/>
      </c>
      <c r="SG36" s="76" t="str">
        <f aca="false">IF($I36&gt;0%,IF(AND(SG$16&gt;=$F36,SG$16&lt;$F36+($G36*$I36)),"➤",""),"")</f>
        <v/>
      </c>
      <c r="SH36" s="76" t="str">
        <f aca="false">IF($I36&gt;0%,IF(AND(SH$16&gt;=$F36,SH$16&lt;$F36+($G36*$I36)),"➤",""),"")</f>
        <v/>
      </c>
      <c r="SI36" s="76" t="str">
        <f aca="false">IF($I36&gt;0%,IF(AND(SI$16&gt;=$F36,SI$16&lt;$F36+($G36*$I36)),"➤",""),"")</f>
        <v/>
      </c>
      <c r="SJ36" s="76" t="str">
        <f aca="false">IF($I36&gt;0%,IF(AND(SJ$16&gt;=$F36,SJ$16&lt;$F36+($G36*$I36)),"➤",""),"")</f>
        <v/>
      </c>
      <c r="SK36" s="76" t="str">
        <f aca="false">IF($I36&gt;0%,IF(AND(SK$16&gt;=$F36,SK$16&lt;$F36+($G36*$I36)),"➤",""),"")</f>
        <v/>
      </c>
      <c r="SL36" s="76" t="str">
        <f aca="false">IF($I36&gt;0%,IF(AND(SL$16&gt;=$F36,SL$16&lt;$F36+($G36*$I36)),"➤",""),"")</f>
        <v/>
      </c>
      <c r="SM36" s="76" t="str">
        <f aca="false">IF($I36&gt;0%,IF(AND(SM$16&gt;=$F36,SM$16&lt;$F36+($G36*$I36)),"➤",""),"")</f>
        <v/>
      </c>
      <c r="SN36" s="76" t="str">
        <f aca="false">IF($I36&gt;0%,IF(AND(SN$16&gt;=$F36,SN$16&lt;$F36+($G36*$I36)),"➤",""),"")</f>
        <v/>
      </c>
      <c r="SO36" s="76" t="str">
        <f aca="false">IF($I36&gt;0%,IF(AND(SO$16&gt;=$F36,SO$16&lt;$F36+($G36*$I36)),"➤",""),"")</f>
        <v/>
      </c>
      <c r="SP36" s="76" t="str">
        <f aca="false">IF($I36&gt;0%,IF(AND(SP$16&gt;=$F36,SP$16&lt;$F36+($G36*$I36)),"➤",""),"")</f>
        <v/>
      </c>
      <c r="SQ36" s="76" t="str">
        <f aca="false">IF($I36&gt;0%,IF(AND(SQ$16&gt;=$F36,SQ$16&lt;$F36+($G36*$I36)),"➤",""),"")</f>
        <v/>
      </c>
      <c r="SR36" s="76" t="str">
        <f aca="false">IF($I36&gt;0%,IF(AND(SR$16&gt;=$F36,SR$16&lt;$F36+($G36*$I36)),"➤",""),"")</f>
        <v/>
      </c>
      <c r="SS36" s="76" t="str">
        <f aca="false">IF($I36&gt;0%,IF(AND(SS$16&gt;=$F36,SS$16&lt;$F36+($G36*$I36)),"➤",""),"")</f>
        <v/>
      </c>
      <c r="ST36" s="76" t="str">
        <f aca="false">IF($I36&gt;0%,IF(AND(ST$16&gt;=$F36,ST$16&lt;$F36+($G36*$I36)),"➤",""),"")</f>
        <v/>
      </c>
      <c r="SU36" s="76" t="str">
        <f aca="false">IF($I36&gt;0%,IF(AND(SU$16&gt;=$F36,SU$16&lt;$F36+($G36*$I36)),"➤",""),"")</f>
        <v/>
      </c>
      <c r="SV36" s="76" t="str">
        <f aca="false">IF($I36&gt;0%,IF(AND(SV$16&gt;=$F36,SV$16&lt;$F36+($G36*$I36)),"➤",""),"")</f>
        <v/>
      </c>
      <c r="SW36" s="77" t="str">
        <f aca="false">IF($I36&gt;0%,IF(AND(SW$16&gt;=$F36,SW$16&lt;$F36+($G36*$I36)),"➤",""),"")</f>
        <v/>
      </c>
    </row>
    <row r="37" customFormat="false" ht="14.25" hidden="false" customHeight="false" outlineLevel="1" collapsed="false">
      <c r="C37" s="10"/>
      <c r="D37" s="78"/>
      <c r="E37" s="79"/>
      <c r="F37" s="80" t="n">
        <v>44151</v>
      </c>
      <c r="G37" s="81" t="n">
        <v>2</v>
      </c>
      <c r="H37" s="96" t="n">
        <f aca="false">(F37+G37)-1</f>
        <v>44152</v>
      </c>
      <c r="I37" s="95" t="n">
        <v>1</v>
      </c>
      <c r="J37" s="84"/>
      <c r="K37" s="85"/>
      <c r="L37" s="75" t="str">
        <f aca="false">IF($I37&gt;0%,IF(AND(L$16&gt;=$F37,L$16&lt;$F37+($G37*$I37)),"➤",""),"")</f>
        <v/>
      </c>
      <c r="M37" s="76" t="str">
        <f aca="false">IF($I37&gt;0%,IF(AND(M$16&gt;=$F37,M$16&lt;$F37+($G37*$I37)),"➤",""),"")</f>
        <v/>
      </c>
      <c r="N37" s="76" t="str">
        <f aca="false">IF($I37&gt;0%,IF(AND(N$16&gt;=$F37,N$16&lt;$F37+($G37*$I37)),"➤",""),"")</f>
        <v/>
      </c>
      <c r="O37" s="76" t="str">
        <f aca="false">IF($I37&gt;0%,IF(AND(O$16&gt;=$F37,O$16&lt;$F37+($G37*$I37)),"➤",""),"")</f>
        <v/>
      </c>
      <c r="P37" s="76" t="str">
        <f aca="false">IF($I37&gt;0%,IF(AND(P$16&gt;=$F37,P$16&lt;$F37+($G37*$I37)),"➤",""),"")</f>
        <v/>
      </c>
      <c r="Q37" s="76" t="str">
        <f aca="false">IF($I37&gt;0%,IF(AND(Q$16&gt;=$F37,Q$16&lt;$F37+($G37*$I37)),"➤",""),"")</f>
        <v/>
      </c>
      <c r="R37" s="76" t="str">
        <f aca="false">IF($I37&gt;0%,IF(AND(R$16&gt;=$F37,R$16&lt;$F37+($G37*$I37)),"➤",""),"")</f>
        <v/>
      </c>
      <c r="S37" s="76" t="str">
        <f aca="false">IF($I37&gt;0%,IF(AND(S$16&gt;=$F37,S$16&lt;$F37+($G37*$I37)),"➤",""),"")</f>
        <v/>
      </c>
      <c r="T37" s="76" t="str">
        <f aca="false">IF($I37&gt;0%,IF(AND(T$16&gt;=$F37,T$16&lt;$F37+($G37*$I37)),"➤",""),"")</f>
        <v/>
      </c>
      <c r="U37" s="76" t="str">
        <f aca="false">IF($I37&gt;0%,IF(AND(U$16&gt;=$F37,U$16&lt;$F37+($G37*$I37)),"➤",""),"")</f>
        <v/>
      </c>
      <c r="V37" s="76" t="str">
        <f aca="false">IF($I37&gt;0%,IF(AND(V$16&gt;=$F37,V$16&lt;$F37+($G37*$I37)),"➤",""),"")</f>
        <v/>
      </c>
      <c r="W37" s="76" t="str">
        <f aca="false">IF($I37&gt;0%,IF(AND(W$16&gt;=$F37,W$16&lt;$F37+($G37*$I37)),"➤",""),"")</f>
        <v/>
      </c>
      <c r="X37" s="76" t="str">
        <f aca="false">IF($I37&gt;0%,IF(AND(X$16&gt;=$F37,X$16&lt;$F37+($G37*$I37)),"➤",""),"")</f>
        <v/>
      </c>
      <c r="Y37" s="76" t="str">
        <f aca="false">IF($I37&gt;0%,IF(AND(Y$16&gt;=$F37,Y$16&lt;$F37+($G37*$I37)),"➤",""),"")</f>
        <v/>
      </c>
      <c r="Z37" s="76" t="str">
        <f aca="false">IF($I37&gt;0%,IF(AND(Z$16&gt;=$F37,Z$16&lt;$F37+($G37*$I37)),"➤",""),"")</f>
        <v/>
      </c>
      <c r="AA37" s="76" t="str">
        <f aca="false">IF($I37&gt;0%,IF(AND(AA$16&gt;=$F37,AA$16&lt;$F37+($G37*$I37)),"➤",""),"")</f>
        <v/>
      </c>
      <c r="AB37" s="76" t="str">
        <f aca="false">IF($I37&gt;0%,IF(AND(AB$16&gt;=$F37,AB$16&lt;$F37+($G37*$I37)),"➤",""),"")</f>
        <v/>
      </c>
      <c r="AC37" s="76" t="str">
        <f aca="false">IF($I37&gt;0%,IF(AND(AC$16&gt;=$F37,AC$16&lt;$F37+($G37*$I37)),"➤",""),"")</f>
        <v/>
      </c>
      <c r="AD37" s="76" t="str">
        <f aca="false">IF($I37&gt;0%,IF(AND(AD$16&gt;=$F37,AD$16&lt;$F37+($G37*$I37)),"➤",""),"")</f>
        <v/>
      </c>
      <c r="AE37" s="76" t="str">
        <f aca="false">IF($I37&gt;0%,IF(AND(AE$16&gt;=$F37,AE$16&lt;$F37+($G37*$I37)),"➤",""),"")</f>
        <v/>
      </c>
      <c r="AF37" s="76" t="str">
        <f aca="false">IF($I37&gt;0%,IF(AND(AF$16&gt;=$F37,AF$16&lt;$F37+($G37*$I37)),"➤",""),"")</f>
        <v/>
      </c>
      <c r="AG37" s="76" t="str">
        <f aca="false">IF($I37&gt;0%,IF(AND(AG$16&gt;=$F37,AG$16&lt;$F37+($G37*$I37)),"➤",""),"")</f>
        <v/>
      </c>
      <c r="AH37" s="76" t="str">
        <f aca="false">IF($I37&gt;0%,IF(AND(AH$16&gt;=$F37,AH$16&lt;$F37+($G37*$I37)),"➤",""),"")</f>
        <v/>
      </c>
      <c r="AI37" s="76" t="str">
        <f aca="false">IF($I37&gt;0%,IF(AND(AI$16&gt;=$F37,AI$16&lt;$F37+($G37*$I37)),"➤",""),"")</f>
        <v/>
      </c>
      <c r="AJ37" s="76" t="str">
        <f aca="false">IF($I37&gt;0%,IF(AND(AJ$16&gt;=$F37,AJ$16&lt;$F37+($G37*$I37)),"➤",""),"")</f>
        <v/>
      </c>
      <c r="AK37" s="76" t="str">
        <f aca="false">IF($I37&gt;0%,IF(AND(AK$16&gt;=$F37,AK$16&lt;$F37+($G37*$I37)),"➤",""),"")</f>
        <v/>
      </c>
      <c r="AL37" s="76" t="str">
        <f aca="false">IF($I37&gt;0%,IF(AND(AL$16&gt;=$F37,AL$16&lt;$F37+($G37*$I37)),"➤",""),"")</f>
        <v/>
      </c>
      <c r="AM37" s="76" t="str">
        <f aca="false">IF($I37&gt;0%,IF(AND(AM$16&gt;=$F37,AM$16&lt;$F37+($G37*$I37)),"➤",""),"")</f>
        <v/>
      </c>
      <c r="AN37" s="76" t="str">
        <f aca="false">IF($I37&gt;0%,IF(AND(AN$16&gt;=$F37,AN$16&lt;$F37+($G37*$I37)),"➤",""),"")</f>
        <v/>
      </c>
      <c r="AO37" s="76" t="str">
        <f aca="false">IF($I37&gt;0%,IF(AND(AO$16&gt;=$F37,AO$16&lt;$F37+($G37*$I37)),"➤",""),"")</f>
        <v/>
      </c>
      <c r="AP37" s="76" t="str">
        <f aca="false">IF($I37&gt;0%,IF(AND(AP$16&gt;=$F37,AP$16&lt;$F37+($G37*$I37)),"➤",""),"")</f>
        <v/>
      </c>
      <c r="AQ37" s="76" t="str">
        <f aca="false">IF($I37&gt;0%,IF(AND(AQ$16&gt;=$F37,AQ$16&lt;$F37+($G37*$I37)),"➤",""),"")</f>
        <v/>
      </c>
      <c r="AR37" s="76" t="str">
        <f aca="false">IF($I37&gt;0%,IF(AND(AR$16&gt;=$F37,AR$16&lt;$F37+($G37*$I37)),"➤",""),"")</f>
        <v/>
      </c>
      <c r="AS37" s="76" t="str">
        <f aca="false">IF($I37&gt;0%,IF(AND(AS$16&gt;=$F37,AS$16&lt;$F37+($G37*$I37)),"➤",""),"")</f>
        <v/>
      </c>
      <c r="AT37" s="76" t="str">
        <f aca="false">IF($I37&gt;0%,IF(AND(AT$16&gt;=$F37,AT$16&lt;$F37+($G37*$I37)),"➤",""),"")</f>
        <v/>
      </c>
      <c r="AU37" s="76" t="str">
        <f aca="false">IF($I37&gt;0%,IF(AND(AU$16&gt;=$F37,AU$16&lt;$F37+($G37*$I37)),"➤",""),"")</f>
        <v/>
      </c>
      <c r="AV37" s="76" t="str">
        <f aca="false">IF($I37&gt;0%,IF(AND(AV$16&gt;=$F37,AV$16&lt;$F37+($G37*$I37)),"➤",""),"")</f>
        <v/>
      </c>
      <c r="AW37" s="76" t="str">
        <f aca="false">IF($I37&gt;0%,IF(AND(AW$16&gt;=$F37,AW$16&lt;$F37+($G37*$I37)),"➤",""),"")</f>
        <v/>
      </c>
      <c r="AX37" s="76" t="str">
        <f aca="false">IF($I37&gt;0%,IF(AND(AX$16&gt;=$F37,AX$16&lt;$F37+($G37*$I37)),"➤",""),"")</f>
        <v/>
      </c>
      <c r="AY37" s="76" t="str">
        <f aca="false">IF($I37&gt;0%,IF(AND(AY$16&gt;=$F37,AY$16&lt;$F37+($G37*$I37)),"➤",""),"")</f>
        <v/>
      </c>
      <c r="AZ37" s="76" t="str">
        <f aca="false">IF($I37&gt;0%,IF(AND(AZ$16&gt;=$F37,AZ$16&lt;$F37+($G37*$I37)),"➤",""),"")</f>
        <v/>
      </c>
      <c r="BA37" s="76" t="str">
        <f aca="false">IF($I37&gt;0%,IF(AND(BA$16&gt;=$F37,BA$16&lt;$F37+($G37*$I37)),"➤",""),"")</f>
        <v/>
      </c>
      <c r="BB37" s="76" t="str">
        <f aca="false">IF($I37&gt;0%,IF(AND(BB$16&gt;=$F37,BB$16&lt;$F37+($G37*$I37)),"➤",""),"")</f>
        <v/>
      </c>
      <c r="BC37" s="76" t="str">
        <f aca="false">IF($I37&gt;0%,IF(AND(BC$16&gt;=$F37,BC$16&lt;$F37+($G37*$I37)),"➤",""),"")</f>
        <v/>
      </c>
      <c r="BD37" s="76" t="str">
        <f aca="false">IF($I37&gt;0%,IF(AND(BD$16&gt;=$F37,BD$16&lt;$F37+($G37*$I37)),"➤",""),"")</f>
        <v/>
      </c>
      <c r="BE37" s="76" t="str">
        <f aca="false">IF($I37&gt;0%,IF(AND(BE$16&gt;=$F37,BE$16&lt;$F37+($G37*$I37)),"➤",""),"")</f>
        <v/>
      </c>
      <c r="BF37" s="76" t="str">
        <f aca="false">IF($I37&gt;0%,IF(AND(BF$16&gt;=$F37,BF$16&lt;$F37+($G37*$I37)),"➤",""),"")</f>
        <v/>
      </c>
      <c r="BG37" s="76" t="str">
        <f aca="false">IF($I37&gt;0%,IF(AND(BG$16&gt;=$F37,BG$16&lt;$F37+($G37*$I37)),"➤",""),"")</f>
        <v/>
      </c>
      <c r="BH37" s="76" t="str">
        <f aca="false">IF($I37&gt;0%,IF(AND(BH$16&gt;=$F37,BH$16&lt;$F37+($G37*$I37)),"➤",""),"")</f>
        <v/>
      </c>
      <c r="BI37" s="76" t="str">
        <f aca="false">IF($I37&gt;0%,IF(AND(BI$16&gt;=$F37,BI$16&lt;$F37+($G37*$I37)),"➤",""),"")</f>
        <v/>
      </c>
      <c r="BJ37" s="76" t="str">
        <f aca="false">IF($I37&gt;0%,IF(AND(BJ$16&gt;=$F37,BJ$16&lt;$F37+($G37*$I37)),"➤",""),"")</f>
        <v/>
      </c>
      <c r="BK37" s="76" t="str">
        <f aca="false">IF($I37&gt;0%,IF(AND(BK$16&gt;=$F37,BK$16&lt;$F37+($G37*$I37)),"➤",""),"")</f>
        <v/>
      </c>
      <c r="BL37" s="76" t="str">
        <f aca="false">IF($I37&gt;0%,IF(AND(BL$16&gt;=$F37,BL$16&lt;$F37+($G37*$I37)),"➤",""),"")</f>
        <v/>
      </c>
      <c r="BM37" s="76" t="str">
        <f aca="false">IF($I37&gt;0%,IF(AND(BM$16&gt;=$F37,BM$16&lt;$F37+($G37*$I37)),"➤",""),"")</f>
        <v/>
      </c>
      <c r="BN37" s="76" t="str">
        <f aca="false">IF($I37&gt;0%,IF(AND(BN$16&gt;=$F37,BN$16&lt;$F37+($G37*$I37)),"➤",""),"")</f>
        <v/>
      </c>
      <c r="BO37" s="76" t="str">
        <f aca="false">IF($I37&gt;0%,IF(AND(BO$16&gt;=$F37,BO$16&lt;$F37+($G37*$I37)),"➤",""),"")</f>
        <v/>
      </c>
      <c r="BP37" s="76" t="str">
        <f aca="false">IF($I37&gt;0%,IF(AND(BP$16&gt;=$F37,BP$16&lt;$F37+($G37*$I37)),"➤",""),"")</f>
        <v/>
      </c>
      <c r="BQ37" s="76" t="str">
        <f aca="false">IF($I37&gt;0%,IF(AND(BQ$16&gt;=$F37,BQ$16&lt;$F37+($G37*$I37)),"➤",""),"")</f>
        <v/>
      </c>
      <c r="BR37" s="76" t="str">
        <f aca="false">IF($I37&gt;0%,IF(AND(BR$16&gt;=$F37,BR$16&lt;$F37+($G37*$I37)),"➤",""),"")</f>
        <v/>
      </c>
      <c r="BS37" s="76" t="str">
        <f aca="false">IF($I37&gt;0%,IF(AND(BS$16&gt;=$F37,BS$16&lt;$F37+($G37*$I37)),"➤",""),"")</f>
        <v/>
      </c>
      <c r="BT37" s="76" t="str">
        <f aca="false">IF($I37&gt;0%,IF(AND(BT$16&gt;=$F37,BT$16&lt;$F37+($G37*$I37)),"➤",""),"")</f>
        <v/>
      </c>
      <c r="BU37" s="76" t="str">
        <f aca="false">IF($I37&gt;0%,IF(AND(BU$16&gt;=$F37,BU$16&lt;$F37+($G37*$I37)),"➤",""),"")</f>
        <v/>
      </c>
      <c r="BV37" s="76" t="str">
        <f aca="false">IF($I37&gt;0%,IF(AND(BV$16&gt;=$F37,BV$16&lt;$F37+($G37*$I37)),"➤",""),"")</f>
        <v/>
      </c>
      <c r="BW37" s="76" t="str">
        <f aca="false">IF($I37&gt;0%,IF(AND(BW$16&gt;=$F37,BW$16&lt;$F37+($G37*$I37)),"➤",""),"")</f>
        <v/>
      </c>
      <c r="BX37" s="76" t="str">
        <f aca="false">IF($I37&gt;0%,IF(AND(BX$16&gt;=$F37,BX$16&lt;$F37+($G37*$I37)),"➤",""),"")</f>
        <v/>
      </c>
      <c r="BY37" s="76" t="str">
        <f aca="false">IF($I37&gt;0%,IF(AND(BY$16&gt;=$F37,BY$16&lt;$F37+($G37*$I37)),"➤",""),"")</f>
        <v/>
      </c>
      <c r="BZ37" s="76" t="str">
        <f aca="false">IF($I37&gt;0%,IF(AND(BZ$16&gt;=$F37,BZ$16&lt;$F37+($G37*$I37)),"➤",""),"")</f>
        <v/>
      </c>
      <c r="CA37" s="76" t="str">
        <f aca="false">IF($I37&gt;0%,IF(AND(CA$16&gt;=$F37,CA$16&lt;$F37+($G37*$I37)),"➤",""),"")</f>
        <v/>
      </c>
      <c r="CB37" s="76" t="str">
        <f aca="false">IF($I37&gt;0%,IF(AND(CB$16&gt;=$F37,CB$16&lt;$F37+($G37*$I37)),"➤",""),"")</f>
        <v/>
      </c>
      <c r="CC37" s="76" t="str">
        <f aca="false">IF($I37&gt;0%,IF(AND(CC$16&gt;=$F37,CC$16&lt;$F37+($G37*$I37)),"➤",""),"")</f>
        <v/>
      </c>
      <c r="CD37" s="76" t="str">
        <f aca="false">IF($I37&gt;0%,IF(AND(CD$16&gt;=$F37,CD$16&lt;$F37+($G37*$I37)),"➤",""),"")</f>
        <v/>
      </c>
      <c r="CE37" s="76" t="str">
        <f aca="false">IF($I37&gt;0%,IF(AND(CE$16&gt;=$F37,CE$16&lt;$F37+($G37*$I37)),"➤",""),"")</f>
        <v/>
      </c>
      <c r="CF37" s="76" t="str">
        <f aca="false">IF($I37&gt;0%,IF(AND(CF$16&gt;=$F37,CF$16&lt;$F37+($G37*$I37)),"➤",""),"")</f>
        <v/>
      </c>
      <c r="CG37" s="76" t="str">
        <f aca="false">IF($I37&gt;0%,IF(AND(CG$16&gt;=$F37,CG$16&lt;$F37+($G37*$I37)),"➤",""),"")</f>
        <v/>
      </c>
      <c r="CH37" s="76" t="str">
        <f aca="false">IF($I37&gt;0%,IF(AND(CH$16&gt;=$F37,CH$16&lt;$F37+($G37*$I37)),"➤",""),"")</f>
        <v/>
      </c>
      <c r="CI37" s="76" t="str">
        <f aca="false">IF($I37&gt;0%,IF(AND(CI$16&gt;=$F37,CI$16&lt;$F37+($G37*$I37)),"➤",""),"")</f>
        <v/>
      </c>
      <c r="CJ37" s="76" t="str">
        <f aca="false">IF($I37&gt;0%,IF(AND(CJ$16&gt;=$F37,CJ$16&lt;$F37+($G37*$I37)),"➤",""),"")</f>
        <v/>
      </c>
      <c r="CK37" s="76" t="str">
        <f aca="false">IF($I37&gt;0%,IF(AND(CK$16&gt;=$F37,CK$16&lt;$F37+($G37*$I37)),"➤",""),"")</f>
        <v/>
      </c>
      <c r="CL37" s="76" t="str">
        <f aca="false">IF($I37&gt;0%,IF(AND(CL$16&gt;=$F37,CL$16&lt;$F37+($G37*$I37)),"➤",""),"")</f>
        <v/>
      </c>
      <c r="CM37" s="76" t="str">
        <f aca="false">IF($I37&gt;0%,IF(AND(CM$16&gt;=$F37,CM$16&lt;$F37+($G37*$I37)),"➤",""),"")</f>
        <v/>
      </c>
      <c r="CN37" s="76" t="str">
        <f aca="false">IF($I37&gt;0%,IF(AND(CN$16&gt;=$F37,CN$16&lt;$F37+($G37*$I37)),"➤",""),"")</f>
        <v/>
      </c>
      <c r="CO37" s="76" t="str">
        <f aca="false">IF($I37&gt;0%,IF(AND(CO$16&gt;=$F37,CO$16&lt;$F37+($G37*$I37)),"➤",""),"")</f>
        <v/>
      </c>
      <c r="CP37" s="76" t="str">
        <f aca="false">IF($I37&gt;0%,IF(AND(CP$16&gt;=$F37,CP$16&lt;$F37+($G37*$I37)),"➤",""),"")</f>
        <v/>
      </c>
      <c r="CQ37" s="76" t="str">
        <f aca="false">IF($I37&gt;0%,IF(AND(CQ$16&gt;=$F37,CQ$16&lt;$F37+($G37*$I37)),"➤",""),"")</f>
        <v/>
      </c>
      <c r="CR37" s="76" t="str">
        <f aca="false">IF($I37&gt;0%,IF(AND(CR$16&gt;=$F37,CR$16&lt;$F37+($G37*$I37)),"➤",""),"")</f>
        <v/>
      </c>
      <c r="CS37" s="76" t="str">
        <f aca="false">IF($I37&gt;0%,IF(AND(CS$16&gt;=$F37,CS$16&lt;$F37+($G37*$I37)),"➤",""),"")</f>
        <v/>
      </c>
      <c r="CT37" s="76" t="str">
        <f aca="false">IF($I37&gt;0%,IF(AND(CT$16&gt;=$F37,CT$16&lt;$F37+($G37*$I37)),"➤",""),"")</f>
        <v/>
      </c>
      <c r="CU37" s="76" t="str">
        <f aca="false">IF($I37&gt;0%,IF(AND(CU$16&gt;=$F37,CU$16&lt;$F37+($G37*$I37)),"➤",""),"")</f>
        <v/>
      </c>
      <c r="CV37" s="76" t="str">
        <f aca="false">IF($I37&gt;0%,IF(AND(CV$16&gt;=$F37,CV$16&lt;$F37+($G37*$I37)),"➤",""),"")</f>
        <v/>
      </c>
      <c r="CW37" s="76" t="str">
        <f aca="false">IF($I37&gt;0%,IF(AND(CW$16&gt;=$F37,CW$16&lt;$F37+($G37*$I37)),"➤",""),"")</f>
        <v/>
      </c>
      <c r="CX37" s="76" t="str">
        <f aca="false">IF($I37&gt;0%,IF(AND(CX$16&gt;=$F37,CX$16&lt;$F37+($G37*$I37)),"➤",""),"")</f>
        <v/>
      </c>
      <c r="CY37" s="76" t="str">
        <f aca="false">IF($I37&gt;0%,IF(AND(CY$16&gt;=$F37,CY$16&lt;$F37+($G37*$I37)),"➤",""),"")</f>
        <v/>
      </c>
      <c r="CZ37" s="76" t="str">
        <f aca="false">IF($I37&gt;0%,IF(AND(CZ$16&gt;=$F37,CZ$16&lt;$F37+($G37*$I37)),"➤",""),"")</f>
        <v/>
      </c>
      <c r="DA37" s="76" t="str">
        <f aca="false">IF($I37&gt;0%,IF(AND(DA$16&gt;=$F37,DA$16&lt;$F37+($G37*$I37)),"➤",""),"")</f>
        <v/>
      </c>
      <c r="DB37" s="76" t="str">
        <f aca="false">IF($I37&gt;0%,IF(AND(DB$16&gt;=$F37,DB$16&lt;$F37+($G37*$I37)),"➤",""),"")</f>
        <v/>
      </c>
      <c r="DC37" s="76" t="str">
        <f aca="false">IF($I37&gt;0%,IF(AND(DC$16&gt;=$F37,DC$16&lt;$F37+($G37*$I37)),"➤",""),"")</f>
        <v/>
      </c>
      <c r="DD37" s="76" t="str">
        <f aca="false">IF($I37&gt;0%,IF(AND(DD$16&gt;=$F37,DD$16&lt;$F37+($G37*$I37)),"➤",""),"")</f>
        <v/>
      </c>
      <c r="DE37" s="76" t="str">
        <f aca="false">IF($I37&gt;0%,IF(AND(DE$16&gt;=$F37,DE$16&lt;$F37+($G37*$I37)),"➤",""),"")</f>
        <v/>
      </c>
      <c r="DF37" s="76" t="str">
        <f aca="false">IF($I37&gt;0%,IF(AND(DF$16&gt;=$F37,DF$16&lt;$F37+($G37*$I37)),"➤",""),"")</f>
        <v/>
      </c>
      <c r="DG37" s="76" t="str">
        <f aca="false">IF($I37&gt;0%,IF(AND(DG$16&gt;=$F37,DG$16&lt;$F37+($G37*$I37)),"➤",""),"")</f>
        <v/>
      </c>
      <c r="DH37" s="76" t="str">
        <f aca="false">IF($I37&gt;0%,IF(AND(DH$16&gt;=$F37,DH$16&lt;$F37+($G37*$I37)),"➤",""),"")</f>
        <v/>
      </c>
      <c r="DI37" s="76" t="str">
        <f aca="false">IF($I37&gt;0%,IF(AND(DI$16&gt;=$F37,DI$16&lt;$F37+($G37*$I37)),"➤",""),"")</f>
        <v/>
      </c>
      <c r="DJ37" s="76" t="str">
        <f aca="false">IF($I37&gt;0%,IF(AND(DJ$16&gt;=$F37,DJ$16&lt;$F37+($G37*$I37)),"➤",""),"")</f>
        <v/>
      </c>
      <c r="DK37" s="76" t="str">
        <f aca="false">IF($I37&gt;0%,IF(AND(DK$16&gt;=$F37,DK$16&lt;$F37+($G37*$I37)),"➤",""),"")</f>
        <v/>
      </c>
      <c r="DL37" s="76" t="str">
        <f aca="false">IF($I37&gt;0%,IF(AND(DL$16&gt;=$F37,DL$16&lt;$F37+($G37*$I37)),"➤",""),"")</f>
        <v/>
      </c>
      <c r="DM37" s="76" t="str">
        <f aca="false">IF($I37&gt;0%,IF(AND(DM$16&gt;=$F37,DM$16&lt;$F37+($G37*$I37)),"➤",""),"")</f>
        <v/>
      </c>
      <c r="DN37" s="76" t="str">
        <f aca="false">IF($I37&gt;0%,IF(AND(DN$16&gt;=$F37,DN$16&lt;$F37+($G37*$I37)),"➤",""),"")</f>
        <v/>
      </c>
      <c r="DO37" s="76" t="str">
        <f aca="false">IF($I37&gt;0%,IF(AND(DO$16&gt;=$F37,DO$16&lt;$F37+($G37*$I37)),"➤",""),"")</f>
        <v/>
      </c>
      <c r="DP37" s="76" t="str">
        <f aca="false">IF($I37&gt;0%,IF(AND(DP$16&gt;=$F37,DP$16&lt;$F37+($G37*$I37)),"➤",""),"")</f>
        <v/>
      </c>
      <c r="DQ37" s="76" t="str">
        <f aca="false">IF($I37&gt;0%,IF(AND(DQ$16&gt;=$F37,DQ$16&lt;$F37+($G37*$I37)),"➤",""),"")</f>
        <v/>
      </c>
      <c r="DR37" s="76" t="str">
        <f aca="false">IF($I37&gt;0%,IF(AND(DR$16&gt;=$F37,DR$16&lt;$F37+($G37*$I37)),"➤",""),"")</f>
        <v/>
      </c>
      <c r="DS37" s="76" t="str">
        <f aca="false">IF($I37&gt;0%,IF(AND(DS$16&gt;=$F37,DS$16&lt;$F37+($G37*$I37)),"➤",""),"")</f>
        <v/>
      </c>
      <c r="DT37" s="76" t="str">
        <f aca="false">IF($I37&gt;0%,IF(AND(DT$16&gt;=$F37,DT$16&lt;$F37+($G37*$I37)),"➤",""),"")</f>
        <v/>
      </c>
      <c r="DU37" s="76" t="str">
        <f aca="false">IF($I37&gt;0%,IF(AND(DU$16&gt;=$F37,DU$16&lt;$F37+($G37*$I37)),"➤",""),"")</f>
        <v/>
      </c>
      <c r="DV37" s="76" t="str">
        <f aca="false">IF($I37&gt;0%,IF(AND(DV$16&gt;=$F37,DV$16&lt;$F37+($G37*$I37)),"➤",""),"")</f>
        <v/>
      </c>
      <c r="DW37" s="76" t="str">
        <f aca="false">IF($I37&gt;0%,IF(AND(DW$16&gt;=$F37,DW$16&lt;$F37+($G37*$I37)),"➤",""),"")</f>
        <v/>
      </c>
      <c r="DX37" s="76" t="str">
        <f aca="false">IF($I37&gt;0%,IF(AND(DX$16&gt;=$F37,DX$16&lt;$F37+($G37*$I37)),"➤",""),"")</f>
        <v/>
      </c>
      <c r="DY37" s="76" t="str">
        <f aca="false">IF($I37&gt;0%,IF(AND(DY$16&gt;=$F37,DY$16&lt;$F37+($G37*$I37)),"➤",""),"")</f>
        <v/>
      </c>
      <c r="DZ37" s="76" t="str">
        <f aca="false">IF($I37&gt;0%,IF(AND(DZ$16&gt;=$F37,DZ$16&lt;$F37+($G37*$I37)),"➤",""),"")</f>
        <v/>
      </c>
      <c r="EA37" s="76" t="str">
        <f aca="false">IF($I37&gt;0%,IF(AND(EA$16&gt;=$F37,EA$16&lt;$F37+($G37*$I37)),"➤",""),"")</f>
        <v/>
      </c>
      <c r="EB37" s="76" t="str">
        <f aca="false">IF($I37&gt;0%,IF(AND(EB$16&gt;=$F37,EB$16&lt;$F37+($G37*$I37)),"➤",""),"")</f>
        <v/>
      </c>
      <c r="EC37" s="76" t="str">
        <f aca="false">IF($I37&gt;0%,IF(AND(EC$16&gt;=$F37,EC$16&lt;$F37+($G37*$I37)),"➤",""),"")</f>
        <v/>
      </c>
      <c r="ED37" s="76" t="str">
        <f aca="false">IF($I37&gt;0%,IF(AND(ED$16&gt;=$F37,ED$16&lt;$F37+($G37*$I37)),"➤",""),"")</f>
        <v/>
      </c>
      <c r="EE37" s="76" t="str">
        <f aca="false">IF($I37&gt;0%,IF(AND(EE$16&gt;=$F37,EE$16&lt;$F37+($G37*$I37)),"➤",""),"")</f>
        <v/>
      </c>
      <c r="EF37" s="76" t="str">
        <f aca="false">IF($I37&gt;0%,IF(AND(EF$16&gt;=$F37,EF$16&lt;$F37+($G37*$I37)),"➤",""),"")</f>
        <v/>
      </c>
      <c r="EG37" s="76" t="str">
        <f aca="false">IF($I37&gt;0%,IF(AND(EG$16&gt;=$F37,EG$16&lt;$F37+($G37*$I37)),"➤",""),"")</f>
        <v/>
      </c>
      <c r="EH37" s="76" t="str">
        <f aca="false">IF($I37&gt;0%,IF(AND(EH$16&gt;=$F37,EH$16&lt;$F37+($G37*$I37)),"➤",""),"")</f>
        <v/>
      </c>
      <c r="EI37" s="76" t="str">
        <f aca="false">IF($I37&gt;0%,IF(AND(EI$16&gt;=$F37,EI$16&lt;$F37+($G37*$I37)),"➤",""),"")</f>
        <v/>
      </c>
      <c r="EJ37" s="76" t="str">
        <f aca="false">IF($I37&gt;0%,IF(AND(EJ$16&gt;=$F37,EJ$16&lt;$F37+($G37*$I37)),"➤",""),"")</f>
        <v/>
      </c>
      <c r="EK37" s="76" t="str">
        <f aca="false">IF($I37&gt;0%,IF(AND(EK$16&gt;=$F37,EK$16&lt;$F37+($G37*$I37)),"➤",""),"")</f>
        <v/>
      </c>
      <c r="EL37" s="76" t="str">
        <f aca="false">IF($I37&gt;0%,IF(AND(EL$16&gt;=$F37,EL$16&lt;$F37+($G37*$I37)),"➤",""),"")</f>
        <v/>
      </c>
      <c r="EM37" s="76" t="str">
        <f aca="false">IF($I37&gt;0%,IF(AND(EM$16&gt;=$F37,EM$16&lt;$F37+($G37*$I37)),"➤",""),"")</f>
        <v/>
      </c>
      <c r="EN37" s="76" t="str">
        <f aca="false">IF($I37&gt;0%,IF(AND(EN$16&gt;=$F37,EN$16&lt;$F37+($G37*$I37)),"➤",""),"")</f>
        <v/>
      </c>
      <c r="EO37" s="76" t="str">
        <f aca="false">IF($I37&gt;0%,IF(AND(EO$16&gt;=$F37,EO$16&lt;$F37+($G37*$I37)),"➤",""),"")</f>
        <v/>
      </c>
      <c r="EP37" s="76" t="str">
        <f aca="false">IF($I37&gt;0%,IF(AND(EP$16&gt;=$F37,EP$16&lt;$F37+($G37*$I37)),"➤",""),"")</f>
        <v/>
      </c>
      <c r="EQ37" s="76" t="str">
        <f aca="false">IF($I37&gt;0%,IF(AND(EQ$16&gt;=$F37,EQ$16&lt;$F37+($G37*$I37)),"➤",""),"")</f>
        <v/>
      </c>
      <c r="ER37" s="76" t="str">
        <f aca="false">IF($I37&gt;0%,IF(AND(ER$16&gt;=$F37,ER$16&lt;$F37+($G37*$I37)),"➤",""),"")</f>
        <v/>
      </c>
      <c r="ES37" s="76" t="str">
        <f aca="false">IF($I37&gt;0%,IF(AND(ES$16&gt;=$F37,ES$16&lt;$F37+($G37*$I37)),"➤",""),"")</f>
        <v/>
      </c>
      <c r="ET37" s="76" t="str">
        <f aca="false">IF($I37&gt;0%,IF(AND(ET$16&gt;=$F37,ET$16&lt;$F37+($G37*$I37)),"➤",""),"")</f>
        <v/>
      </c>
      <c r="EU37" s="76" t="str">
        <f aca="false">IF($I37&gt;0%,IF(AND(EU$16&gt;=$F37,EU$16&lt;$F37+($G37*$I37)),"➤",""),"")</f>
        <v/>
      </c>
      <c r="EV37" s="76" t="str">
        <f aca="false">IF($I37&gt;0%,IF(AND(EV$16&gt;=$F37,EV$16&lt;$F37+($G37*$I37)),"➤",""),"")</f>
        <v/>
      </c>
      <c r="EW37" s="76" t="str">
        <f aca="false">IF($I37&gt;0%,IF(AND(EW$16&gt;=$F37,EW$16&lt;$F37+($G37*$I37)),"➤",""),"")</f>
        <v/>
      </c>
      <c r="EX37" s="76" t="str">
        <f aca="false">IF($I37&gt;0%,IF(AND(EX$16&gt;=$F37,EX$16&lt;$F37+($G37*$I37)),"➤",""),"")</f>
        <v/>
      </c>
      <c r="EY37" s="76" t="str">
        <f aca="false">IF($I37&gt;0%,IF(AND(EY$16&gt;=$F37,EY$16&lt;$F37+($G37*$I37)),"➤",""),"")</f>
        <v/>
      </c>
      <c r="EZ37" s="76" t="str">
        <f aca="false">IF($I37&gt;0%,IF(AND(EZ$16&gt;=$F37,EZ$16&lt;$F37+($G37*$I37)),"➤",""),"")</f>
        <v/>
      </c>
      <c r="FA37" s="76" t="str">
        <f aca="false">IF($I37&gt;0%,IF(AND(FA$16&gt;=$F37,FA$16&lt;$F37+($G37*$I37)),"➤",""),"")</f>
        <v/>
      </c>
      <c r="FB37" s="76" t="str">
        <f aca="false">IF($I37&gt;0%,IF(AND(FB$16&gt;=$F37,FB$16&lt;$F37+($G37*$I37)),"➤",""),"")</f>
        <v/>
      </c>
      <c r="FC37" s="76" t="str">
        <f aca="false">IF($I37&gt;0%,IF(AND(FC$16&gt;=$F37,FC$16&lt;$F37+($G37*$I37)),"➤",""),"")</f>
        <v/>
      </c>
      <c r="FD37" s="76" t="str">
        <f aca="false">IF($I37&gt;0%,IF(AND(FD$16&gt;=$F37,FD$16&lt;$F37+($G37*$I37)),"➤",""),"")</f>
        <v/>
      </c>
      <c r="FE37" s="76" t="str">
        <f aca="false">IF($I37&gt;0%,IF(AND(FE$16&gt;=$F37,FE$16&lt;$F37+($G37*$I37)),"➤",""),"")</f>
        <v/>
      </c>
      <c r="FF37" s="76" t="str">
        <f aca="false">IF($I37&gt;0%,IF(AND(FF$16&gt;=$F37,FF$16&lt;$F37+($G37*$I37)),"➤",""),"")</f>
        <v/>
      </c>
      <c r="FG37" s="76" t="str">
        <f aca="false">IF($I37&gt;0%,IF(AND(FG$16&gt;=$F37,FG$16&lt;$F37+($G37*$I37)),"➤",""),"")</f>
        <v/>
      </c>
      <c r="FH37" s="76" t="str">
        <f aca="false">IF($I37&gt;0%,IF(AND(FH$16&gt;=$F37,FH$16&lt;$F37+($G37*$I37)),"➤",""),"")</f>
        <v/>
      </c>
      <c r="FI37" s="76" t="str">
        <f aca="false">IF($I37&gt;0%,IF(AND(FI$16&gt;=$F37,FI$16&lt;$F37+($G37*$I37)),"➤",""),"")</f>
        <v/>
      </c>
      <c r="FJ37" s="76" t="str">
        <f aca="false">IF($I37&gt;0%,IF(AND(FJ$16&gt;=$F37,FJ$16&lt;$F37+($G37*$I37)),"➤",""),"")</f>
        <v/>
      </c>
      <c r="FK37" s="76" t="str">
        <f aca="false">IF($I37&gt;0%,IF(AND(FK$16&gt;=$F37,FK$16&lt;$F37+($G37*$I37)),"➤",""),"")</f>
        <v/>
      </c>
      <c r="FL37" s="76" t="str">
        <f aca="false">IF($I37&gt;0%,IF(AND(FL$16&gt;=$F37,FL$16&lt;$F37+($G37*$I37)),"➤",""),"")</f>
        <v/>
      </c>
      <c r="FM37" s="76" t="str">
        <f aca="false">IF($I37&gt;0%,IF(AND(FM$16&gt;=$F37,FM$16&lt;$F37+($G37*$I37)),"➤",""),"")</f>
        <v/>
      </c>
      <c r="FN37" s="76" t="str">
        <f aca="false">IF($I37&gt;0%,IF(AND(FN$16&gt;=$F37,FN$16&lt;$F37+($G37*$I37)),"➤",""),"")</f>
        <v/>
      </c>
      <c r="FO37" s="76" t="str">
        <f aca="false">IF($I37&gt;0%,IF(AND(FO$16&gt;=$F37,FO$16&lt;$F37+($G37*$I37)),"➤",""),"")</f>
        <v/>
      </c>
      <c r="FP37" s="76" t="str">
        <f aca="false">IF($I37&gt;0%,IF(AND(FP$16&gt;=$F37,FP$16&lt;$F37+($G37*$I37)),"➤",""),"")</f>
        <v/>
      </c>
      <c r="FQ37" s="76" t="str">
        <f aca="false">IF($I37&gt;0%,IF(AND(FQ$16&gt;=$F37,FQ$16&lt;$F37+($G37*$I37)),"➤",""),"")</f>
        <v/>
      </c>
      <c r="FR37" s="76" t="str">
        <f aca="false">IF($I37&gt;0%,IF(AND(FR$16&gt;=$F37,FR$16&lt;$F37+($G37*$I37)),"➤",""),"")</f>
        <v/>
      </c>
      <c r="FS37" s="76" t="str">
        <f aca="false">IF($I37&gt;0%,IF(AND(FS$16&gt;=$F37,FS$16&lt;$F37+($G37*$I37)),"➤",""),"")</f>
        <v/>
      </c>
      <c r="FT37" s="76" t="str">
        <f aca="false">IF($I37&gt;0%,IF(AND(FT$16&gt;=$F37,FT$16&lt;$F37+($G37*$I37)),"➤",""),"")</f>
        <v/>
      </c>
      <c r="FU37" s="76" t="str">
        <f aca="false">IF($I37&gt;0%,IF(AND(FU$16&gt;=$F37,FU$16&lt;$F37+($G37*$I37)),"➤",""),"")</f>
        <v/>
      </c>
      <c r="FV37" s="76" t="str">
        <f aca="false">IF($I37&gt;0%,IF(AND(FV$16&gt;=$F37,FV$16&lt;$F37+($G37*$I37)),"➤",""),"")</f>
        <v/>
      </c>
      <c r="FW37" s="76" t="str">
        <f aca="false">IF($I37&gt;0%,IF(AND(FW$16&gt;=$F37,FW$16&lt;$F37+($G37*$I37)),"➤",""),"")</f>
        <v/>
      </c>
      <c r="FX37" s="76" t="str">
        <f aca="false">IF($I37&gt;0%,IF(AND(FX$16&gt;=$F37,FX$16&lt;$F37+($G37*$I37)),"➤",""),"")</f>
        <v/>
      </c>
      <c r="FY37" s="76" t="str">
        <f aca="false">IF($I37&gt;0%,IF(AND(FY$16&gt;=$F37,FY$16&lt;$F37+($G37*$I37)),"➤",""),"")</f>
        <v/>
      </c>
      <c r="FZ37" s="76" t="str">
        <f aca="false">IF($I37&gt;0%,IF(AND(FZ$16&gt;=$F37,FZ$16&lt;$F37+($G37*$I37)),"➤",""),"")</f>
        <v/>
      </c>
      <c r="GA37" s="76" t="str">
        <f aca="false">IF($I37&gt;0%,IF(AND(GA$16&gt;=$F37,GA$16&lt;$F37+($G37*$I37)),"➤",""),"")</f>
        <v/>
      </c>
      <c r="GB37" s="76" t="str">
        <f aca="false">IF($I37&gt;0%,IF(AND(GB$16&gt;=$F37,GB$16&lt;$F37+($G37*$I37)),"➤",""),"")</f>
        <v/>
      </c>
      <c r="GC37" s="76" t="str">
        <f aca="false">IF($I37&gt;0%,IF(AND(GC$16&gt;=$F37,GC$16&lt;$F37+($G37*$I37)),"➤",""),"")</f>
        <v/>
      </c>
      <c r="GD37" s="76" t="str">
        <f aca="false">IF($I37&gt;0%,IF(AND(GD$16&gt;=$F37,GD$16&lt;$F37+($G37*$I37)),"➤",""),"")</f>
        <v/>
      </c>
      <c r="GE37" s="76" t="str">
        <f aca="false">IF($I37&gt;0%,IF(AND(GE$16&gt;=$F37,GE$16&lt;$F37+($G37*$I37)),"➤",""),"")</f>
        <v/>
      </c>
      <c r="GF37" s="76" t="str">
        <f aca="false">IF($I37&gt;0%,IF(AND(GF$16&gt;=$F37,GF$16&lt;$F37+($G37*$I37)),"➤",""),"")</f>
        <v/>
      </c>
      <c r="GG37" s="76" t="str">
        <f aca="false">IF($I37&gt;0%,IF(AND(GG$16&gt;=$F37,GG$16&lt;$F37+($G37*$I37)),"➤",""),"")</f>
        <v/>
      </c>
      <c r="GH37" s="76" t="str">
        <f aca="false">IF($I37&gt;0%,IF(AND(GH$16&gt;=$F37,GH$16&lt;$F37+($G37*$I37)),"➤",""),"")</f>
        <v/>
      </c>
      <c r="GI37" s="76" t="str">
        <f aca="false">IF($I37&gt;0%,IF(AND(GI$16&gt;=$F37,GI$16&lt;$F37+($G37*$I37)),"➤",""),"")</f>
        <v/>
      </c>
      <c r="GJ37" s="76" t="str">
        <f aca="false">IF($I37&gt;0%,IF(AND(GJ$16&gt;=$F37,GJ$16&lt;$F37+($G37*$I37)),"➤",""),"")</f>
        <v/>
      </c>
      <c r="GK37" s="76" t="str">
        <f aca="false">IF($I37&gt;0%,IF(AND(GK$16&gt;=$F37,GK$16&lt;$F37+($G37*$I37)),"➤",""),"")</f>
        <v/>
      </c>
      <c r="GL37" s="76" t="str">
        <f aca="false">IF($I37&gt;0%,IF(AND(GL$16&gt;=$F37,GL$16&lt;$F37+($G37*$I37)),"➤",""),"")</f>
        <v/>
      </c>
      <c r="GM37" s="76" t="str">
        <f aca="false">IF($I37&gt;0%,IF(AND(GM$16&gt;=$F37,GM$16&lt;$F37+($G37*$I37)),"➤",""),"")</f>
        <v/>
      </c>
      <c r="GN37" s="76" t="str">
        <f aca="false">IF($I37&gt;0%,IF(AND(GN$16&gt;=$F37,GN$16&lt;$F37+($G37*$I37)),"➤",""),"")</f>
        <v/>
      </c>
      <c r="GO37" s="76" t="str">
        <f aca="false">IF($I37&gt;0%,IF(AND(GO$16&gt;=$F37,GO$16&lt;$F37+($G37*$I37)),"➤",""),"")</f>
        <v/>
      </c>
      <c r="GP37" s="76" t="str">
        <f aca="false">IF($I37&gt;0%,IF(AND(GP$16&gt;=$F37,GP$16&lt;$F37+($G37*$I37)),"➤",""),"")</f>
        <v/>
      </c>
      <c r="GQ37" s="76" t="str">
        <f aca="false">IF($I37&gt;0%,IF(AND(GQ$16&gt;=$F37,GQ$16&lt;$F37+($G37*$I37)),"➤",""),"")</f>
        <v/>
      </c>
      <c r="GR37" s="76" t="str">
        <f aca="false">IF($I37&gt;0%,IF(AND(GR$16&gt;=$F37,GR$16&lt;$F37+($G37*$I37)),"➤",""),"")</f>
        <v/>
      </c>
      <c r="GS37" s="76" t="str">
        <f aca="false">IF($I37&gt;0%,IF(AND(GS$16&gt;=$F37,GS$16&lt;$F37+($G37*$I37)),"➤",""),"")</f>
        <v/>
      </c>
      <c r="GT37" s="76" t="str">
        <f aca="false">IF($I37&gt;0%,IF(AND(GT$16&gt;=$F37,GT$16&lt;$F37+($G37*$I37)),"➤",""),"")</f>
        <v/>
      </c>
      <c r="GU37" s="76" t="str">
        <f aca="false">IF($I37&gt;0%,IF(AND(GU$16&gt;=$F37,GU$16&lt;$F37+($G37*$I37)),"➤",""),"")</f>
        <v/>
      </c>
      <c r="GV37" s="76" t="str">
        <f aca="false">IF($I37&gt;0%,IF(AND(GV$16&gt;=$F37,GV$16&lt;$F37+($G37*$I37)),"➤",""),"")</f>
        <v/>
      </c>
      <c r="GW37" s="76" t="str">
        <f aca="false">IF($I37&gt;0%,IF(AND(GW$16&gt;=$F37,GW$16&lt;$F37+($G37*$I37)),"➤",""),"")</f>
        <v/>
      </c>
      <c r="GX37" s="76" t="str">
        <f aca="false">IF($I37&gt;0%,IF(AND(GX$16&gt;=$F37,GX$16&lt;$F37+($G37*$I37)),"➤",""),"")</f>
        <v/>
      </c>
      <c r="GY37" s="76" t="str">
        <f aca="false">IF($I37&gt;0%,IF(AND(GY$16&gt;=$F37,GY$16&lt;$F37+($G37*$I37)),"➤",""),"")</f>
        <v/>
      </c>
      <c r="GZ37" s="76" t="str">
        <f aca="false">IF($I37&gt;0%,IF(AND(GZ$16&gt;=$F37,GZ$16&lt;$F37+($G37*$I37)),"➤",""),"")</f>
        <v/>
      </c>
      <c r="HA37" s="76" t="str">
        <f aca="false">IF($I37&gt;0%,IF(AND(HA$16&gt;=$F37,HA$16&lt;$F37+($G37*$I37)),"➤",""),"")</f>
        <v/>
      </c>
      <c r="HB37" s="76" t="str">
        <f aca="false">IF($I37&gt;0%,IF(AND(HB$16&gt;=$F37,HB$16&lt;$F37+($G37*$I37)),"➤",""),"")</f>
        <v/>
      </c>
      <c r="HC37" s="76" t="str">
        <f aca="false">IF($I37&gt;0%,IF(AND(HC$16&gt;=$F37,HC$16&lt;$F37+($G37*$I37)),"➤",""),"")</f>
        <v/>
      </c>
      <c r="HD37" s="76" t="str">
        <f aca="false">IF($I37&gt;0%,IF(AND(HD$16&gt;=$F37,HD$16&lt;$F37+($G37*$I37)),"➤",""),"")</f>
        <v/>
      </c>
      <c r="HE37" s="76" t="str">
        <f aca="false">IF($I37&gt;0%,IF(AND(HE$16&gt;=$F37,HE$16&lt;$F37+($G37*$I37)),"➤",""),"")</f>
        <v/>
      </c>
      <c r="HF37" s="76" t="str">
        <f aca="false">IF($I37&gt;0%,IF(AND(HF$16&gt;=$F37,HF$16&lt;$F37+($G37*$I37)),"➤",""),"")</f>
        <v/>
      </c>
      <c r="HG37" s="76" t="str">
        <f aca="false">IF($I37&gt;0%,IF(AND(HG$16&gt;=$F37,HG$16&lt;$F37+($G37*$I37)),"➤",""),"")</f>
        <v/>
      </c>
      <c r="HH37" s="76" t="str">
        <f aca="false">IF($I37&gt;0%,IF(AND(HH$16&gt;=$F37,HH$16&lt;$F37+($G37*$I37)),"➤",""),"")</f>
        <v/>
      </c>
      <c r="HI37" s="76" t="str">
        <f aca="false">IF($I37&gt;0%,IF(AND(HI$16&gt;=$F37,HI$16&lt;$F37+($G37*$I37)),"➤",""),"")</f>
        <v/>
      </c>
      <c r="HJ37" s="76" t="str">
        <f aca="false">IF($I37&gt;0%,IF(AND(HJ$16&gt;=$F37,HJ$16&lt;$F37+($G37*$I37)),"➤",""),"")</f>
        <v/>
      </c>
      <c r="HK37" s="76" t="str">
        <f aca="false">IF($I37&gt;0%,IF(AND(HK$16&gt;=$F37,HK$16&lt;$F37+($G37*$I37)),"➤",""),"")</f>
        <v/>
      </c>
      <c r="HL37" s="76" t="str">
        <f aca="false">IF($I37&gt;0%,IF(AND(HL$16&gt;=$F37,HL$16&lt;$F37+($G37*$I37)),"➤",""),"")</f>
        <v/>
      </c>
      <c r="HM37" s="76" t="str">
        <f aca="false">IF($I37&gt;0%,IF(AND(HM$16&gt;=$F37,HM$16&lt;$F37+($G37*$I37)),"➤",""),"")</f>
        <v/>
      </c>
      <c r="HN37" s="76" t="str">
        <f aca="false">IF($I37&gt;0%,IF(AND(HN$16&gt;=$F37,HN$16&lt;$F37+($G37*$I37)),"➤",""),"")</f>
        <v/>
      </c>
      <c r="HO37" s="76" t="str">
        <f aca="false">IF($I37&gt;0%,IF(AND(HO$16&gt;=$F37,HO$16&lt;$F37+($G37*$I37)),"➤",""),"")</f>
        <v/>
      </c>
      <c r="HP37" s="76" t="str">
        <f aca="false">IF($I37&gt;0%,IF(AND(HP$16&gt;=$F37,HP$16&lt;$F37+($G37*$I37)),"➤",""),"")</f>
        <v/>
      </c>
      <c r="HQ37" s="76" t="str">
        <f aca="false">IF($I37&gt;0%,IF(AND(HQ$16&gt;=$F37,HQ$16&lt;$F37+($G37*$I37)),"➤",""),"")</f>
        <v/>
      </c>
      <c r="HR37" s="76" t="str">
        <f aca="false">IF($I37&gt;0%,IF(AND(HR$16&gt;=$F37,HR$16&lt;$F37+($G37*$I37)),"➤",""),"")</f>
        <v/>
      </c>
      <c r="HS37" s="76" t="str">
        <f aca="false">IF($I37&gt;0%,IF(AND(HS$16&gt;=$F37,HS$16&lt;$F37+($G37*$I37)),"➤",""),"")</f>
        <v/>
      </c>
      <c r="HT37" s="76" t="str">
        <f aca="false">IF($I37&gt;0%,IF(AND(HT$16&gt;=$F37,HT$16&lt;$F37+($G37*$I37)),"➤",""),"")</f>
        <v/>
      </c>
      <c r="HU37" s="76" t="str">
        <f aca="false">IF($I37&gt;0%,IF(AND(HU$16&gt;=$F37,HU$16&lt;$F37+($G37*$I37)),"➤",""),"")</f>
        <v/>
      </c>
      <c r="HV37" s="76" t="str">
        <f aca="false">IF($I37&gt;0%,IF(AND(HV$16&gt;=$F37,HV$16&lt;$F37+($G37*$I37)),"➤",""),"")</f>
        <v/>
      </c>
      <c r="HW37" s="76" t="str">
        <f aca="false">IF($I37&gt;0%,IF(AND(HW$16&gt;=$F37,HW$16&lt;$F37+($G37*$I37)),"➤",""),"")</f>
        <v/>
      </c>
      <c r="HX37" s="76" t="str">
        <f aca="false">IF($I37&gt;0%,IF(AND(HX$16&gt;=$F37,HX$16&lt;$F37+($G37*$I37)),"➤",""),"")</f>
        <v/>
      </c>
      <c r="HY37" s="76" t="str">
        <f aca="false">IF($I37&gt;0%,IF(AND(HY$16&gt;=$F37,HY$16&lt;$F37+($G37*$I37)),"➤",""),"")</f>
        <v/>
      </c>
      <c r="HZ37" s="76" t="str">
        <f aca="false">IF($I37&gt;0%,IF(AND(HZ$16&gt;=$F37,HZ$16&lt;$F37+($G37*$I37)),"➤",""),"")</f>
        <v/>
      </c>
      <c r="IA37" s="76" t="str">
        <f aca="false">IF($I37&gt;0%,IF(AND(IA$16&gt;=$F37,IA$16&lt;$F37+($G37*$I37)),"➤",""),"")</f>
        <v/>
      </c>
      <c r="IB37" s="76" t="str">
        <f aca="false">IF($I37&gt;0%,IF(AND(IB$16&gt;=$F37,IB$16&lt;$F37+($G37*$I37)),"➤",""),"")</f>
        <v/>
      </c>
      <c r="IC37" s="76" t="str">
        <f aca="false">IF($I37&gt;0%,IF(AND(IC$16&gt;=$F37,IC$16&lt;$F37+($G37*$I37)),"➤",""),"")</f>
        <v/>
      </c>
      <c r="ID37" s="76" t="str">
        <f aca="false">IF($I37&gt;0%,IF(AND(ID$16&gt;=$F37,ID$16&lt;$F37+($G37*$I37)),"➤",""),"")</f>
        <v/>
      </c>
      <c r="IE37" s="76" t="str">
        <f aca="false">IF($I37&gt;0%,IF(AND(IE$16&gt;=$F37,IE$16&lt;$F37+($G37*$I37)),"➤",""),"")</f>
        <v/>
      </c>
      <c r="IF37" s="76" t="str">
        <f aca="false">IF($I37&gt;0%,IF(AND(IF$16&gt;=$F37,IF$16&lt;$F37+($G37*$I37)),"➤",""),"")</f>
        <v/>
      </c>
      <c r="IG37" s="76" t="str">
        <f aca="false">IF($I37&gt;0%,IF(AND(IG$16&gt;=$F37,IG$16&lt;$F37+($G37*$I37)),"➤",""),"")</f>
        <v/>
      </c>
      <c r="IH37" s="76" t="str">
        <f aca="false">IF($I37&gt;0%,IF(AND(IH$16&gt;=$F37,IH$16&lt;$F37+($G37*$I37)),"➤",""),"")</f>
        <v/>
      </c>
      <c r="II37" s="76" t="str">
        <f aca="false">IF($I37&gt;0%,IF(AND(II$16&gt;=$F37,II$16&lt;$F37+($G37*$I37)),"➤",""),"")</f>
        <v/>
      </c>
      <c r="IJ37" s="76" t="str">
        <f aca="false">IF($I37&gt;0%,IF(AND(IJ$16&gt;=$F37,IJ$16&lt;$F37+($G37*$I37)),"➤",""),"")</f>
        <v/>
      </c>
      <c r="IK37" s="76" t="str">
        <f aca="false">IF($I37&gt;0%,IF(AND(IK$16&gt;=$F37,IK$16&lt;$F37+($G37*$I37)),"➤",""),"")</f>
        <v/>
      </c>
      <c r="IL37" s="76" t="str">
        <f aca="false">IF($I37&gt;0%,IF(AND(IL$16&gt;=$F37,IL$16&lt;$F37+($G37*$I37)),"➤",""),"")</f>
        <v/>
      </c>
      <c r="IM37" s="76" t="str">
        <f aca="false">IF($I37&gt;0%,IF(AND(IM$16&gt;=$F37,IM$16&lt;$F37+($G37*$I37)),"➤",""),"")</f>
        <v/>
      </c>
      <c r="IN37" s="76" t="str">
        <f aca="false">IF($I37&gt;0%,IF(AND(IN$16&gt;=$F37,IN$16&lt;$F37+($G37*$I37)),"➤",""),"")</f>
        <v/>
      </c>
      <c r="IO37" s="76" t="str">
        <f aca="false">IF($I37&gt;0%,IF(AND(IO$16&gt;=$F37,IO$16&lt;$F37+($G37*$I37)),"➤",""),"")</f>
        <v/>
      </c>
      <c r="IP37" s="76" t="str">
        <f aca="false">IF($I37&gt;0%,IF(AND(IP$16&gt;=$F37,IP$16&lt;$F37+($G37*$I37)),"➤",""),"")</f>
        <v/>
      </c>
      <c r="IQ37" s="76" t="str">
        <f aca="false">IF($I37&gt;0%,IF(AND(IQ$16&gt;=$F37,IQ$16&lt;$F37+($G37*$I37)),"➤",""),"")</f>
        <v/>
      </c>
      <c r="IR37" s="76" t="str">
        <f aca="false">IF($I37&gt;0%,IF(AND(IR$16&gt;=$F37,IR$16&lt;$F37+($G37*$I37)),"➤",""),"")</f>
        <v/>
      </c>
      <c r="IS37" s="76" t="str">
        <f aca="false">IF($I37&gt;0%,IF(AND(IS$16&gt;=$F37,IS$16&lt;$F37+($G37*$I37)),"➤",""),"")</f>
        <v/>
      </c>
      <c r="IT37" s="76" t="str">
        <f aca="false">IF($I37&gt;0%,IF(AND(IT$16&gt;=$F37,IT$16&lt;$F37+($G37*$I37)),"➤",""),"")</f>
        <v/>
      </c>
      <c r="IU37" s="76" t="str">
        <f aca="false">IF($I37&gt;0%,IF(AND(IU$16&gt;=$F37,IU$16&lt;$F37+($G37*$I37)),"➤",""),"")</f>
        <v/>
      </c>
      <c r="IV37" s="76" t="str">
        <f aca="false">IF($I37&gt;0%,IF(AND(IV$16&gt;=$F37,IV$16&lt;$F37+($G37*$I37)),"➤",""),"")</f>
        <v/>
      </c>
      <c r="IW37" s="76" t="str">
        <f aca="false">IF($I37&gt;0%,IF(AND(IW$16&gt;=$F37,IW$16&lt;$F37+($G37*$I37)),"➤",""),"")</f>
        <v/>
      </c>
      <c r="IX37" s="76" t="str">
        <f aca="false">IF($I37&gt;0%,IF(AND(IX$16&gt;=$F37,IX$16&lt;$F37+($G37*$I37)),"➤",""),"")</f>
        <v/>
      </c>
      <c r="IY37" s="76" t="str">
        <f aca="false">IF($I37&gt;0%,IF(AND(IY$16&gt;=$F37,IY$16&lt;$F37+($G37*$I37)),"➤",""),"")</f>
        <v/>
      </c>
      <c r="IZ37" s="76" t="str">
        <f aca="false">IF($I37&gt;0%,IF(AND(IZ$16&gt;=$F37,IZ$16&lt;$F37+($G37*$I37)),"➤",""),"")</f>
        <v/>
      </c>
      <c r="JA37" s="76" t="str">
        <f aca="false">IF($I37&gt;0%,IF(AND(JA$16&gt;=$F37,JA$16&lt;$F37+($G37*$I37)),"➤",""),"")</f>
        <v/>
      </c>
      <c r="JB37" s="76" t="str">
        <f aca="false">IF($I37&gt;0%,IF(AND(JB$16&gt;=$F37,JB$16&lt;$F37+($G37*$I37)),"➤",""),"")</f>
        <v/>
      </c>
      <c r="JC37" s="76" t="str">
        <f aca="false">IF($I37&gt;0%,IF(AND(JC$16&gt;=$F37,JC$16&lt;$F37+($G37*$I37)),"➤",""),"")</f>
        <v/>
      </c>
      <c r="JD37" s="76" t="str">
        <f aca="false">IF($I37&gt;0%,IF(AND(JD$16&gt;=$F37,JD$16&lt;$F37+($G37*$I37)),"➤",""),"")</f>
        <v/>
      </c>
      <c r="JE37" s="76" t="str">
        <f aca="false">IF($I37&gt;0%,IF(AND(JE$16&gt;=$F37,JE$16&lt;$F37+($G37*$I37)),"➤",""),"")</f>
        <v/>
      </c>
      <c r="JF37" s="76" t="str">
        <f aca="false">IF($I37&gt;0%,IF(AND(JF$16&gt;=$F37,JF$16&lt;$F37+($G37*$I37)),"➤",""),"")</f>
        <v/>
      </c>
      <c r="JG37" s="76" t="str">
        <f aca="false">IF($I37&gt;0%,IF(AND(JG$16&gt;=$F37,JG$16&lt;$F37+($G37*$I37)),"➤",""),"")</f>
        <v/>
      </c>
      <c r="JH37" s="76" t="str">
        <f aca="false">IF($I37&gt;0%,IF(AND(JH$16&gt;=$F37,JH$16&lt;$F37+($G37*$I37)),"➤",""),"")</f>
        <v/>
      </c>
      <c r="JI37" s="76" t="str">
        <f aca="false">IF($I37&gt;0%,IF(AND(JI$16&gt;=$F37,JI$16&lt;$F37+($G37*$I37)),"➤",""),"")</f>
        <v/>
      </c>
      <c r="JJ37" s="76" t="str">
        <f aca="false">IF($I37&gt;0%,IF(AND(JJ$16&gt;=$F37,JJ$16&lt;$F37+($G37*$I37)),"➤",""),"")</f>
        <v/>
      </c>
      <c r="JK37" s="76" t="str">
        <f aca="false">IF($I37&gt;0%,IF(AND(JK$16&gt;=$F37,JK$16&lt;$F37+($G37*$I37)),"➤",""),"")</f>
        <v/>
      </c>
      <c r="JL37" s="76" t="str">
        <f aca="false">IF($I37&gt;0%,IF(AND(JL$16&gt;=$F37,JL$16&lt;$F37+($G37*$I37)),"➤",""),"")</f>
        <v/>
      </c>
      <c r="JM37" s="76" t="str">
        <f aca="false">IF($I37&gt;0%,IF(AND(JM$16&gt;=$F37,JM$16&lt;$F37+($G37*$I37)),"➤",""),"")</f>
        <v/>
      </c>
      <c r="JN37" s="76" t="str">
        <f aca="false">IF($I37&gt;0%,IF(AND(JN$16&gt;=$F37,JN$16&lt;$F37+($G37*$I37)),"➤",""),"")</f>
        <v/>
      </c>
      <c r="JO37" s="76" t="str">
        <f aca="false">IF($I37&gt;0%,IF(AND(JO$16&gt;=$F37,JO$16&lt;$F37+($G37*$I37)),"➤",""),"")</f>
        <v/>
      </c>
      <c r="JP37" s="76" t="str">
        <f aca="false">IF($I37&gt;0%,IF(AND(JP$16&gt;=$F37,JP$16&lt;$F37+($G37*$I37)),"➤",""),"")</f>
        <v/>
      </c>
      <c r="JQ37" s="76" t="str">
        <f aca="false">IF($I37&gt;0%,IF(AND(JQ$16&gt;=$F37,JQ$16&lt;$F37+($G37*$I37)),"➤",""),"")</f>
        <v/>
      </c>
      <c r="JR37" s="76" t="str">
        <f aca="false">IF($I37&gt;0%,IF(AND(JR$16&gt;=$F37,JR$16&lt;$F37+($G37*$I37)),"➤",""),"")</f>
        <v/>
      </c>
      <c r="JS37" s="76" t="str">
        <f aca="false">IF($I37&gt;0%,IF(AND(JS$16&gt;=$F37,JS$16&lt;$F37+($G37*$I37)),"➤",""),"")</f>
        <v/>
      </c>
      <c r="JT37" s="76" t="str">
        <f aca="false">IF($I37&gt;0%,IF(AND(JT$16&gt;=$F37,JT$16&lt;$F37+($G37*$I37)),"➤",""),"")</f>
        <v/>
      </c>
      <c r="JU37" s="76" t="str">
        <f aca="false">IF($I37&gt;0%,IF(AND(JU$16&gt;=$F37,JU$16&lt;$F37+($G37*$I37)),"➤",""),"")</f>
        <v/>
      </c>
      <c r="JV37" s="76" t="str">
        <f aca="false">IF($I37&gt;0%,IF(AND(JV$16&gt;=$F37,JV$16&lt;$F37+($G37*$I37)),"➤",""),"")</f>
        <v/>
      </c>
      <c r="JW37" s="76" t="str">
        <f aca="false">IF($I37&gt;0%,IF(AND(JW$16&gt;=$F37,JW$16&lt;$F37+($G37*$I37)),"➤",""),"")</f>
        <v/>
      </c>
      <c r="JX37" s="76" t="str">
        <f aca="false">IF($I37&gt;0%,IF(AND(JX$16&gt;=$F37,JX$16&lt;$F37+($G37*$I37)),"➤",""),"")</f>
        <v/>
      </c>
      <c r="JY37" s="76" t="str">
        <f aca="false">IF($I37&gt;0%,IF(AND(JY$16&gt;=$F37,JY$16&lt;$F37+($G37*$I37)),"➤",""),"")</f>
        <v/>
      </c>
      <c r="JZ37" s="76" t="str">
        <f aca="false">IF($I37&gt;0%,IF(AND(JZ$16&gt;=$F37,JZ$16&lt;$F37+($G37*$I37)),"➤",""),"")</f>
        <v/>
      </c>
      <c r="KA37" s="76" t="str">
        <f aca="false">IF($I37&gt;0%,IF(AND(KA$16&gt;=$F37,KA$16&lt;$F37+($G37*$I37)),"➤",""),"")</f>
        <v/>
      </c>
      <c r="KB37" s="76" t="str">
        <f aca="false">IF($I37&gt;0%,IF(AND(KB$16&gt;=$F37,KB$16&lt;$F37+($G37*$I37)),"➤",""),"")</f>
        <v/>
      </c>
      <c r="KC37" s="76" t="str">
        <f aca="false">IF($I37&gt;0%,IF(AND(KC$16&gt;=$F37,KC$16&lt;$F37+($G37*$I37)),"➤",""),"")</f>
        <v/>
      </c>
      <c r="KD37" s="76" t="str">
        <f aca="false">IF($I37&gt;0%,IF(AND(KD$16&gt;=$F37,KD$16&lt;$F37+($G37*$I37)),"➤",""),"")</f>
        <v/>
      </c>
      <c r="KE37" s="76" t="str">
        <f aca="false">IF($I37&gt;0%,IF(AND(KE$16&gt;=$F37,KE$16&lt;$F37+($G37*$I37)),"➤",""),"")</f>
        <v/>
      </c>
      <c r="KF37" s="76" t="str">
        <f aca="false">IF($I37&gt;0%,IF(AND(KF$16&gt;=$F37,KF$16&lt;$F37+($G37*$I37)),"➤",""),"")</f>
        <v/>
      </c>
      <c r="KG37" s="76" t="str">
        <f aca="false">IF($I37&gt;0%,IF(AND(KG$16&gt;=$F37,KG$16&lt;$F37+($G37*$I37)),"➤",""),"")</f>
        <v/>
      </c>
      <c r="KH37" s="76" t="str">
        <f aca="false">IF($I37&gt;0%,IF(AND(KH$16&gt;=$F37,KH$16&lt;$F37+($G37*$I37)),"➤",""),"")</f>
        <v/>
      </c>
      <c r="KI37" s="76" t="str">
        <f aca="false">IF($I37&gt;0%,IF(AND(KI$16&gt;=$F37,KI$16&lt;$F37+($G37*$I37)),"➤",""),"")</f>
        <v/>
      </c>
      <c r="KJ37" s="76" t="str">
        <f aca="false">IF($I37&gt;0%,IF(AND(KJ$16&gt;=$F37,KJ$16&lt;$F37+($G37*$I37)),"➤",""),"")</f>
        <v/>
      </c>
      <c r="KK37" s="76" t="str">
        <f aca="false">IF($I37&gt;0%,IF(AND(KK$16&gt;=$F37,KK$16&lt;$F37+($G37*$I37)),"➤",""),"")</f>
        <v/>
      </c>
      <c r="KL37" s="76" t="str">
        <f aca="false">IF($I37&gt;0%,IF(AND(KL$16&gt;=$F37,KL$16&lt;$F37+($G37*$I37)),"➤",""),"")</f>
        <v/>
      </c>
      <c r="KM37" s="76" t="str">
        <f aca="false">IF($I37&gt;0%,IF(AND(KM$16&gt;=$F37,KM$16&lt;$F37+($G37*$I37)),"➤",""),"")</f>
        <v/>
      </c>
      <c r="KN37" s="76" t="str">
        <f aca="false">IF($I37&gt;0%,IF(AND(KN$16&gt;=$F37,KN$16&lt;$F37+($G37*$I37)),"➤",""),"")</f>
        <v/>
      </c>
      <c r="KO37" s="76" t="str">
        <f aca="false">IF($I37&gt;0%,IF(AND(KO$16&gt;=$F37,KO$16&lt;$F37+($G37*$I37)),"➤",""),"")</f>
        <v/>
      </c>
      <c r="KP37" s="76" t="str">
        <f aca="false">IF($I37&gt;0%,IF(AND(KP$16&gt;=$F37,KP$16&lt;$F37+($G37*$I37)),"➤",""),"")</f>
        <v/>
      </c>
      <c r="KQ37" s="76" t="str">
        <f aca="false">IF($I37&gt;0%,IF(AND(KQ$16&gt;=$F37,KQ$16&lt;$F37+($G37*$I37)),"➤",""),"")</f>
        <v/>
      </c>
      <c r="KR37" s="76" t="str">
        <f aca="false">IF($I37&gt;0%,IF(AND(KR$16&gt;=$F37,KR$16&lt;$F37+($G37*$I37)),"➤",""),"")</f>
        <v/>
      </c>
      <c r="KS37" s="76" t="str">
        <f aca="false">IF($I37&gt;0%,IF(AND(KS$16&gt;=$F37,KS$16&lt;$F37+($G37*$I37)),"➤",""),"")</f>
        <v/>
      </c>
      <c r="KT37" s="76" t="str">
        <f aca="false">IF($I37&gt;0%,IF(AND(KT$16&gt;=$F37,KT$16&lt;$F37+($G37*$I37)),"➤",""),"")</f>
        <v/>
      </c>
      <c r="KU37" s="76" t="str">
        <f aca="false">IF($I37&gt;0%,IF(AND(KU$16&gt;=$F37,KU$16&lt;$F37+($G37*$I37)),"➤",""),"")</f>
        <v/>
      </c>
      <c r="KV37" s="76" t="str">
        <f aca="false">IF($I37&gt;0%,IF(AND(KV$16&gt;=$F37,KV$16&lt;$F37+($G37*$I37)),"➤",""),"")</f>
        <v/>
      </c>
      <c r="KW37" s="76" t="str">
        <f aca="false">IF($I37&gt;0%,IF(AND(KW$16&gt;=$F37,KW$16&lt;$F37+($G37*$I37)),"➤",""),"")</f>
        <v/>
      </c>
      <c r="KX37" s="76" t="str">
        <f aca="false">IF($I37&gt;0%,IF(AND(KX$16&gt;=$F37,KX$16&lt;$F37+($G37*$I37)),"➤",""),"")</f>
        <v/>
      </c>
      <c r="KY37" s="76" t="str">
        <f aca="false">IF($I37&gt;0%,IF(AND(KY$16&gt;=$F37,KY$16&lt;$F37+($G37*$I37)),"➤",""),"")</f>
        <v/>
      </c>
      <c r="KZ37" s="76" t="str">
        <f aca="false">IF($I37&gt;0%,IF(AND(KZ$16&gt;=$F37,KZ$16&lt;$F37+($G37*$I37)),"➤",""),"")</f>
        <v/>
      </c>
      <c r="LA37" s="76" t="str">
        <f aca="false">IF($I37&gt;0%,IF(AND(LA$16&gt;=$F37,LA$16&lt;$F37+($G37*$I37)),"➤",""),"")</f>
        <v/>
      </c>
      <c r="LB37" s="76" t="str">
        <f aca="false">IF($I37&gt;0%,IF(AND(LB$16&gt;=$F37,LB$16&lt;$F37+($G37*$I37)),"➤",""),"")</f>
        <v/>
      </c>
      <c r="LC37" s="76" t="str">
        <f aca="false">IF($I37&gt;0%,IF(AND(LC$16&gt;=$F37,LC$16&lt;$F37+($G37*$I37)),"➤",""),"")</f>
        <v/>
      </c>
      <c r="LD37" s="76" t="str">
        <f aca="false">IF($I37&gt;0%,IF(AND(LD$16&gt;=$F37,LD$16&lt;$F37+($G37*$I37)),"➤",""),"")</f>
        <v/>
      </c>
      <c r="LE37" s="76" t="str">
        <f aca="false">IF($I37&gt;0%,IF(AND(LE$16&gt;=$F37,LE$16&lt;$F37+($G37*$I37)),"➤",""),"")</f>
        <v/>
      </c>
      <c r="LF37" s="76" t="str">
        <f aca="false">IF($I37&gt;0%,IF(AND(LF$16&gt;=$F37,LF$16&lt;$F37+($G37*$I37)),"➤",""),"")</f>
        <v/>
      </c>
      <c r="LG37" s="76" t="str">
        <f aca="false">IF($I37&gt;0%,IF(AND(LG$16&gt;=$F37,LG$16&lt;$F37+($G37*$I37)),"➤",""),"")</f>
        <v/>
      </c>
      <c r="LH37" s="76" t="str">
        <f aca="false">IF($I37&gt;0%,IF(AND(LH$16&gt;=$F37,LH$16&lt;$F37+($G37*$I37)),"➤",""),"")</f>
        <v/>
      </c>
      <c r="LI37" s="76" t="str">
        <f aca="false">IF($I37&gt;0%,IF(AND(LI$16&gt;=$F37,LI$16&lt;$F37+($G37*$I37)),"➤",""),"")</f>
        <v/>
      </c>
      <c r="LJ37" s="76" t="str">
        <f aca="false">IF($I37&gt;0%,IF(AND(LJ$16&gt;=$F37,LJ$16&lt;$F37+($G37*$I37)),"➤",""),"")</f>
        <v/>
      </c>
      <c r="LK37" s="76" t="str">
        <f aca="false">IF($I37&gt;0%,IF(AND(LK$16&gt;=$F37,LK$16&lt;$F37+($G37*$I37)),"➤",""),"")</f>
        <v/>
      </c>
      <c r="LL37" s="76" t="str">
        <f aca="false">IF($I37&gt;0%,IF(AND(LL$16&gt;=$F37,LL$16&lt;$F37+($G37*$I37)),"➤",""),"")</f>
        <v/>
      </c>
      <c r="LM37" s="76" t="str">
        <f aca="false">IF($I37&gt;0%,IF(AND(LM$16&gt;=$F37,LM$16&lt;$F37+($G37*$I37)),"➤",""),"")</f>
        <v/>
      </c>
      <c r="LN37" s="76" t="str">
        <f aca="false">IF($I37&gt;0%,IF(AND(LN$16&gt;=$F37,LN$16&lt;$F37+($G37*$I37)),"➤",""),"")</f>
        <v/>
      </c>
      <c r="LO37" s="76" t="str">
        <f aca="false">IF($I37&gt;0%,IF(AND(LO$16&gt;=$F37,LO$16&lt;$F37+($G37*$I37)),"➤",""),"")</f>
        <v/>
      </c>
      <c r="LP37" s="76" t="str">
        <f aca="false">IF($I37&gt;0%,IF(AND(LP$16&gt;=$F37,LP$16&lt;$F37+($G37*$I37)),"➤",""),"")</f>
        <v/>
      </c>
      <c r="LQ37" s="76" t="str">
        <f aca="false">IF($I37&gt;0%,IF(AND(LQ$16&gt;=$F37,LQ$16&lt;$F37+($G37*$I37)),"➤",""),"")</f>
        <v/>
      </c>
      <c r="LR37" s="76" t="str">
        <f aca="false">IF($I37&gt;0%,IF(AND(LR$16&gt;=$F37,LR$16&lt;$F37+($G37*$I37)),"➤",""),"")</f>
        <v/>
      </c>
      <c r="LS37" s="76" t="str">
        <f aca="false">IF($I37&gt;0%,IF(AND(LS$16&gt;=$F37,LS$16&lt;$F37+($G37*$I37)),"➤",""),"")</f>
        <v/>
      </c>
      <c r="LT37" s="76" t="str">
        <f aca="false">IF($I37&gt;0%,IF(AND(LT$16&gt;=$F37,LT$16&lt;$F37+($G37*$I37)),"➤",""),"")</f>
        <v/>
      </c>
      <c r="LU37" s="76" t="str">
        <f aca="false">IF($I37&gt;0%,IF(AND(LU$16&gt;=$F37,LU$16&lt;$F37+($G37*$I37)),"➤",""),"")</f>
        <v/>
      </c>
      <c r="LV37" s="76" t="str">
        <f aca="false">IF($I37&gt;0%,IF(AND(LV$16&gt;=$F37,LV$16&lt;$F37+($G37*$I37)),"➤",""),"")</f>
        <v/>
      </c>
      <c r="LW37" s="76" t="str">
        <f aca="false">IF($I37&gt;0%,IF(AND(LW$16&gt;=$F37,LW$16&lt;$F37+($G37*$I37)),"➤",""),"")</f>
        <v/>
      </c>
      <c r="LX37" s="76" t="str">
        <f aca="false">IF($I37&gt;0%,IF(AND(LX$16&gt;=$F37,LX$16&lt;$F37+($G37*$I37)),"➤",""),"")</f>
        <v/>
      </c>
      <c r="LY37" s="76" t="str">
        <f aca="false">IF($I37&gt;0%,IF(AND(LY$16&gt;=$F37,LY$16&lt;$F37+($G37*$I37)),"➤",""),"")</f>
        <v/>
      </c>
      <c r="LZ37" s="76" t="str">
        <f aca="false">IF($I37&gt;0%,IF(AND(LZ$16&gt;=$F37,LZ$16&lt;$F37+($G37*$I37)),"➤",""),"")</f>
        <v/>
      </c>
      <c r="MA37" s="76" t="str">
        <f aca="false">IF($I37&gt;0%,IF(AND(MA$16&gt;=$F37,MA$16&lt;$F37+($G37*$I37)),"➤",""),"")</f>
        <v/>
      </c>
      <c r="MB37" s="76" t="str">
        <f aca="false">IF($I37&gt;0%,IF(AND(MB$16&gt;=$F37,MB$16&lt;$F37+($G37*$I37)),"➤",""),"")</f>
        <v/>
      </c>
      <c r="MC37" s="76" t="str">
        <f aca="false">IF($I37&gt;0%,IF(AND(MC$16&gt;=$F37,MC$16&lt;$F37+($G37*$I37)),"➤",""),"")</f>
        <v/>
      </c>
      <c r="MD37" s="76" t="str">
        <f aca="false">IF($I37&gt;0%,IF(AND(MD$16&gt;=$F37,MD$16&lt;$F37+($G37*$I37)),"➤",""),"")</f>
        <v/>
      </c>
      <c r="ME37" s="76" t="str">
        <f aca="false">IF($I37&gt;0%,IF(AND(ME$16&gt;=$F37,ME$16&lt;$F37+($G37*$I37)),"➤",""),"")</f>
        <v/>
      </c>
      <c r="MF37" s="76" t="str">
        <f aca="false">IF($I37&gt;0%,IF(AND(MF$16&gt;=$F37,MF$16&lt;$F37+($G37*$I37)),"➤",""),"")</f>
        <v/>
      </c>
      <c r="MG37" s="76" t="str">
        <f aca="false">IF($I37&gt;0%,IF(AND(MG$16&gt;=$F37,MG$16&lt;$F37+($G37*$I37)),"➤",""),"")</f>
        <v/>
      </c>
      <c r="MH37" s="76" t="str">
        <f aca="false">IF($I37&gt;0%,IF(AND(MH$16&gt;=$F37,MH$16&lt;$F37+($G37*$I37)),"➤",""),"")</f>
        <v/>
      </c>
      <c r="MI37" s="76" t="str">
        <f aca="false">IF($I37&gt;0%,IF(AND(MI$16&gt;=$F37,MI$16&lt;$F37+($G37*$I37)),"➤",""),"")</f>
        <v/>
      </c>
      <c r="MJ37" s="76" t="str">
        <f aca="false">IF($I37&gt;0%,IF(AND(MJ$16&gt;=$F37,MJ$16&lt;$F37+($G37*$I37)),"➤",""),"")</f>
        <v/>
      </c>
      <c r="MK37" s="76" t="str">
        <f aca="false">IF($I37&gt;0%,IF(AND(MK$16&gt;=$F37,MK$16&lt;$F37+($G37*$I37)),"➤",""),"")</f>
        <v/>
      </c>
      <c r="ML37" s="76" t="str">
        <f aca="false">IF($I37&gt;0%,IF(AND(ML$16&gt;=$F37,ML$16&lt;$F37+($G37*$I37)),"➤",""),"")</f>
        <v/>
      </c>
      <c r="MM37" s="76" t="str">
        <f aca="false">IF($I37&gt;0%,IF(AND(MM$16&gt;=$F37,MM$16&lt;$F37+($G37*$I37)),"➤",""),"")</f>
        <v/>
      </c>
      <c r="MN37" s="76" t="str">
        <f aca="false">IF($I37&gt;0%,IF(AND(MN$16&gt;=$F37,MN$16&lt;$F37+($G37*$I37)),"➤",""),"")</f>
        <v/>
      </c>
      <c r="MO37" s="76" t="str">
        <f aca="false">IF($I37&gt;0%,IF(AND(MO$16&gt;=$F37,MO$16&lt;$F37+($G37*$I37)),"➤",""),"")</f>
        <v/>
      </c>
      <c r="MP37" s="76" t="str">
        <f aca="false">IF($I37&gt;0%,IF(AND(MP$16&gt;=$F37,MP$16&lt;$F37+($G37*$I37)),"➤",""),"")</f>
        <v/>
      </c>
      <c r="MQ37" s="76" t="str">
        <f aca="false">IF($I37&gt;0%,IF(AND(MQ$16&gt;=$F37,MQ$16&lt;$F37+($G37*$I37)),"➤",""),"")</f>
        <v/>
      </c>
      <c r="MR37" s="76" t="str">
        <f aca="false">IF($I37&gt;0%,IF(AND(MR$16&gt;=$F37,MR$16&lt;$F37+($G37*$I37)),"➤",""),"")</f>
        <v/>
      </c>
      <c r="MS37" s="76" t="str">
        <f aca="false">IF($I37&gt;0%,IF(AND(MS$16&gt;=$F37,MS$16&lt;$F37+($G37*$I37)),"➤",""),"")</f>
        <v/>
      </c>
      <c r="MT37" s="76" t="str">
        <f aca="false">IF($I37&gt;0%,IF(AND(MT$16&gt;=$F37,MT$16&lt;$F37+($G37*$I37)),"➤",""),"")</f>
        <v/>
      </c>
      <c r="MU37" s="76" t="str">
        <f aca="false">IF($I37&gt;0%,IF(AND(MU$16&gt;=$F37,MU$16&lt;$F37+($G37*$I37)),"➤",""),"")</f>
        <v/>
      </c>
      <c r="MV37" s="76" t="str">
        <f aca="false">IF($I37&gt;0%,IF(AND(MV$16&gt;=$F37,MV$16&lt;$F37+($G37*$I37)),"➤",""),"")</f>
        <v/>
      </c>
      <c r="MW37" s="76" t="str">
        <f aca="false">IF($I37&gt;0%,IF(AND(MW$16&gt;=$F37,MW$16&lt;$F37+($G37*$I37)),"➤",""),"")</f>
        <v/>
      </c>
      <c r="MX37" s="76" t="str">
        <f aca="false">IF($I37&gt;0%,IF(AND(MX$16&gt;=$F37,MX$16&lt;$F37+($G37*$I37)),"➤",""),"")</f>
        <v/>
      </c>
      <c r="MY37" s="76" t="str">
        <f aca="false">IF($I37&gt;0%,IF(AND(MY$16&gt;=$F37,MY$16&lt;$F37+($G37*$I37)),"➤",""),"")</f>
        <v/>
      </c>
      <c r="MZ37" s="76" t="str">
        <f aca="false">IF($I37&gt;0%,IF(AND(MZ$16&gt;=$F37,MZ$16&lt;$F37+($G37*$I37)),"➤",""),"")</f>
        <v/>
      </c>
      <c r="NA37" s="76" t="str">
        <f aca="false">IF($I37&gt;0%,IF(AND(NA$16&gt;=$F37,NA$16&lt;$F37+($G37*$I37)),"➤",""),"")</f>
        <v/>
      </c>
      <c r="NB37" s="76" t="str">
        <f aca="false">IF($I37&gt;0%,IF(AND(NB$16&gt;=$F37,NB$16&lt;$F37+($G37*$I37)),"➤",""),"")</f>
        <v/>
      </c>
      <c r="NC37" s="76" t="str">
        <f aca="false">IF($I37&gt;0%,IF(AND(NC$16&gt;=$F37,NC$16&lt;$F37+($G37*$I37)),"➤",""),"")</f>
        <v/>
      </c>
      <c r="ND37" s="76" t="str">
        <f aca="false">IF($I37&gt;0%,IF(AND(ND$16&gt;=$F37,ND$16&lt;$F37+($G37*$I37)),"➤",""),"")</f>
        <v/>
      </c>
      <c r="NE37" s="76" t="str">
        <f aca="false">IF($I37&gt;0%,IF(AND(NE$16&gt;=$F37,NE$16&lt;$F37+($G37*$I37)),"➤",""),"")</f>
        <v/>
      </c>
      <c r="NF37" s="76" t="str">
        <f aca="false">IF($I37&gt;0%,IF(AND(NF$16&gt;=$F37,NF$16&lt;$F37+($G37*$I37)),"➤",""),"")</f>
        <v/>
      </c>
      <c r="NG37" s="76" t="str">
        <f aca="false">IF($I37&gt;0%,IF(AND(NG$16&gt;=$F37,NG$16&lt;$F37+($G37*$I37)),"➤",""),"")</f>
        <v/>
      </c>
      <c r="NH37" s="76" t="str">
        <f aca="false">IF($I37&gt;0%,IF(AND(NH$16&gt;=$F37,NH$16&lt;$F37+($G37*$I37)),"➤",""),"")</f>
        <v/>
      </c>
      <c r="NI37" s="76" t="str">
        <f aca="false">IF($I37&gt;0%,IF(AND(NI$16&gt;=$F37,NI$16&lt;$F37+($G37*$I37)),"➤",""),"")</f>
        <v/>
      </c>
      <c r="NJ37" s="76" t="str">
        <f aca="false">IF($I37&gt;0%,IF(AND(NJ$16&gt;=$F37,NJ$16&lt;$F37+($G37*$I37)),"➤",""),"")</f>
        <v/>
      </c>
      <c r="NK37" s="76" t="str">
        <f aca="false">IF($I37&gt;0%,IF(AND(NK$16&gt;=$F37,NK$16&lt;$F37+($G37*$I37)),"➤",""),"")</f>
        <v/>
      </c>
      <c r="NL37" s="76" t="str">
        <f aca="false">IF($I37&gt;0%,IF(AND(NL$16&gt;=$F37,NL$16&lt;$F37+($G37*$I37)),"➤",""),"")</f>
        <v/>
      </c>
      <c r="NM37" s="76" t="str">
        <f aca="false">IF($I37&gt;0%,IF(AND(NM$16&gt;=$F37,NM$16&lt;$F37+($G37*$I37)),"➤",""),"")</f>
        <v/>
      </c>
      <c r="NN37" s="76" t="str">
        <f aca="false">IF($I37&gt;0%,IF(AND(NN$16&gt;=$F37,NN$16&lt;$F37+($G37*$I37)),"➤",""),"")</f>
        <v/>
      </c>
      <c r="NO37" s="76" t="str">
        <f aca="false">IF($I37&gt;0%,IF(AND(NO$16&gt;=$F37,NO$16&lt;$F37+($G37*$I37)),"➤",""),"")</f>
        <v/>
      </c>
      <c r="NP37" s="76" t="str">
        <f aca="false">IF($I37&gt;0%,IF(AND(NP$16&gt;=$F37,NP$16&lt;$F37+($G37*$I37)),"➤",""),"")</f>
        <v/>
      </c>
      <c r="NQ37" s="76" t="str">
        <f aca="false">IF($I37&gt;0%,IF(AND(NQ$16&gt;=$F37,NQ$16&lt;$F37+($G37*$I37)),"➤",""),"")</f>
        <v/>
      </c>
      <c r="NR37" s="76" t="str">
        <f aca="false">IF($I37&gt;0%,IF(AND(NR$16&gt;=$F37,NR$16&lt;$F37+($G37*$I37)),"➤",""),"")</f>
        <v/>
      </c>
      <c r="NS37" s="76" t="str">
        <f aca="false">IF($I37&gt;0%,IF(AND(NS$16&gt;=$F37,NS$16&lt;$F37+($G37*$I37)),"➤",""),"")</f>
        <v/>
      </c>
      <c r="NT37" s="76" t="str">
        <f aca="false">IF($I37&gt;0%,IF(AND(NT$16&gt;=$F37,NT$16&lt;$F37+($G37*$I37)),"➤",""),"")</f>
        <v/>
      </c>
      <c r="NU37" s="76" t="str">
        <f aca="false">IF($I37&gt;0%,IF(AND(NU$16&gt;=$F37,NU$16&lt;$F37+($G37*$I37)),"➤",""),"")</f>
        <v/>
      </c>
      <c r="NV37" s="76" t="str">
        <f aca="false">IF($I37&gt;0%,IF(AND(NV$16&gt;=$F37,NV$16&lt;$F37+($G37*$I37)),"➤",""),"")</f>
        <v/>
      </c>
      <c r="NW37" s="76" t="str">
        <f aca="false">IF($I37&gt;0%,IF(AND(NW$16&gt;=$F37,NW$16&lt;$F37+($G37*$I37)),"➤",""),"")</f>
        <v/>
      </c>
      <c r="NX37" s="76" t="str">
        <f aca="false">IF($I37&gt;0%,IF(AND(NX$16&gt;=$F37,NX$16&lt;$F37+($G37*$I37)),"➤",""),"")</f>
        <v/>
      </c>
      <c r="NY37" s="76" t="str">
        <f aca="false">IF($I37&gt;0%,IF(AND(NY$16&gt;=$F37,NY$16&lt;$F37+($G37*$I37)),"➤",""),"")</f>
        <v/>
      </c>
      <c r="NZ37" s="76" t="str">
        <f aca="false">IF($I37&gt;0%,IF(AND(NZ$16&gt;=$F37,NZ$16&lt;$F37+($G37*$I37)),"➤",""),"")</f>
        <v/>
      </c>
      <c r="OA37" s="76" t="str">
        <f aca="false">IF($I37&gt;0%,IF(AND(OA$16&gt;=$F37,OA$16&lt;$F37+($G37*$I37)),"➤",""),"")</f>
        <v/>
      </c>
      <c r="OB37" s="76" t="str">
        <f aca="false">IF($I37&gt;0%,IF(AND(OB$16&gt;=$F37,OB$16&lt;$F37+($G37*$I37)),"➤",""),"")</f>
        <v/>
      </c>
      <c r="OC37" s="76" t="str">
        <f aca="false">IF($I37&gt;0%,IF(AND(OC$16&gt;=$F37,OC$16&lt;$F37+($G37*$I37)),"➤",""),"")</f>
        <v/>
      </c>
      <c r="OD37" s="76" t="str">
        <f aca="false">IF($I37&gt;0%,IF(AND(OD$16&gt;=$F37,OD$16&lt;$F37+($G37*$I37)),"➤",""),"")</f>
        <v/>
      </c>
      <c r="OE37" s="76" t="str">
        <f aca="false">IF($I37&gt;0%,IF(AND(OE$16&gt;=$F37,OE$16&lt;$F37+($G37*$I37)),"➤",""),"")</f>
        <v/>
      </c>
      <c r="OF37" s="76" t="str">
        <f aca="false">IF($I37&gt;0%,IF(AND(OF$16&gt;=$F37,OF$16&lt;$F37+($G37*$I37)),"➤",""),"")</f>
        <v/>
      </c>
      <c r="OG37" s="76" t="str">
        <f aca="false">IF($I37&gt;0%,IF(AND(OG$16&gt;=$F37,OG$16&lt;$F37+($G37*$I37)),"➤",""),"")</f>
        <v/>
      </c>
      <c r="OH37" s="76" t="str">
        <f aca="false">IF($I37&gt;0%,IF(AND(OH$16&gt;=$F37,OH$16&lt;$F37+($G37*$I37)),"➤",""),"")</f>
        <v/>
      </c>
      <c r="OI37" s="76" t="str">
        <f aca="false">IF($I37&gt;0%,IF(AND(OI$16&gt;=$F37,OI$16&lt;$F37+($G37*$I37)),"➤",""),"")</f>
        <v/>
      </c>
      <c r="OJ37" s="76" t="str">
        <f aca="false">IF($I37&gt;0%,IF(AND(OJ$16&gt;=$F37,OJ$16&lt;$F37+($G37*$I37)),"➤",""),"")</f>
        <v/>
      </c>
      <c r="OK37" s="76" t="str">
        <f aca="false">IF($I37&gt;0%,IF(AND(OK$16&gt;=$F37,OK$16&lt;$F37+($G37*$I37)),"➤",""),"")</f>
        <v/>
      </c>
      <c r="OL37" s="76" t="str">
        <f aca="false">IF($I37&gt;0%,IF(AND(OL$16&gt;=$F37,OL$16&lt;$F37+($G37*$I37)),"➤",""),"")</f>
        <v/>
      </c>
      <c r="OM37" s="76" t="str">
        <f aca="false">IF($I37&gt;0%,IF(AND(OM$16&gt;=$F37,OM$16&lt;$F37+($G37*$I37)),"➤",""),"")</f>
        <v/>
      </c>
      <c r="ON37" s="76" t="str">
        <f aca="false">IF($I37&gt;0%,IF(AND(ON$16&gt;=$F37,ON$16&lt;$F37+($G37*$I37)),"➤",""),"")</f>
        <v/>
      </c>
      <c r="OO37" s="76" t="str">
        <f aca="false">IF($I37&gt;0%,IF(AND(OO$16&gt;=$F37,OO$16&lt;$F37+($G37*$I37)),"➤",""),"")</f>
        <v/>
      </c>
      <c r="OP37" s="76" t="str">
        <f aca="false">IF($I37&gt;0%,IF(AND(OP$16&gt;=$F37,OP$16&lt;$F37+($G37*$I37)),"➤",""),"")</f>
        <v/>
      </c>
      <c r="OQ37" s="76" t="str">
        <f aca="false">IF($I37&gt;0%,IF(AND(OQ$16&gt;=$F37,OQ$16&lt;$F37+($G37*$I37)),"➤",""),"")</f>
        <v/>
      </c>
      <c r="OR37" s="76" t="str">
        <f aca="false">IF($I37&gt;0%,IF(AND(OR$16&gt;=$F37,OR$16&lt;$F37+($G37*$I37)),"➤",""),"")</f>
        <v/>
      </c>
      <c r="OS37" s="76" t="str">
        <f aca="false">IF($I37&gt;0%,IF(AND(OS$16&gt;=$F37,OS$16&lt;$F37+($G37*$I37)),"➤",""),"")</f>
        <v/>
      </c>
      <c r="OT37" s="76" t="str">
        <f aca="false">IF($I37&gt;0%,IF(AND(OT$16&gt;=$F37,OT$16&lt;$F37+($G37*$I37)),"➤",""),"")</f>
        <v/>
      </c>
      <c r="OU37" s="76" t="str">
        <f aca="false">IF($I37&gt;0%,IF(AND(OU$16&gt;=$F37,OU$16&lt;$F37+($G37*$I37)),"➤",""),"")</f>
        <v/>
      </c>
      <c r="OV37" s="76" t="str">
        <f aca="false">IF($I37&gt;0%,IF(AND(OV$16&gt;=$F37,OV$16&lt;$F37+($G37*$I37)),"➤",""),"")</f>
        <v/>
      </c>
      <c r="OW37" s="76" t="str">
        <f aca="false">IF($I37&gt;0%,IF(AND(OW$16&gt;=$F37,OW$16&lt;$F37+($G37*$I37)),"➤",""),"")</f>
        <v/>
      </c>
      <c r="OX37" s="76" t="str">
        <f aca="false">IF($I37&gt;0%,IF(AND(OX$16&gt;=$F37,OX$16&lt;$F37+($G37*$I37)),"➤",""),"")</f>
        <v/>
      </c>
      <c r="OY37" s="76" t="str">
        <f aca="false">IF($I37&gt;0%,IF(AND(OY$16&gt;=$F37,OY$16&lt;$F37+($G37*$I37)),"➤",""),"")</f>
        <v/>
      </c>
      <c r="OZ37" s="76" t="str">
        <f aca="false">IF($I37&gt;0%,IF(AND(OZ$16&gt;=$F37,OZ$16&lt;$F37+($G37*$I37)),"➤",""),"")</f>
        <v/>
      </c>
      <c r="PA37" s="76" t="str">
        <f aca="false">IF($I37&gt;0%,IF(AND(PA$16&gt;=$F37,PA$16&lt;$F37+($G37*$I37)),"➤",""),"")</f>
        <v/>
      </c>
      <c r="PB37" s="76" t="str">
        <f aca="false">IF($I37&gt;0%,IF(AND(PB$16&gt;=$F37,PB$16&lt;$F37+($G37*$I37)),"➤",""),"")</f>
        <v/>
      </c>
      <c r="PC37" s="76" t="str">
        <f aca="false">IF($I37&gt;0%,IF(AND(PC$16&gt;=$F37,PC$16&lt;$F37+($G37*$I37)),"➤",""),"")</f>
        <v/>
      </c>
      <c r="PD37" s="76" t="str">
        <f aca="false">IF($I37&gt;0%,IF(AND(PD$16&gt;=$F37,PD$16&lt;$F37+($G37*$I37)),"➤",""),"")</f>
        <v/>
      </c>
      <c r="PE37" s="76" t="str">
        <f aca="false">IF($I37&gt;0%,IF(AND(PE$16&gt;=$F37,PE$16&lt;$F37+($G37*$I37)),"➤",""),"")</f>
        <v/>
      </c>
      <c r="PF37" s="76" t="str">
        <f aca="false">IF($I37&gt;0%,IF(AND(PF$16&gt;=$F37,PF$16&lt;$F37+($G37*$I37)),"➤",""),"")</f>
        <v/>
      </c>
      <c r="PG37" s="76" t="str">
        <f aca="false">IF($I37&gt;0%,IF(AND(PG$16&gt;=$F37,PG$16&lt;$F37+($G37*$I37)),"➤",""),"")</f>
        <v/>
      </c>
      <c r="PH37" s="76" t="str">
        <f aca="false">IF($I37&gt;0%,IF(AND(PH$16&gt;=$F37,PH$16&lt;$F37+($G37*$I37)),"➤",""),"")</f>
        <v/>
      </c>
      <c r="PI37" s="76" t="str">
        <f aca="false">IF($I37&gt;0%,IF(AND(PI$16&gt;=$F37,PI$16&lt;$F37+($G37*$I37)),"➤",""),"")</f>
        <v/>
      </c>
      <c r="PJ37" s="76" t="str">
        <f aca="false">IF($I37&gt;0%,IF(AND(PJ$16&gt;=$F37,PJ$16&lt;$F37+($G37*$I37)),"➤",""),"")</f>
        <v/>
      </c>
      <c r="PK37" s="76" t="str">
        <f aca="false">IF($I37&gt;0%,IF(AND(PK$16&gt;=$F37,PK$16&lt;$F37+($G37*$I37)),"➤",""),"")</f>
        <v/>
      </c>
      <c r="PL37" s="76" t="str">
        <f aca="false">IF($I37&gt;0%,IF(AND(PL$16&gt;=$F37,PL$16&lt;$F37+($G37*$I37)),"➤",""),"")</f>
        <v/>
      </c>
      <c r="PM37" s="76" t="str">
        <f aca="false">IF($I37&gt;0%,IF(AND(PM$16&gt;=$F37,PM$16&lt;$F37+($G37*$I37)),"➤",""),"")</f>
        <v/>
      </c>
      <c r="PN37" s="76" t="str">
        <f aca="false">IF($I37&gt;0%,IF(AND(PN$16&gt;=$F37,PN$16&lt;$F37+($G37*$I37)),"➤",""),"")</f>
        <v/>
      </c>
      <c r="PO37" s="76" t="str">
        <f aca="false">IF($I37&gt;0%,IF(AND(PO$16&gt;=$F37,PO$16&lt;$F37+($G37*$I37)),"➤",""),"")</f>
        <v/>
      </c>
      <c r="PP37" s="76" t="str">
        <f aca="false">IF($I37&gt;0%,IF(AND(PP$16&gt;=$F37,PP$16&lt;$F37+($G37*$I37)),"➤",""),"")</f>
        <v/>
      </c>
      <c r="PQ37" s="76" t="str">
        <f aca="false">IF($I37&gt;0%,IF(AND(PQ$16&gt;=$F37,PQ$16&lt;$F37+($G37*$I37)),"➤",""),"")</f>
        <v/>
      </c>
      <c r="PR37" s="76" t="str">
        <f aca="false">IF($I37&gt;0%,IF(AND(PR$16&gt;=$F37,PR$16&lt;$F37+($G37*$I37)),"➤",""),"")</f>
        <v/>
      </c>
      <c r="PS37" s="76" t="str">
        <f aca="false">IF($I37&gt;0%,IF(AND(PS$16&gt;=$F37,PS$16&lt;$F37+($G37*$I37)),"➤",""),"")</f>
        <v/>
      </c>
      <c r="PT37" s="76" t="str">
        <f aca="false">IF($I37&gt;0%,IF(AND(PT$16&gt;=$F37,PT$16&lt;$F37+($G37*$I37)),"➤",""),"")</f>
        <v/>
      </c>
      <c r="PU37" s="76" t="str">
        <f aca="false">IF($I37&gt;0%,IF(AND(PU$16&gt;=$F37,PU$16&lt;$F37+($G37*$I37)),"➤",""),"")</f>
        <v/>
      </c>
      <c r="PV37" s="76" t="str">
        <f aca="false">IF($I37&gt;0%,IF(AND(PV$16&gt;=$F37,PV$16&lt;$F37+($G37*$I37)),"➤",""),"")</f>
        <v/>
      </c>
      <c r="PW37" s="76" t="str">
        <f aca="false">IF($I37&gt;0%,IF(AND(PW$16&gt;=$F37,PW$16&lt;$F37+($G37*$I37)),"➤",""),"")</f>
        <v/>
      </c>
      <c r="PX37" s="76" t="str">
        <f aca="false">IF($I37&gt;0%,IF(AND(PX$16&gt;=$F37,PX$16&lt;$F37+($G37*$I37)),"➤",""),"")</f>
        <v/>
      </c>
      <c r="PY37" s="76" t="str">
        <f aca="false">IF($I37&gt;0%,IF(AND(PY$16&gt;=$F37,PY$16&lt;$F37+($G37*$I37)),"➤",""),"")</f>
        <v/>
      </c>
      <c r="PZ37" s="76" t="str">
        <f aca="false">IF($I37&gt;0%,IF(AND(PZ$16&gt;=$F37,PZ$16&lt;$F37+($G37*$I37)),"➤",""),"")</f>
        <v/>
      </c>
      <c r="QA37" s="76" t="str">
        <f aca="false">IF($I37&gt;0%,IF(AND(QA$16&gt;=$F37,QA$16&lt;$F37+($G37*$I37)),"➤",""),"")</f>
        <v/>
      </c>
      <c r="QB37" s="76" t="str">
        <f aca="false">IF($I37&gt;0%,IF(AND(QB$16&gt;=$F37,QB$16&lt;$F37+($G37*$I37)),"➤",""),"")</f>
        <v/>
      </c>
      <c r="QC37" s="76" t="str">
        <f aca="false">IF($I37&gt;0%,IF(AND(QC$16&gt;=$F37,QC$16&lt;$F37+($G37*$I37)),"➤",""),"")</f>
        <v/>
      </c>
      <c r="QD37" s="76" t="str">
        <f aca="false">IF($I37&gt;0%,IF(AND(QD$16&gt;=$F37,QD$16&lt;$F37+($G37*$I37)),"➤",""),"")</f>
        <v/>
      </c>
      <c r="QE37" s="76" t="str">
        <f aca="false">IF($I37&gt;0%,IF(AND(QE$16&gt;=$F37,QE$16&lt;$F37+($G37*$I37)),"➤",""),"")</f>
        <v/>
      </c>
      <c r="QF37" s="76" t="str">
        <f aca="false">IF($I37&gt;0%,IF(AND(QF$16&gt;=$F37,QF$16&lt;$F37+($G37*$I37)),"➤",""),"")</f>
        <v/>
      </c>
      <c r="QG37" s="76" t="str">
        <f aca="false">IF($I37&gt;0%,IF(AND(QG$16&gt;=$F37,QG$16&lt;$F37+($G37*$I37)),"➤",""),"")</f>
        <v/>
      </c>
      <c r="QH37" s="76" t="str">
        <f aca="false">IF($I37&gt;0%,IF(AND(QH$16&gt;=$F37,QH$16&lt;$F37+($G37*$I37)),"➤",""),"")</f>
        <v/>
      </c>
      <c r="QI37" s="76" t="str">
        <f aca="false">IF($I37&gt;0%,IF(AND(QI$16&gt;=$F37,QI$16&lt;$F37+($G37*$I37)),"➤",""),"")</f>
        <v/>
      </c>
      <c r="QJ37" s="76" t="str">
        <f aca="false">IF($I37&gt;0%,IF(AND(QJ$16&gt;=$F37,QJ$16&lt;$F37+($G37*$I37)),"➤",""),"")</f>
        <v/>
      </c>
      <c r="QK37" s="76" t="str">
        <f aca="false">IF($I37&gt;0%,IF(AND(QK$16&gt;=$F37,QK$16&lt;$F37+($G37*$I37)),"➤",""),"")</f>
        <v/>
      </c>
      <c r="QL37" s="76" t="str">
        <f aca="false">IF($I37&gt;0%,IF(AND(QL$16&gt;=$F37,QL$16&lt;$F37+($G37*$I37)),"➤",""),"")</f>
        <v/>
      </c>
      <c r="QM37" s="76" t="str">
        <f aca="false">IF($I37&gt;0%,IF(AND(QM$16&gt;=$F37,QM$16&lt;$F37+($G37*$I37)),"➤",""),"")</f>
        <v/>
      </c>
      <c r="QN37" s="76" t="str">
        <f aca="false">IF($I37&gt;0%,IF(AND(QN$16&gt;=$F37,QN$16&lt;$F37+($G37*$I37)),"➤",""),"")</f>
        <v/>
      </c>
      <c r="QO37" s="76" t="str">
        <f aca="false">IF($I37&gt;0%,IF(AND(QO$16&gt;=$F37,QO$16&lt;$F37+($G37*$I37)),"➤",""),"")</f>
        <v/>
      </c>
      <c r="QP37" s="76" t="str">
        <f aca="false">IF($I37&gt;0%,IF(AND(QP$16&gt;=$F37,QP$16&lt;$F37+($G37*$I37)),"➤",""),"")</f>
        <v/>
      </c>
      <c r="QQ37" s="76" t="str">
        <f aca="false">IF($I37&gt;0%,IF(AND(QQ$16&gt;=$F37,QQ$16&lt;$F37+($G37*$I37)),"➤",""),"")</f>
        <v/>
      </c>
      <c r="QR37" s="76" t="str">
        <f aca="false">IF($I37&gt;0%,IF(AND(QR$16&gt;=$F37,QR$16&lt;$F37+($G37*$I37)),"➤",""),"")</f>
        <v/>
      </c>
      <c r="QS37" s="76" t="str">
        <f aca="false">IF($I37&gt;0%,IF(AND(QS$16&gt;=$F37,QS$16&lt;$F37+($G37*$I37)),"➤",""),"")</f>
        <v/>
      </c>
      <c r="QT37" s="76" t="str">
        <f aca="false">IF($I37&gt;0%,IF(AND(QT$16&gt;=$F37,QT$16&lt;$F37+($G37*$I37)),"➤",""),"")</f>
        <v/>
      </c>
      <c r="QU37" s="76" t="str">
        <f aca="false">IF($I37&gt;0%,IF(AND(QU$16&gt;=$F37,QU$16&lt;$F37+($G37*$I37)),"➤",""),"")</f>
        <v/>
      </c>
      <c r="QV37" s="76" t="str">
        <f aca="false">IF($I37&gt;0%,IF(AND(QV$16&gt;=$F37,QV$16&lt;$F37+($G37*$I37)),"➤",""),"")</f>
        <v/>
      </c>
      <c r="QW37" s="76" t="str">
        <f aca="false">IF($I37&gt;0%,IF(AND(QW$16&gt;=$F37,QW$16&lt;$F37+($G37*$I37)),"➤",""),"")</f>
        <v/>
      </c>
      <c r="QX37" s="76" t="str">
        <f aca="false">IF($I37&gt;0%,IF(AND(QX$16&gt;=$F37,QX$16&lt;$F37+($G37*$I37)),"➤",""),"")</f>
        <v/>
      </c>
      <c r="QY37" s="76" t="str">
        <f aca="false">IF($I37&gt;0%,IF(AND(QY$16&gt;=$F37,QY$16&lt;$F37+($G37*$I37)),"➤",""),"")</f>
        <v/>
      </c>
      <c r="QZ37" s="76" t="str">
        <f aca="false">IF($I37&gt;0%,IF(AND(QZ$16&gt;=$F37,QZ$16&lt;$F37+($G37*$I37)),"➤",""),"")</f>
        <v/>
      </c>
      <c r="RA37" s="76" t="str">
        <f aca="false">IF($I37&gt;0%,IF(AND(RA$16&gt;=$F37,RA$16&lt;$F37+($G37*$I37)),"➤",""),"")</f>
        <v/>
      </c>
      <c r="RB37" s="76" t="str">
        <f aca="false">IF($I37&gt;0%,IF(AND(RB$16&gt;=$F37,RB$16&lt;$F37+($G37*$I37)),"➤",""),"")</f>
        <v/>
      </c>
      <c r="RC37" s="76" t="str">
        <f aca="false">IF($I37&gt;0%,IF(AND(RC$16&gt;=$F37,RC$16&lt;$F37+($G37*$I37)),"➤",""),"")</f>
        <v/>
      </c>
      <c r="RD37" s="76" t="str">
        <f aca="false">IF($I37&gt;0%,IF(AND(RD$16&gt;=$F37,RD$16&lt;$F37+($G37*$I37)),"➤",""),"")</f>
        <v/>
      </c>
      <c r="RE37" s="76" t="str">
        <f aca="false">IF($I37&gt;0%,IF(AND(RE$16&gt;=$F37,RE$16&lt;$F37+($G37*$I37)),"➤",""),"")</f>
        <v/>
      </c>
      <c r="RF37" s="76" t="str">
        <f aca="false">IF($I37&gt;0%,IF(AND(RF$16&gt;=$F37,RF$16&lt;$F37+($G37*$I37)),"➤",""),"")</f>
        <v/>
      </c>
      <c r="RG37" s="76" t="str">
        <f aca="false">IF($I37&gt;0%,IF(AND(RG$16&gt;=$F37,RG$16&lt;$F37+($G37*$I37)),"➤",""),"")</f>
        <v/>
      </c>
      <c r="RH37" s="76" t="str">
        <f aca="false">IF($I37&gt;0%,IF(AND(RH$16&gt;=$F37,RH$16&lt;$F37+($G37*$I37)),"➤",""),"")</f>
        <v/>
      </c>
      <c r="RI37" s="76" t="str">
        <f aca="false">IF($I37&gt;0%,IF(AND(RI$16&gt;=$F37,RI$16&lt;$F37+($G37*$I37)),"➤",""),"")</f>
        <v/>
      </c>
      <c r="RJ37" s="76" t="str">
        <f aca="false">IF($I37&gt;0%,IF(AND(RJ$16&gt;=$F37,RJ$16&lt;$F37+($G37*$I37)),"➤",""),"")</f>
        <v/>
      </c>
      <c r="RK37" s="76" t="str">
        <f aca="false">IF($I37&gt;0%,IF(AND(RK$16&gt;=$F37,RK$16&lt;$F37+($G37*$I37)),"➤",""),"")</f>
        <v/>
      </c>
      <c r="RL37" s="76" t="str">
        <f aca="false">IF($I37&gt;0%,IF(AND(RL$16&gt;=$F37,RL$16&lt;$F37+($G37*$I37)),"➤",""),"")</f>
        <v/>
      </c>
      <c r="RM37" s="76" t="str">
        <f aca="false">IF($I37&gt;0%,IF(AND(RM$16&gt;=$F37,RM$16&lt;$F37+($G37*$I37)),"➤",""),"")</f>
        <v/>
      </c>
      <c r="RN37" s="76" t="str">
        <f aca="false">IF($I37&gt;0%,IF(AND(RN$16&gt;=$F37,RN$16&lt;$F37+($G37*$I37)),"➤",""),"")</f>
        <v/>
      </c>
      <c r="RO37" s="76" t="str">
        <f aca="false">IF($I37&gt;0%,IF(AND(RO$16&gt;=$F37,RO$16&lt;$F37+($G37*$I37)),"➤",""),"")</f>
        <v/>
      </c>
      <c r="RP37" s="76" t="str">
        <f aca="false">IF($I37&gt;0%,IF(AND(RP$16&gt;=$F37,RP$16&lt;$F37+($G37*$I37)),"➤",""),"")</f>
        <v/>
      </c>
      <c r="RQ37" s="76" t="str">
        <f aca="false">IF($I37&gt;0%,IF(AND(RQ$16&gt;=$F37,RQ$16&lt;$F37+($G37*$I37)),"➤",""),"")</f>
        <v/>
      </c>
      <c r="RR37" s="76" t="str">
        <f aca="false">IF($I37&gt;0%,IF(AND(RR$16&gt;=$F37,RR$16&lt;$F37+($G37*$I37)),"➤",""),"")</f>
        <v/>
      </c>
      <c r="RS37" s="76" t="str">
        <f aca="false">IF($I37&gt;0%,IF(AND(RS$16&gt;=$F37,RS$16&lt;$F37+($G37*$I37)),"➤",""),"")</f>
        <v/>
      </c>
      <c r="RT37" s="76" t="str">
        <f aca="false">IF($I37&gt;0%,IF(AND(RT$16&gt;=$F37,RT$16&lt;$F37+($G37*$I37)),"➤",""),"")</f>
        <v/>
      </c>
      <c r="RU37" s="76" t="str">
        <f aca="false">IF($I37&gt;0%,IF(AND(RU$16&gt;=$F37,RU$16&lt;$F37+($G37*$I37)),"➤",""),"")</f>
        <v/>
      </c>
      <c r="RV37" s="76" t="str">
        <f aca="false">IF($I37&gt;0%,IF(AND(RV$16&gt;=$F37,RV$16&lt;$F37+($G37*$I37)),"➤",""),"")</f>
        <v/>
      </c>
      <c r="RW37" s="76" t="str">
        <f aca="false">IF($I37&gt;0%,IF(AND(RW$16&gt;=$F37,RW$16&lt;$F37+($G37*$I37)),"➤",""),"")</f>
        <v/>
      </c>
      <c r="RX37" s="76" t="str">
        <f aca="false">IF($I37&gt;0%,IF(AND(RX$16&gt;=$F37,RX$16&lt;$F37+($G37*$I37)),"➤",""),"")</f>
        <v/>
      </c>
      <c r="RY37" s="76" t="str">
        <f aca="false">IF($I37&gt;0%,IF(AND(RY$16&gt;=$F37,RY$16&lt;$F37+($G37*$I37)),"➤",""),"")</f>
        <v/>
      </c>
      <c r="RZ37" s="76" t="str">
        <f aca="false">IF($I37&gt;0%,IF(AND(RZ$16&gt;=$F37,RZ$16&lt;$F37+($G37*$I37)),"➤",""),"")</f>
        <v/>
      </c>
      <c r="SA37" s="76" t="str">
        <f aca="false">IF($I37&gt;0%,IF(AND(SA$16&gt;=$F37,SA$16&lt;$F37+($G37*$I37)),"➤",""),"")</f>
        <v/>
      </c>
      <c r="SB37" s="76" t="str">
        <f aca="false">IF($I37&gt;0%,IF(AND(SB$16&gt;=$F37,SB$16&lt;$F37+($G37*$I37)),"➤",""),"")</f>
        <v/>
      </c>
      <c r="SC37" s="76" t="str">
        <f aca="false">IF($I37&gt;0%,IF(AND(SC$16&gt;=$F37,SC$16&lt;$F37+($G37*$I37)),"➤",""),"")</f>
        <v/>
      </c>
      <c r="SD37" s="76" t="str">
        <f aca="false">IF($I37&gt;0%,IF(AND(SD$16&gt;=$F37,SD$16&lt;$F37+($G37*$I37)),"➤",""),"")</f>
        <v/>
      </c>
      <c r="SE37" s="76" t="str">
        <f aca="false">IF($I37&gt;0%,IF(AND(SE$16&gt;=$F37,SE$16&lt;$F37+($G37*$I37)),"➤",""),"")</f>
        <v/>
      </c>
      <c r="SF37" s="76" t="str">
        <f aca="false">IF($I37&gt;0%,IF(AND(SF$16&gt;=$F37,SF$16&lt;$F37+($G37*$I37)),"➤",""),"")</f>
        <v/>
      </c>
      <c r="SG37" s="76" t="str">
        <f aca="false">IF($I37&gt;0%,IF(AND(SG$16&gt;=$F37,SG$16&lt;$F37+($G37*$I37)),"➤",""),"")</f>
        <v/>
      </c>
      <c r="SH37" s="76" t="str">
        <f aca="false">IF($I37&gt;0%,IF(AND(SH$16&gt;=$F37,SH$16&lt;$F37+($G37*$I37)),"➤",""),"")</f>
        <v/>
      </c>
      <c r="SI37" s="76" t="str">
        <f aca="false">IF($I37&gt;0%,IF(AND(SI$16&gt;=$F37,SI$16&lt;$F37+($G37*$I37)),"➤",""),"")</f>
        <v/>
      </c>
      <c r="SJ37" s="76" t="str">
        <f aca="false">IF($I37&gt;0%,IF(AND(SJ$16&gt;=$F37,SJ$16&lt;$F37+($G37*$I37)),"➤",""),"")</f>
        <v/>
      </c>
      <c r="SK37" s="76" t="str">
        <f aca="false">IF($I37&gt;0%,IF(AND(SK$16&gt;=$F37,SK$16&lt;$F37+($G37*$I37)),"➤",""),"")</f>
        <v/>
      </c>
      <c r="SL37" s="76" t="str">
        <f aca="false">IF($I37&gt;0%,IF(AND(SL$16&gt;=$F37,SL$16&lt;$F37+($G37*$I37)),"➤",""),"")</f>
        <v/>
      </c>
      <c r="SM37" s="76" t="str">
        <f aca="false">IF($I37&gt;0%,IF(AND(SM$16&gt;=$F37,SM$16&lt;$F37+($G37*$I37)),"➤",""),"")</f>
        <v/>
      </c>
      <c r="SN37" s="76" t="str">
        <f aca="false">IF($I37&gt;0%,IF(AND(SN$16&gt;=$F37,SN$16&lt;$F37+($G37*$I37)),"➤",""),"")</f>
        <v/>
      </c>
      <c r="SO37" s="76" t="str">
        <f aca="false">IF($I37&gt;0%,IF(AND(SO$16&gt;=$F37,SO$16&lt;$F37+($G37*$I37)),"➤",""),"")</f>
        <v/>
      </c>
      <c r="SP37" s="76" t="str">
        <f aca="false">IF($I37&gt;0%,IF(AND(SP$16&gt;=$F37,SP$16&lt;$F37+($G37*$I37)),"➤",""),"")</f>
        <v/>
      </c>
      <c r="SQ37" s="76" t="str">
        <f aca="false">IF($I37&gt;0%,IF(AND(SQ$16&gt;=$F37,SQ$16&lt;$F37+($G37*$I37)),"➤",""),"")</f>
        <v/>
      </c>
      <c r="SR37" s="76" t="str">
        <f aca="false">IF($I37&gt;0%,IF(AND(SR$16&gt;=$F37,SR$16&lt;$F37+($G37*$I37)),"➤",""),"")</f>
        <v/>
      </c>
      <c r="SS37" s="76" t="str">
        <f aca="false">IF($I37&gt;0%,IF(AND(SS$16&gt;=$F37,SS$16&lt;$F37+($G37*$I37)),"➤",""),"")</f>
        <v/>
      </c>
      <c r="ST37" s="76" t="str">
        <f aca="false">IF($I37&gt;0%,IF(AND(ST$16&gt;=$F37,ST$16&lt;$F37+($G37*$I37)),"➤",""),"")</f>
        <v/>
      </c>
      <c r="SU37" s="76" t="str">
        <f aca="false">IF($I37&gt;0%,IF(AND(SU$16&gt;=$F37,SU$16&lt;$F37+($G37*$I37)),"➤",""),"")</f>
        <v/>
      </c>
      <c r="SV37" s="76" t="str">
        <f aca="false">IF($I37&gt;0%,IF(AND(SV$16&gt;=$F37,SV$16&lt;$F37+($G37*$I37)),"➤",""),"")</f>
        <v/>
      </c>
      <c r="SW37" s="77" t="str">
        <f aca="false">IF($I37&gt;0%,IF(AND(SW$16&gt;=$F37,SW$16&lt;$F37+($G37*$I37)),"➤",""),"")</f>
        <v/>
      </c>
    </row>
    <row r="38" customFormat="false" ht="14.25" hidden="false" customHeight="false" outlineLevel="1" collapsed="false">
      <c r="C38" s="10"/>
      <c r="D38" s="78"/>
      <c r="E38" s="79"/>
      <c r="F38" s="97" t="n">
        <v>44153</v>
      </c>
      <c r="G38" s="81" t="n">
        <v>2</v>
      </c>
      <c r="H38" s="96" t="n">
        <f aca="false">(F38+G38)-1</f>
        <v>44154</v>
      </c>
      <c r="I38" s="95" t="n">
        <v>0.8</v>
      </c>
      <c r="J38" s="84"/>
      <c r="K38" s="85"/>
      <c r="L38" s="75" t="str">
        <f aca="false">IF($I38&gt;0%,IF(AND(L$16&gt;=$F38,L$16&lt;$F38+($G38*$I38)),"➤",""),"")</f>
        <v/>
      </c>
      <c r="M38" s="76" t="str">
        <f aca="false">IF($I38&gt;0%,IF(AND(M$16&gt;=$F38,M$16&lt;$F38+($G38*$I38)),"➤",""),"")</f>
        <v/>
      </c>
      <c r="N38" s="76" t="str">
        <f aca="false">IF($I38&gt;0%,IF(AND(N$16&gt;=$F38,N$16&lt;$F38+($G38*$I38)),"➤",""),"")</f>
        <v/>
      </c>
      <c r="O38" s="76" t="str">
        <f aca="false">IF($I38&gt;0%,IF(AND(O$16&gt;=$F38,O$16&lt;$F38+($G38*$I38)),"➤",""),"")</f>
        <v/>
      </c>
      <c r="P38" s="76" t="str">
        <f aca="false">IF($I38&gt;0%,IF(AND(P$16&gt;=$F38,P$16&lt;$F38+($G38*$I38)),"➤",""),"")</f>
        <v/>
      </c>
      <c r="Q38" s="76" t="str">
        <f aca="false">IF($I38&gt;0%,IF(AND(Q$16&gt;=$F38,Q$16&lt;$F38+($G38*$I38)),"➤",""),"")</f>
        <v/>
      </c>
      <c r="R38" s="76" t="str">
        <f aca="false">IF($I38&gt;0%,IF(AND(R$16&gt;=$F38,R$16&lt;$F38+($G38*$I38)),"➤",""),"")</f>
        <v/>
      </c>
      <c r="S38" s="76" t="str">
        <f aca="false">IF($I38&gt;0%,IF(AND(S$16&gt;=$F38,S$16&lt;$F38+($G38*$I38)),"➤",""),"")</f>
        <v/>
      </c>
      <c r="T38" s="76" t="str">
        <f aca="false">IF($I38&gt;0%,IF(AND(T$16&gt;=$F38,T$16&lt;$F38+($G38*$I38)),"➤",""),"")</f>
        <v/>
      </c>
      <c r="U38" s="76" t="str">
        <f aca="false">IF($I38&gt;0%,IF(AND(U$16&gt;=$F38,U$16&lt;$F38+($G38*$I38)),"➤",""),"")</f>
        <v/>
      </c>
      <c r="V38" s="76" t="str">
        <f aca="false">IF($I38&gt;0%,IF(AND(V$16&gt;=$F38,V$16&lt;$F38+($G38*$I38)),"➤",""),"")</f>
        <v/>
      </c>
      <c r="W38" s="76" t="str">
        <f aca="false">IF($I38&gt;0%,IF(AND(W$16&gt;=$F38,W$16&lt;$F38+($G38*$I38)),"➤",""),"")</f>
        <v/>
      </c>
      <c r="X38" s="76" t="str">
        <f aca="false">IF($I38&gt;0%,IF(AND(X$16&gt;=$F38,X$16&lt;$F38+($G38*$I38)),"➤",""),"")</f>
        <v/>
      </c>
      <c r="Y38" s="76" t="str">
        <f aca="false">IF($I38&gt;0%,IF(AND(Y$16&gt;=$F38,Y$16&lt;$F38+($G38*$I38)),"➤",""),"")</f>
        <v/>
      </c>
      <c r="Z38" s="76" t="str">
        <f aca="false">IF($I38&gt;0%,IF(AND(Z$16&gt;=$F38,Z$16&lt;$F38+($G38*$I38)),"➤",""),"")</f>
        <v/>
      </c>
      <c r="AA38" s="76" t="str">
        <f aca="false">IF($I38&gt;0%,IF(AND(AA$16&gt;=$F38,AA$16&lt;$F38+($G38*$I38)),"➤",""),"")</f>
        <v/>
      </c>
      <c r="AB38" s="76" t="str">
        <f aca="false">IF($I38&gt;0%,IF(AND(AB$16&gt;=$F38,AB$16&lt;$F38+($G38*$I38)),"➤",""),"")</f>
        <v/>
      </c>
      <c r="AC38" s="76" t="str">
        <f aca="false">IF($I38&gt;0%,IF(AND(AC$16&gt;=$F38,AC$16&lt;$F38+($G38*$I38)),"➤",""),"")</f>
        <v/>
      </c>
      <c r="AD38" s="76" t="str">
        <f aca="false">IF($I38&gt;0%,IF(AND(AD$16&gt;=$F38,AD$16&lt;$F38+($G38*$I38)),"➤",""),"")</f>
        <v/>
      </c>
      <c r="AE38" s="76" t="str">
        <f aca="false">IF($I38&gt;0%,IF(AND(AE$16&gt;=$F38,AE$16&lt;$F38+($G38*$I38)),"➤",""),"")</f>
        <v/>
      </c>
      <c r="AF38" s="76" t="str">
        <f aca="false">IF($I38&gt;0%,IF(AND(AF$16&gt;=$F38,AF$16&lt;$F38+($G38*$I38)),"➤",""),"")</f>
        <v/>
      </c>
      <c r="AG38" s="76" t="str">
        <f aca="false">IF($I38&gt;0%,IF(AND(AG$16&gt;=$F38,AG$16&lt;$F38+($G38*$I38)),"➤",""),"")</f>
        <v/>
      </c>
      <c r="AH38" s="76" t="str">
        <f aca="false">IF($I38&gt;0%,IF(AND(AH$16&gt;=$F38,AH$16&lt;$F38+($G38*$I38)),"➤",""),"")</f>
        <v/>
      </c>
      <c r="AI38" s="76" t="str">
        <f aca="false">IF($I38&gt;0%,IF(AND(AI$16&gt;=$F38,AI$16&lt;$F38+($G38*$I38)),"➤",""),"")</f>
        <v/>
      </c>
      <c r="AJ38" s="76" t="str">
        <f aca="false">IF($I38&gt;0%,IF(AND(AJ$16&gt;=$F38,AJ$16&lt;$F38+($G38*$I38)),"➤",""),"")</f>
        <v/>
      </c>
      <c r="AK38" s="76" t="str">
        <f aca="false">IF($I38&gt;0%,IF(AND(AK$16&gt;=$F38,AK$16&lt;$F38+($G38*$I38)),"➤",""),"")</f>
        <v/>
      </c>
      <c r="AL38" s="76" t="str">
        <f aca="false">IF($I38&gt;0%,IF(AND(AL$16&gt;=$F38,AL$16&lt;$F38+($G38*$I38)),"➤",""),"")</f>
        <v/>
      </c>
      <c r="AM38" s="76" t="str">
        <f aca="false">IF($I38&gt;0%,IF(AND(AM$16&gt;=$F38,AM$16&lt;$F38+($G38*$I38)),"➤",""),"")</f>
        <v/>
      </c>
      <c r="AN38" s="76" t="str">
        <f aca="false">IF($I38&gt;0%,IF(AND(AN$16&gt;=$F38,AN$16&lt;$F38+($G38*$I38)),"➤",""),"")</f>
        <v/>
      </c>
      <c r="AO38" s="76" t="str">
        <f aca="false">IF($I38&gt;0%,IF(AND(AO$16&gt;=$F38,AO$16&lt;$F38+($G38*$I38)),"➤",""),"")</f>
        <v/>
      </c>
      <c r="AP38" s="76" t="str">
        <f aca="false">IF($I38&gt;0%,IF(AND(AP$16&gt;=$F38,AP$16&lt;$F38+($G38*$I38)),"➤",""),"")</f>
        <v/>
      </c>
      <c r="AQ38" s="76" t="str">
        <f aca="false">IF($I38&gt;0%,IF(AND(AQ$16&gt;=$F38,AQ$16&lt;$F38+($G38*$I38)),"➤",""),"")</f>
        <v/>
      </c>
      <c r="AR38" s="76" t="str">
        <f aca="false">IF($I38&gt;0%,IF(AND(AR$16&gt;=$F38,AR$16&lt;$F38+($G38*$I38)),"➤",""),"")</f>
        <v/>
      </c>
      <c r="AS38" s="76" t="str">
        <f aca="false">IF($I38&gt;0%,IF(AND(AS$16&gt;=$F38,AS$16&lt;$F38+($G38*$I38)),"➤",""),"")</f>
        <v/>
      </c>
      <c r="AT38" s="76" t="str">
        <f aca="false">IF($I38&gt;0%,IF(AND(AT$16&gt;=$F38,AT$16&lt;$F38+($G38*$I38)),"➤",""),"")</f>
        <v/>
      </c>
      <c r="AU38" s="76" t="str">
        <f aca="false">IF($I38&gt;0%,IF(AND(AU$16&gt;=$F38,AU$16&lt;$F38+($G38*$I38)),"➤",""),"")</f>
        <v/>
      </c>
      <c r="AV38" s="76" t="str">
        <f aca="false">IF($I38&gt;0%,IF(AND(AV$16&gt;=$F38,AV$16&lt;$F38+($G38*$I38)),"➤",""),"")</f>
        <v/>
      </c>
      <c r="AW38" s="76" t="str">
        <f aca="false">IF($I38&gt;0%,IF(AND(AW$16&gt;=$F38,AW$16&lt;$F38+($G38*$I38)),"➤",""),"")</f>
        <v/>
      </c>
      <c r="AX38" s="76" t="str">
        <f aca="false">IF($I38&gt;0%,IF(AND(AX$16&gt;=$F38,AX$16&lt;$F38+($G38*$I38)),"➤",""),"")</f>
        <v/>
      </c>
      <c r="AY38" s="76" t="str">
        <f aca="false">IF($I38&gt;0%,IF(AND(AY$16&gt;=$F38,AY$16&lt;$F38+($G38*$I38)),"➤",""),"")</f>
        <v/>
      </c>
      <c r="AZ38" s="76" t="str">
        <f aca="false">IF($I38&gt;0%,IF(AND(AZ$16&gt;=$F38,AZ$16&lt;$F38+($G38*$I38)),"➤",""),"")</f>
        <v/>
      </c>
      <c r="BA38" s="76" t="str">
        <f aca="false">IF($I38&gt;0%,IF(AND(BA$16&gt;=$F38,BA$16&lt;$F38+($G38*$I38)),"➤",""),"")</f>
        <v/>
      </c>
      <c r="BB38" s="76" t="str">
        <f aca="false">IF($I38&gt;0%,IF(AND(BB$16&gt;=$F38,BB$16&lt;$F38+($G38*$I38)),"➤",""),"")</f>
        <v/>
      </c>
      <c r="BC38" s="76" t="str">
        <f aca="false">IF($I38&gt;0%,IF(AND(BC$16&gt;=$F38,BC$16&lt;$F38+($G38*$I38)),"➤",""),"")</f>
        <v/>
      </c>
      <c r="BD38" s="76" t="str">
        <f aca="false">IF($I38&gt;0%,IF(AND(BD$16&gt;=$F38,BD$16&lt;$F38+($G38*$I38)),"➤",""),"")</f>
        <v/>
      </c>
      <c r="BE38" s="76" t="str">
        <f aca="false">IF($I38&gt;0%,IF(AND(BE$16&gt;=$F38,BE$16&lt;$F38+($G38*$I38)),"➤",""),"")</f>
        <v/>
      </c>
      <c r="BF38" s="76" t="str">
        <f aca="false">IF($I38&gt;0%,IF(AND(BF$16&gt;=$F38,BF$16&lt;$F38+($G38*$I38)),"➤",""),"")</f>
        <v/>
      </c>
      <c r="BG38" s="76" t="str">
        <f aca="false">IF($I38&gt;0%,IF(AND(BG$16&gt;=$F38,BG$16&lt;$F38+($G38*$I38)),"➤",""),"")</f>
        <v/>
      </c>
      <c r="BH38" s="76" t="str">
        <f aca="false">IF($I38&gt;0%,IF(AND(BH$16&gt;=$F38,BH$16&lt;$F38+($G38*$I38)),"➤",""),"")</f>
        <v/>
      </c>
      <c r="BI38" s="76" t="str">
        <f aca="false">IF($I38&gt;0%,IF(AND(BI$16&gt;=$F38,BI$16&lt;$F38+($G38*$I38)),"➤",""),"")</f>
        <v/>
      </c>
      <c r="BJ38" s="76" t="str">
        <f aca="false">IF($I38&gt;0%,IF(AND(BJ$16&gt;=$F38,BJ$16&lt;$F38+($G38*$I38)),"➤",""),"")</f>
        <v/>
      </c>
      <c r="BK38" s="76" t="str">
        <f aca="false">IF($I38&gt;0%,IF(AND(BK$16&gt;=$F38,BK$16&lt;$F38+($G38*$I38)),"➤",""),"")</f>
        <v/>
      </c>
      <c r="BL38" s="76" t="str">
        <f aca="false">IF($I38&gt;0%,IF(AND(BL$16&gt;=$F38,BL$16&lt;$F38+($G38*$I38)),"➤",""),"")</f>
        <v/>
      </c>
      <c r="BM38" s="76" t="str">
        <f aca="false">IF($I38&gt;0%,IF(AND(BM$16&gt;=$F38,BM$16&lt;$F38+($G38*$I38)),"➤",""),"")</f>
        <v/>
      </c>
      <c r="BN38" s="76" t="str">
        <f aca="false">IF($I38&gt;0%,IF(AND(BN$16&gt;=$F38,BN$16&lt;$F38+($G38*$I38)),"➤",""),"")</f>
        <v/>
      </c>
      <c r="BO38" s="76" t="str">
        <f aca="false">IF($I38&gt;0%,IF(AND(BO$16&gt;=$F38,BO$16&lt;$F38+($G38*$I38)),"➤",""),"")</f>
        <v/>
      </c>
      <c r="BP38" s="76" t="str">
        <f aca="false">IF($I38&gt;0%,IF(AND(BP$16&gt;=$F38,BP$16&lt;$F38+($G38*$I38)),"➤",""),"")</f>
        <v/>
      </c>
      <c r="BQ38" s="76" t="str">
        <f aca="false">IF($I38&gt;0%,IF(AND(BQ$16&gt;=$F38,BQ$16&lt;$F38+($G38*$I38)),"➤",""),"")</f>
        <v/>
      </c>
      <c r="BR38" s="76" t="str">
        <f aca="false">IF($I38&gt;0%,IF(AND(BR$16&gt;=$F38,BR$16&lt;$F38+($G38*$I38)),"➤",""),"")</f>
        <v/>
      </c>
      <c r="BS38" s="76" t="str">
        <f aca="false">IF($I38&gt;0%,IF(AND(BS$16&gt;=$F38,BS$16&lt;$F38+($G38*$I38)),"➤",""),"")</f>
        <v/>
      </c>
      <c r="BT38" s="76" t="str">
        <f aca="false">IF($I38&gt;0%,IF(AND(BT$16&gt;=$F38,BT$16&lt;$F38+($G38*$I38)),"➤",""),"")</f>
        <v/>
      </c>
      <c r="BU38" s="76" t="str">
        <f aca="false">IF($I38&gt;0%,IF(AND(BU$16&gt;=$F38,BU$16&lt;$F38+($G38*$I38)),"➤",""),"")</f>
        <v/>
      </c>
      <c r="BV38" s="76" t="str">
        <f aca="false">IF($I38&gt;0%,IF(AND(BV$16&gt;=$F38,BV$16&lt;$F38+($G38*$I38)),"➤",""),"")</f>
        <v/>
      </c>
      <c r="BW38" s="76" t="str">
        <f aca="false">IF($I38&gt;0%,IF(AND(BW$16&gt;=$F38,BW$16&lt;$F38+($G38*$I38)),"➤",""),"")</f>
        <v/>
      </c>
      <c r="BX38" s="76" t="str">
        <f aca="false">IF($I38&gt;0%,IF(AND(BX$16&gt;=$F38,BX$16&lt;$F38+($G38*$I38)),"➤",""),"")</f>
        <v/>
      </c>
      <c r="BY38" s="76" t="str">
        <f aca="false">IF($I38&gt;0%,IF(AND(BY$16&gt;=$F38,BY$16&lt;$F38+($G38*$I38)),"➤",""),"")</f>
        <v/>
      </c>
      <c r="BZ38" s="76" t="str">
        <f aca="false">IF($I38&gt;0%,IF(AND(BZ$16&gt;=$F38,BZ$16&lt;$F38+($G38*$I38)),"➤",""),"")</f>
        <v/>
      </c>
      <c r="CA38" s="76" t="str">
        <f aca="false">IF($I38&gt;0%,IF(AND(CA$16&gt;=$F38,CA$16&lt;$F38+($G38*$I38)),"➤",""),"")</f>
        <v/>
      </c>
      <c r="CB38" s="76" t="str">
        <f aca="false">IF($I38&gt;0%,IF(AND(CB$16&gt;=$F38,CB$16&lt;$F38+($G38*$I38)),"➤",""),"")</f>
        <v/>
      </c>
      <c r="CC38" s="76" t="str">
        <f aca="false">IF($I38&gt;0%,IF(AND(CC$16&gt;=$F38,CC$16&lt;$F38+($G38*$I38)),"➤",""),"")</f>
        <v/>
      </c>
      <c r="CD38" s="76" t="str">
        <f aca="false">IF($I38&gt;0%,IF(AND(CD$16&gt;=$F38,CD$16&lt;$F38+($G38*$I38)),"➤",""),"")</f>
        <v/>
      </c>
      <c r="CE38" s="76" t="str">
        <f aca="false">IF($I38&gt;0%,IF(AND(CE$16&gt;=$F38,CE$16&lt;$F38+($G38*$I38)),"➤",""),"")</f>
        <v/>
      </c>
      <c r="CF38" s="76" t="str">
        <f aca="false">IF($I38&gt;0%,IF(AND(CF$16&gt;=$F38,CF$16&lt;$F38+($G38*$I38)),"➤",""),"")</f>
        <v/>
      </c>
      <c r="CG38" s="76" t="str">
        <f aca="false">IF($I38&gt;0%,IF(AND(CG$16&gt;=$F38,CG$16&lt;$F38+($G38*$I38)),"➤",""),"")</f>
        <v/>
      </c>
      <c r="CH38" s="76" t="str">
        <f aca="false">IF($I38&gt;0%,IF(AND(CH$16&gt;=$F38,CH$16&lt;$F38+($G38*$I38)),"➤",""),"")</f>
        <v/>
      </c>
      <c r="CI38" s="76" t="str">
        <f aca="false">IF($I38&gt;0%,IF(AND(CI$16&gt;=$F38,CI$16&lt;$F38+($G38*$I38)),"➤",""),"")</f>
        <v/>
      </c>
      <c r="CJ38" s="76" t="str">
        <f aca="false">IF($I38&gt;0%,IF(AND(CJ$16&gt;=$F38,CJ$16&lt;$F38+($G38*$I38)),"➤",""),"")</f>
        <v/>
      </c>
      <c r="CK38" s="76" t="str">
        <f aca="false">IF($I38&gt;0%,IF(AND(CK$16&gt;=$F38,CK$16&lt;$F38+($G38*$I38)),"➤",""),"")</f>
        <v/>
      </c>
      <c r="CL38" s="76" t="str">
        <f aca="false">IF($I38&gt;0%,IF(AND(CL$16&gt;=$F38,CL$16&lt;$F38+($G38*$I38)),"➤",""),"")</f>
        <v/>
      </c>
      <c r="CM38" s="76" t="str">
        <f aca="false">IF($I38&gt;0%,IF(AND(CM$16&gt;=$F38,CM$16&lt;$F38+($G38*$I38)),"➤",""),"")</f>
        <v/>
      </c>
      <c r="CN38" s="76" t="str">
        <f aca="false">IF($I38&gt;0%,IF(AND(CN$16&gt;=$F38,CN$16&lt;$F38+($G38*$I38)),"➤",""),"")</f>
        <v/>
      </c>
      <c r="CO38" s="76" t="str">
        <f aca="false">IF($I38&gt;0%,IF(AND(CO$16&gt;=$F38,CO$16&lt;$F38+($G38*$I38)),"➤",""),"")</f>
        <v/>
      </c>
      <c r="CP38" s="76" t="str">
        <f aca="false">IF($I38&gt;0%,IF(AND(CP$16&gt;=$F38,CP$16&lt;$F38+($G38*$I38)),"➤",""),"")</f>
        <v/>
      </c>
      <c r="CQ38" s="76" t="str">
        <f aca="false">IF($I38&gt;0%,IF(AND(CQ$16&gt;=$F38,CQ$16&lt;$F38+($G38*$I38)),"➤",""),"")</f>
        <v/>
      </c>
      <c r="CR38" s="76" t="str">
        <f aca="false">IF($I38&gt;0%,IF(AND(CR$16&gt;=$F38,CR$16&lt;$F38+($G38*$I38)),"➤",""),"")</f>
        <v/>
      </c>
      <c r="CS38" s="76" t="str">
        <f aca="false">IF($I38&gt;0%,IF(AND(CS$16&gt;=$F38,CS$16&lt;$F38+($G38*$I38)),"➤",""),"")</f>
        <v/>
      </c>
      <c r="CT38" s="76" t="str">
        <f aca="false">IF($I38&gt;0%,IF(AND(CT$16&gt;=$F38,CT$16&lt;$F38+($G38*$I38)),"➤",""),"")</f>
        <v/>
      </c>
      <c r="CU38" s="76" t="str">
        <f aca="false">IF($I38&gt;0%,IF(AND(CU$16&gt;=$F38,CU$16&lt;$F38+($G38*$I38)),"➤",""),"")</f>
        <v/>
      </c>
      <c r="CV38" s="76" t="str">
        <f aca="false">IF($I38&gt;0%,IF(AND(CV$16&gt;=$F38,CV$16&lt;$F38+($G38*$I38)),"➤",""),"")</f>
        <v/>
      </c>
      <c r="CW38" s="76" t="str">
        <f aca="false">IF($I38&gt;0%,IF(AND(CW$16&gt;=$F38,CW$16&lt;$F38+($G38*$I38)),"➤",""),"")</f>
        <v/>
      </c>
      <c r="CX38" s="76" t="str">
        <f aca="false">IF($I38&gt;0%,IF(AND(CX$16&gt;=$F38,CX$16&lt;$F38+($G38*$I38)),"➤",""),"")</f>
        <v/>
      </c>
      <c r="CY38" s="76" t="str">
        <f aca="false">IF($I38&gt;0%,IF(AND(CY$16&gt;=$F38,CY$16&lt;$F38+($G38*$I38)),"➤",""),"")</f>
        <v/>
      </c>
      <c r="CZ38" s="76" t="str">
        <f aca="false">IF($I38&gt;0%,IF(AND(CZ$16&gt;=$F38,CZ$16&lt;$F38+($G38*$I38)),"➤",""),"")</f>
        <v/>
      </c>
      <c r="DA38" s="76" t="str">
        <f aca="false">IF($I38&gt;0%,IF(AND(DA$16&gt;=$F38,DA$16&lt;$F38+($G38*$I38)),"➤",""),"")</f>
        <v/>
      </c>
      <c r="DB38" s="76" t="str">
        <f aca="false">IF($I38&gt;0%,IF(AND(DB$16&gt;=$F38,DB$16&lt;$F38+($G38*$I38)),"➤",""),"")</f>
        <v/>
      </c>
      <c r="DC38" s="76" t="str">
        <f aca="false">IF($I38&gt;0%,IF(AND(DC$16&gt;=$F38,DC$16&lt;$F38+($G38*$I38)),"➤",""),"")</f>
        <v/>
      </c>
      <c r="DD38" s="76" t="str">
        <f aca="false">IF($I38&gt;0%,IF(AND(DD$16&gt;=$F38,DD$16&lt;$F38+($G38*$I38)),"➤",""),"")</f>
        <v/>
      </c>
      <c r="DE38" s="76" t="str">
        <f aca="false">IF($I38&gt;0%,IF(AND(DE$16&gt;=$F38,DE$16&lt;$F38+($G38*$I38)),"➤",""),"")</f>
        <v/>
      </c>
      <c r="DF38" s="76" t="str">
        <f aca="false">IF($I38&gt;0%,IF(AND(DF$16&gt;=$F38,DF$16&lt;$F38+($G38*$I38)),"➤",""),"")</f>
        <v/>
      </c>
      <c r="DG38" s="76" t="str">
        <f aca="false">IF($I38&gt;0%,IF(AND(DG$16&gt;=$F38,DG$16&lt;$F38+($G38*$I38)),"➤",""),"")</f>
        <v/>
      </c>
      <c r="DH38" s="76" t="str">
        <f aca="false">IF($I38&gt;0%,IF(AND(DH$16&gt;=$F38,DH$16&lt;$F38+($G38*$I38)),"➤",""),"")</f>
        <v/>
      </c>
      <c r="DI38" s="76" t="str">
        <f aca="false">IF($I38&gt;0%,IF(AND(DI$16&gt;=$F38,DI$16&lt;$F38+($G38*$I38)),"➤",""),"")</f>
        <v/>
      </c>
      <c r="DJ38" s="76" t="str">
        <f aca="false">IF($I38&gt;0%,IF(AND(DJ$16&gt;=$F38,DJ$16&lt;$F38+($G38*$I38)),"➤",""),"")</f>
        <v/>
      </c>
      <c r="DK38" s="76" t="str">
        <f aca="false">IF($I38&gt;0%,IF(AND(DK$16&gt;=$F38,DK$16&lt;$F38+($G38*$I38)),"➤",""),"")</f>
        <v/>
      </c>
      <c r="DL38" s="76" t="str">
        <f aca="false">IF($I38&gt;0%,IF(AND(DL$16&gt;=$F38,DL$16&lt;$F38+($G38*$I38)),"➤",""),"")</f>
        <v/>
      </c>
      <c r="DM38" s="76" t="str">
        <f aca="false">IF($I38&gt;0%,IF(AND(DM$16&gt;=$F38,DM$16&lt;$F38+($G38*$I38)),"➤",""),"")</f>
        <v/>
      </c>
      <c r="DN38" s="76" t="str">
        <f aca="false">IF($I38&gt;0%,IF(AND(DN$16&gt;=$F38,DN$16&lt;$F38+($G38*$I38)),"➤",""),"")</f>
        <v/>
      </c>
      <c r="DO38" s="76" t="str">
        <f aca="false">IF($I38&gt;0%,IF(AND(DO$16&gt;=$F38,DO$16&lt;$F38+($G38*$I38)),"➤",""),"")</f>
        <v/>
      </c>
      <c r="DP38" s="76" t="str">
        <f aca="false">IF($I38&gt;0%,IF(AND(DP$16&gt;=$F38,DP$16&lt;$F38+($G38*$I38)),"➤",""),"")</f>
        <v/>
      </c>
      <c r="DQ38" s="76" t="str">
        <f aca="false">IF($I38&gt;0%,IF(AND(DQ$16&gt;=$F38,DQ$16&lt;$F38+($G38*$I38)),"➤",""),"")</f>
        <v/>
      </c>
      <c r="DR38" s="76" t="str">
        <f aca="false">IF($I38&gt;0%,IF(AND(DR$16&gt;=$F38,DR$16&lt;$F38+($G38*$I38)),"➤",""),"")</f>
        <v/>
      </c>
      <c r="DS38" s="76" t="str">
        <f aca="false">IF($I38&gt;0%,IF(AND(DS$16&gt;=$F38,DS$16&lt;$F38+($G38*$I38)),"➤",""),"")</f>
        <v/>
      </c>
      <c r="DT38" s="76" t="str">
        <f aca="false">IF($I38&gt;0%,IF(AND(DT$16&gt;=$F38,DT$16&lt;$F38+($G38*$I38)),"➤",""),"")</f>
        <v/>
      </c>
      <c r="DU38" s="76" t="str">
        <f aca="false">IF($I38&gt;0%,IF(AND(DU$16&gt;=$F38,DU$16&lt;$F38+($G38*$I38)),"➤",""),"")</f>
        <v/>
      </c>
      <c r="DV38" s="76" t="str">
        <f aca="false">IF($I38&gt;0%,IF(AND(DV$16&gt;=$F38,DV$16&lt;$F38+($G38*$I38)),"➤",""),"")</f>
        <v/>
      </c>
      <c r="DW38" s="76" t="str">
        <f aca="false">IF($I38&gt;0%,IF(AND(DW$16&gt;=$F38,DW$16&lt;$F38+($G38*$I38)),"➤",""),"")</f>
        <v/>
      </c>
      <c r="DX38" s="76" t="str">
        <f aca="false">IF($I38&gt;0%,IF(AND(DX$16&gt;=$F38,DX$16&lt;$F38+($G38*$I38)),"➤",""),"")</f>
        <v/>
      </c>
      <c r="DY38" s="76" t="str">
        <f aca="false">IF($I38&gt;0%,IF(AND(DY$16&gt;=$F38,DY$16&lt;$F38+($G38*$I38)),"➤",""),"")</f>
        <v/>
      </c>
      <c r="DZ38" s="76" t="str">
        <f aca="false">IF($I38&gt;0%,IF(AND(DZ$16&gt;=$F38,DZ$16&lt;$F38+($G38*$I38)),"➤",""),"")</f>
        <v/>
      </c>
      <c r="EA38" s="76" t="str">
        <f aca="false">IF($I38&gt;0%,IF(AND(EA$16&gt;=$F38,EA$16&lt;$F38+($G38*$I38)),"➤",""),"")</f>
        <v/>
      </c>
      <c r="EB38" s="76" t="str">
        <f aca="false">IF($I38&gt;0%,IF(AND(EB$16&gt;=$F38,EB$16&lt;$F38+($G38*$I38)),"➤",""),"")</f>
        <v/>
      </c>
      <c r="EC38" s="76" t="str">
        <f aca="false">IF($I38&gt;0%,IF(AND(EC$16&gt;=$F38,EC$16&lt;$F38+($G38*$I38)),"➤",""),"")</f>
        <v/>
      </c>
      <c r="ED38" s="76" t="str">
        <f aca="false">IF($I38&gt;0%,IF(AND(ED$16&gt;=$F38,ED$16&lt;$F38+($G38*$I38)),"➤",""),"")</f>
        <v/>
      </c>
      <c r="EE38" s="76" t="str">
        <f aca="false">IF($I38&gt;0%,IF(AND(EE$16&gt;=$F38,EE$16&lt;$F38+($G38*$I38)),"➤",""),"")</f>
        <v/>
      </c>
      <c r="EF38" s="76" t="str">
        <f aca="false">IF($I38&gt;0%,IF(AND(EF$16&gt;=$F38,EF$16&lt;$F38+($G38*$I38)),"➤",""),"")</f>
        <v/>
      </c>
      <c r="EG38" s="76" t="str">
        <f aca="false">IF($I38&gt;0%,IF(AND(EG$16&gt;=$F38,EG$16&lt;$F38+($G38*$I38)),"➤",""),"")</f>
        <v/>
      </c>
      <c r="EH38" s="76" t="str">
        <f aca="false">IF($I38&gt;0%,IF(AND(EH$16&gt;=$F38,EH$16&lt;$F38+($G38*$I38)),"➤",""),"")</f>
        <v/>
      </c>
      <c r="EI38" s="76" t="str">
        <f aca="false">IF($I38&gt;0%,IF(AND(EI$16&gt;=$F38,EI$16&lt;$F38+($G38*$I38)),"➤",""),"")</f>
        <v/>
      </c>
      <c r="EJ38" s="76" t="str">
        <f aca="false">IF($I38&gt;0%,IF(AND(EJ$16&gt;=$F38,EJ$16&lt;$F38+($G38*$I38)),"➤",""),"")</f>
        <v/>
      </c>
      <c r="EK38" s="76" t="str">
        <f aca="false">IF($I38&gt;0%,IF(AND(EK$16&gt;=$F38,EK$16&lt;$F38+($G38*$I38)),"➤",""),"")</f>
        <v/>
      </c>
      <c r="EL38" s="76" t="str">
        <f aca="false">IF($I38&gt;0%,IF(AND(EL$16&gt;=$F38,EL$16&lt;$F38+($G38*$I38)),"➤",""),"")</f>
        <v/>
      </c>
      <c r="EM38" s="76" t="str">
        <f aca="false">IF($I38&gt;0%,IF(AND(EM$16&gt;=$F38,EM$16&lt;$F38+($G38*$I38)),"➤",""),"")</f>
        <v/>
      </c>
      <c r="EN38" s="76" t="str">
        <f aca="false">IF($I38&gt;0%,IF(AND(EN$16&gt;=$F38,EN$16&lt;$F38+($G38*$I38)),"➤",""),"")</f>
        <v/>
      </c>
      <c r="EO38" s="76" t="str">
        <f aca="false">IF($I38&gt;0%,IF(AND(EO$16&gt;=$F38,EO$16&lt;$F38+($G38*$I38)),"➤",""),"")</f>
        <v/>
      </c>
      <c r="EP38" s="76" t="str">
        <f aca="false">IF($I38&gt;0%,IF(AND(EP$16&gt;=$F38,EP$16&lt;$F38+($G38*$I38)),"➤",""),"")</f>
        <v/>
      </c>
      <c r="EQ38" s="76" t="str">
        <f aca="false">IF($I38&gt;0%,IF(AND(EQ$16&gt;=$F38,EQ$16&lt;$F38+($G38*$I38)),"➤",""),"")</f>
        <v/>
      </c>
      <c r="ER38" s="76" t="str">
        <f aca="false">IF($I38&gt;0%,IF(AND(ER$16&gt;=$F38,ER$16&lt;$F38+($G38*$I38)),"➤",""),"")</f>
        <v/>
      </c>
      <c r="ES38" s="76" t="str">
        <f aca="false">IF($I38&gt;0%,IF(AND(ES$16&gt;=$F38,ES$16&lt;$F38+($G38*$I38)),"➤",""),"")</f>
        <v/>
      </c>
      <c r="ET38" s="76" t="str">
        <f aca="false">IF($I38&gt;0%,IF(AND(ET$16&gt;=$F38,ET$16&lt;$F38+($G38*$I38)),"➤",""),"")</f>
        <v/>
      </c>
      <c r="EU38" s="76" t="str">
        <f aca="false">IF($I38&gt;0%,IF(AND(EU$16&gt;=$F38,EU$16&lt;$F38+($G38*$I38)),"➤",""),"")</f>
        <v/>
      </c>
      <c r="EV38" s="76" t="str">
        <f aca="false">IF($I38&gt;0%,IF(AND(EV$16&gt;=$F38,EV$16&lt;$F38+($G38*$I38)),"➤",""),"")</f>
        <v/>
      </c>
      <c r="EW38" s="76" t="str">
        <f aca="false">IF($I38&gt;0%,IF(AND(EW$16&gt;=$F38,EW$16&lt;$F38+($G38*$I38)),"➤",""),"")</f>
        <v/>
      </c>
      <c r="EX38" s="76" t="str">
        <f aca="false">IF($I38&gt;0%,IF(AND(EX$16&gt;=$F38,EX$16&lt;$F38+($G38*$I38)),"➤",""),"")</f>
        <v/>
      </c>
      <c r="EY38" s="76" t="str">
        <f aca="false">IF($I38&gt;0%,IF(AND(EY$16&gt;=$F38,EY$16&lt;$F38+($G38*$I38)),"➤",""),"")</f>
        <v/>
      </c>
      <c r="EZ38" s="76" t="str">
        <f aca="false">IF($I38&gt;0%,IF(AND(EZ$16&gt;=$F38,EZ$16&lt;$F38+($G38*$I38)),"➤",""),"")</f>
        <v/>
      </c>
      <c r="FA38" s="76" t="str">
        <f aca="false">IF($I38&gt;0%,IF(AND(FA$16&gt;=$F38,FA$16&lt;$F38+($G38*$I38)),"➤",""),"")</f>
        <v/>
      </c>
      <c r="FB38" s="76" t="str">
        <f aca="false">IF($I38&gt;0%,IF(AND(FB$16&gt;=$F38,FB$16&lt;$F38+($G38*$I38)),"➤",""),"")</f>
        <v/>
      </c>
      <c r="FC38" s="76" t="str">
        <f aca="false">IF($I38&gt;0%,IF(AND(FC$16&gt;=$F38,FC$16&lt;$F38+($G38*$I38)),"➤",""),"")</f>
        <v/>
      </c>
      <c r="FD38" s="76" t="str">
        <f aca="false">IF($I38&gt;0%,IF(AND(FD$16&gt;=$F38,FD$16&lt;$F38+($G38*$I38)),"➤",""),"")</f>
        <v/>
      </c>
      <c r="FE38" s="76" t="str">
        <f aca="false">IF($I38&gt;0%,IF(AND(FE$16&gt;=$F38,FE$16&lt;$F38+($G38*$I38)),"➤",""),"")</f>
        <v/>
      </c>
      <c r="FF38" s="76" t="str">
        <f aca="false">IF($I38&gt;0%,IF(AND(FF$16&gt;=$F38,FF$16&lt;$F38+($G38*$I38)),"➤",""),"")</f>
        <v/>
      </c>
      <c r="FG38" s="76" t="str">
        <f aca="false">IF($I38&gt;0%,IF(AND(FG$16&gt;=$F38,FG$16&lt;$F38+($G38*$I38)),"➤",""),"")</f>
        <v/>
      </c>
      <c r="FH38" s="76" t="str">
        <f aca="false">IF($I38&gt;0%,IF(AND(FH$16&gt;=$F38,FH$16&lt;$F38+($G38*$I38)),"➤",""),"")</f>
        <v/>
      </c>
      <c r="FI38" s="76" t="str">
        <f aca="false">IF($I38&gt;0%,IF(AND(FI$16&gt;=$F38,FI$16&lt;$F38+($G38*$I38)),"➤",""),"")</f>
        <v/>
      </c>
      <c r="FJ38" s="76" t="str">
        <f aca="false">IF($I38&gt;0%,IF(AND(FJ$16&gt;=$F38,FJ$16&lt;$F38+($G38*$I38)),"➤",""),"")</f>
        <v/>
      </c>
      <c r="FK38" s="76" t="str">
        <f aca="false">IF($I38&gt;0%,IF(AND(FK$16&gt;=$F38,FK$16&lt;$F38+($G38*$I38)),"➤",""),"")</f>
        <v/>
      </c>
      <c r="FL38" s="76" t="str">
        <f aca="false">IF($I38&gt;0%,IF(AND(FL$16&gt;=$F38,FL$16&lt;$F38+($G38*$I38)),"➤",""),"")</f>
        <v/>
      </c>
      <c r="FM38" s="76" t="str">
        <f aca="false">IF($I38&gt;0%,IF(AND(FM$16&gt;=$F38,FM$16&lt;$F38+($G38*$I38)),"➤",""),"")</f>
        <v/>
      </c>
      <c r="FN38" s="76" t="str">
        <f aca="false">IF($I38&gt;0%,IF(AND(FN$16&gt;=$F38,FN$16&lt;$F38+($G38*$I38)),"➤",""),"")</f>
        <v/>
      </c>
      <c r="FO38" s="76" t="str">
        <f aca="false">IF($I38&gt;0%,IF(AND(FO$16&gt;=$F38,FO$16&lt;$F38+($G38*$I38)),"➤",""),"")</f>
        <v/>
      </c>
      <c r="FP38" s="76" t="str">
        <f aca="false">IF($I38&gt;0%,IF(AND(FP$16&gt;=$F38,FP$16&lt;$F38+($G38*$I38)),"➤",""),"")</f>
        <v/>
      </c>
      <c r="FQ38" s="76" t="str">
        <f aca="false">IF($I38&gt;0%,IF(AND(FQ$16&gt;=$F38,FQ$16&lt;$F38+($G38*$I38)),"➤",""),"")</f>
        <v/>
      </c>
      <c r="FR38" s="76" t="str">
        <f aca="false">IF($I38&gt;0%,IF(AND(FR$16&gt;=$F38,FR$16&lt;$F38+($G38*$I38)),"➤",""),"")</f>
        <v/>
      </c>
      <c r="FS38" s="76" t="str">
        <f aca="false">IF($I38&gt;0%,IF(AND(FS$16&gt;=$F38,FS$16&lt;$F38+($G38*$I38)),"➤",""),"")</f>
        <v/>
      </c>
      <c r="FT38" s="76" t="str">
        <f aca="false">IF($I38&gt;0%,IF(AND(FT$16&gt;=$F38,FT$16&lt;$F38+($G38*$I38)),"➤",""),"")</f>
        <v/>
      </c>
      <c r="FU38" s="76" t="str">
        <f aca="false">IF($I38&gt;0%,IF(AND(FU$16&gt;=$F38,FU$16&lt;$F38+($G38*$I38)),"➤",""),"")</f>
        <v/>
      </c>
      <c r="FV38" s="76" t="str">
        <f aca="false">IF($I38&gt;0%,IF(AND(FV$16&gt;=$F38,FV$16&lt;$F38+($G38*$I38)),"➤",""),"")</f>
        <v/>
      </c>
      <c r="FW38" s="76" t="str">
        <f aca="false">IF($I38&gt;0%,IF(AND(FW$16&gt;=$F38,FW$16&lt;$F38+($G38*$I38)),"➤",""),"")</f>
        <v/>
      </c>
      <c r="FX38" s="76" t="str">
        <f aca="false">IF($I38&gt;0%,IF(AND(FX$16&gt;=$F38,FX$16&lt;$F38+($G38*$I38)),"➤",""),"")</f>
        <v/>
      </c>
      <c r="FY38" s="76" t="str">
        <f aca="false">IF($I38&gt;0%,IF(AND(FY$16&gt;=$F38,FY$16&lt;$F38+($G38*$I38)),"➤",""),"")</f>
        <v/>
      </c>
      <c r="FZ38" s="76" t="str">
        <f aca="false">IF($I38&gt;0%,IF(AND(FZ$16&gt;=$F38,FZ$16&lt;$F38+($G38*$I38)),"➤",""),"")</f>
        <v/>
      </c>
      <c r="GA38" s="76" t="str">
        <f aca="false">IF($I38&gt;0%,IF(AND(GA$16&gt;=$F38,GA$16&lt;$F38+($G38*$I38)),"➤",""),"")</f>
        <v/>
      </c>
      <c r="GB38" s="76" t="str">
        <f aca="false">IF($I38&gt;0%,IF(AND(GB$16&gt;=$F38,GB$16&lt;$F38+($G38*$I38)),"➤",""),"")</f>
        <v/>
      </c>
      <c r="GC38" s="76" t="str">
        <f aca="false">IF($I38&gt;0%,IF(AND(GC$16&gt;=$F38,GC$16&lt;$F38+($G38*$I38)),"➤",""),"")</f>
        <v/>
      </c>
      <c r="GD38" s="76" t="str">
        <f aca="false">IF($I38&gt;0%,IF(AND(GD$16&gt;=$F38,GD$16&lt;$F38+($G38*$I38)),"➤",""),"")</f>
        <v/>
      </c>
      <c r="GE38" s="76" t="str">
        <f aca="false">IF($I38&gt;0%,IF(AND(GE$16&gt;=$F38,GE$16&lt;$F38+($G38*$I38)),"➤",""),"")</f>
        <v/>
      </c>
      <c r="GF38" s="76" t="str">
        <f aca="false">IF($I38&gt;0%,IF(AND(GF$16&gt;=$F38,GF$16&lt;$F38+($G38*$I38)),"➤",""),"")</f>
        <v/>
      </c>
      <c r="GG38" s="76" t="str">
        <f aca="false">IF($I38&gt;0%,IF(AND(GG$16&gt;=$F38,GG$16&lt;$F38+($G38*$I38)),"➤",""),"")</f>
        <v/>
      </c>
      <c r="GH38" s="76" t="str">
        <f aca="false">IF($I38&gt;0%,IF(AND(GH$16&gt;=$F38,GH$16&lt;$F38+($G38*$I38)),"➤",""),"")</f>
        <v/>
      </c>
      <c r="GI38" s="76" t="str">
        <f aca="false">IF($I38&gt;0%,IF(AND(GI$16&gt;=$F38,GI$16&lt;$F38+($G38*$I38)),"➤",""),"")</f>
        <v/>
      </c>
      <c r="GJ38" s="76" t="str">
        <f aca="false">IF($I38&gt;0%,IF(AND(GJ$16&gt;=$F38,GJ$16&lt;$F38+($G38*$I38)),"➤",""),"")</f>
        <v/>
      </c>
      <c r="GK38" s="76" t="str">
        <f aca="false">IF($I38&gt;0%,IF(AND(GK$16&gt;=$F38,GK$16&lt;$F38+($G38*$I38)),"➤",""),"")</f>
        <v/>
      </c>
      <c r="GL38" s="76" t="str">
        <f aca="false">IF($I38&gt;0%,IF(AND(GL$16&gt;=$F38,GL$16&lt;$F38+($G38*$I38)),"➤",""),"")</f>
        <v/>
      </c>
      <c r="GM38" s="76" t="str">
        <f aca="false">IF($I38&gt;0%,IF(AND(GM$16&gt;=$F38,GM$16&lt;$F38+($G38*$I38)),"➤",""),"")</f>
        <v/>
      </c>
      <c r="GN38" s="76" t="str">
        <f aca="false">IF($I38&gt;0%,IF(AND(GN$16&gt;=$F38,GN$16&lt;$F38+($G38*$I38)),"➤",""),"")</f>
        <v/>
      </c>
      <c r="GO38" s="76" t="str">
        <f aca="false">IF($I38&gt;0%,IF(AND(GO$16&gt;=$F38,GO$16&lt;$F38+($G38*$I38)),"➤",""),"")</f>
        <v/>
      </c>
      <c r="GP38" s="76" t="str">
        <f aca="false">IF($I38&gt;0%,IF(AND(GP$16&gt;=$F38,GP$16&lt;$F38+($G38*$I38)),"➤",""),"")</f>
        <v/>
      </c>
      <c r="GQ38" s="76" t="str">
        <f aca="false">IF($I38&gt;0%,IF(AND(GQ$16&gt;=$F38,GQ$16&lt;$F38+($G38*$I38)),"➤",""),"")</f>
        <v/>
      </c>
      <c r="GR38" s="76" t="str">
        <f aca="false">IF($I38&gt;0%,IF(AND(GR$16&gt;=$F38,GR$16&lt;$F38+($G38*$I38)),"➤",""),"")</f>
        <v/>
      </c>
      <c r="GS38" s="76" t="str">
        <f aca="false">IF($I38&gt;0%,IF(AND(GS$16&gt;=$F38,GS$16&lt;$F38+($G38*$I38)),"➤",""),"")</f>
        <v/>
      </c>
      <c r="GT38" s="76" t="str">
        <f aca="false">IF($I38&gt;0%,IF(AND(GT$16&gt;=$F38,GT$16&lt;$F38+($G38*$I38)),"➤",""),"")</f>
        <v/>
      </c>
      <c r="GU38" s="76" t="str">
        <f aca="false">IF($I38&gt;0%,IF(AND(GU$16&gt;=$F38,GU$16&lt;$F38+($G38*$I38)),"➤",""),"")</f>
        <v/>
      </c>
      <c r="GV38" s="76" t="str">
        <f aca="false">IF($I38&gt;0%,IF(AND(GV$16&gt;=$F38,GV$16&lt;$F38+($G38*$I38)),"➤",""),"")</f>
        <v/>
      </c>
      <c r="GW38" s="76" t="str">
        <f aca="false">IF($I38&gt;0%,IF(AND(GW$16&gt;=$F38,GW$16&lt;$F38+($G38*$I38)),"➤",""),"")</f>
        <v/>
      </c>
      <c r="GX38" s="76" t="str">
        <f aca="false">IF($I38&gt;0%,IF(AND(GX$16&gt;=$F38,GX$16&lt;$F38+($G38*$I38)),"➤",""),"")</f>
        <v/>
      </c>
      <c r="GY38" s="76" t="str">
        <f aca="false">IF($I38&gt;0%,IF(AND(GY$16&gt;=$F38,GY$16&lt;$F38+($G38*$I38)),"➤",""),"")</f>
        <v/>
      </c>
      <c r="GZ38" s="76" t="str">
        <f aca="false">IF($I38&gt;0%,IF(AND(GZ$16&gt;=$F38,GZ$16&lt;$F38+($G38*$I38)),"➤",""),"")</f>
        <v/>
      </c>
      <c r="HA38" s="76" t="str">
        <f aca="false">IF($I38&gt;0%,IF(AND(HA$16&gt;=$F38,HA$16&lt;$F38+($G38*$I38)),"➤",""),"")</f>
        <v/>
      </c>
      <c r="HB38" s="76" t="str">
        <f aca="false">IF($I38&gt;0%,IF(AND(HB$16&gt;=$F38,HB$16&lt;$F38+($G38*$I38)),"➤",""),"")</f>
        <v/>
      </c>
      <c r="HC38" s="76" t="str">
        <f aca="false">IF($I38&gt;0%,IF(AND(HC$16&gt;=$F38,HC$16&lt;$F38+($G38*$I38)),"➤",""),"")</f>
        <v/>
      </c>
      <c r="HD38" s="76" t="str">
        <f aca="false">IF($I38&gt;0%,IF(AND(HD$16&gt;=$F38,HD$16&lt;$F38+($G38*$I38)),"➤",""),"")</f>
        <v/>
      </c>
      <c r="HE38" s="76" t="str">
        <f aca="false">IF($I38&gt;0%,IF(AND(HE$16&gt;=$F38,HE$16&lt;$F38+($G38*$I38)),"➤",""),"")</f>
        <v/>
      </c>
      <c r="HF38" s="76" t="str">
        <f aca="false">IF($I38&gt;0%,IF(AND(HF$16&gt;=$F38,HF$16&lt;$F38+($G38*$I38)),"➤",""),"")</f>
        <v/>
      </c>
      <c r="HG38" s="76" t="str">
        <f aca="false">IF($I38&gt;0%,IF(AND(HG$16&gt;=$F38,HG$16&lt;$F38+($G38*$I38)),"➤",""),"")</f>
        <v/>
      </c>
      <c r="HH38" s="76" t="str">
        <f aca="false">IF($I38&gt;0%,IF(AND(HH$16&gt;=$F38,HH$16&lt;$F38+($G38*$I38)),"➤",""),"")</f>
        <v/>
      </c>
      <c r="HI38" s="76" t="str">
        <f aca="false">IF($I38&gt;0%,IF(AND(HI$16&gt;=$F38,HI$16&lt;$F38+($G38*$I38)),"➤",""),"")</f>
        <v/>
      </c>
      <c r="HJ38" s="76" t="str">
        <f aca="false">IF($I38&gt;0%,IF(AND(HJ$16&gt;=$F38,HJ$16&lt;$F38+($G38*$I38)),"➤",""),"")</f>
        <v/>
      </c>
      <c r="HK38" s="76" t="str">
        <f aca="false">IF($I38&gt;0%,IF(AND(HK$16&gt;=$F38,HK$16&lt;$F38+($G38*$I38)),"➤",""),"")</f>
        <v/>
      </c>
      <c r="HL38" s="76" t="str">
        <f aca="false">IF($I38&gt;0%,IF(AND(HL$16&gt;=$F38,HL$16&lt;$F38+($G38*$I38)),"➤",""),"")</f>
        <v/>
      </c>
      <c r="HM38" s="76" t="str">
        <f aca="false">IF($I38&gt;0%,IF(AND(HM$16&gt;=$F38,HM$16&lt;$F38+($G38*$I38)),"➤",""),"")</f>
        <v/>
      </c>
      <c r="HN38" s="76" t="str">
        <f aca="false">IF($I38&gt;0%,IF(AND(HN$16&gt;=$F38,HN$16&lt;$F38+($G38*$I38)),"➤",""),"")</f>
        <v/>
      </c>
      <c r="HO38" s="76" t="str">
        <f aca="false">IF($I38&gt;0%,IF(AND(HO$16&gt;=$F38,HO$16&lt;$F38+($G38*$I38)),"➤",""),"")</f>
        <v/>
      </c>
      <c r="HP38" s="76" t="str">
        <f aca="false">IF($I38&gt;0%,IF(AND(HP$16&gt;=$F38,HP$16&lt;$F38+($G38*$I38)),"➤",""),"")</f>
        <v/>
      </c>
      <c r="HQ38" s="76" t="str">
        <f aca="false">IF($I38&gt;0%,IF(AND(HQ$16&gt;=$F38,HQ$16&lt;$F38+($G38*$I38)),"➤",""),"")</f>
        <v/>
      </c>
      <c r="HR38" s="76" t="str">
        <f aca="false">IF($I38&gt;0%,IF(AND(HR$16&gt;=$F38,HR$16&lt;$F38+($G38*$I38)),"➤",""),"")</f>
        <v/>
      </c>
      <c r="HS38" s="76" t="str">
        <f aca="false">IF($I38&gt;0%,IF(AND(HS$16&gt;=$F38,HS$16&lt;$F38+($G38*$I38)),"➤",""),"")</f>
        <v/>
      </c>
      <c r="HT38" s="76" t="str">
        <f aca="false">IF($I38&gt;0%,IF(AND(HT$16&gt;=$F38,HT$16&lt;$F38+($G38*$I38)),"➤",""),"")</f>
        <v/>
      </c>
      <c r="HU38" s="76" t="str">
        <f aca="false">IF($I38&gt;0%,IF(AND(HU$16&gt;=$F38,HU$16&lt;$F38+($G38*$I38)),"➤",""),"")</f>
        <v/>
      </c>
      <c r="HV38" s="76" t="str">
        <f aca="false">IF($I38&gt;0%,IF(AND(HV$16&gt;=$F38,HV$16&lt;$F38+($G38*$I38)),"➤",""),"")</f>
        <v/>
      </c>
      <c r="HW38" s="76" t="str">
        <f aca="false">IF($I38&gt;0%,IF(AND(HW$16&gt;=$F38,HW$16&lt;$F38+($G38*$I38)),"➤",""),"")</f>
        <v/>
      </c>
      <c r="HX38" s="76" t="str">
        <f aca="false">IF($I38&gt;0%,IF(AND(HX$16&gt;=$F38,HX$16&lt;$F38+($G38*$I38)),"➤",""),"")</f>
        <v/>
      </c>
      <c r="HY38" s="76" t="str">
        <f aca="false">IF($I38&gt;0%,IF(AND(HY$16&gt;=$F38,HY$16&lt;$F38+($G38*$I38)),"➤",""),"")</f>
        <v/>
      </c>
      <c r="HZ38" s="76" t="str">
        <f aca="false">IF($I38&gt;0%,IF(AND(HZ$16&gt;=$F38,HZ$16&lt;$F38+($G38*$I38)),"➤",""),"")</f>
        <v/>
      </c>
      <c r="IA38" s="76" t="str">
        <f aca="false">IF($I38&gt;0%,IF(AND(IA$16&gt;=$F38,IA$16&lt;$F38+($G38*$I38)),"➤",""),"")</f>
        <v/>
      </c>
      <c r="IB38" s="76" t="str">
        <f aca="false">IF($I38&gt;0%,IF(AND(IB$16&gt;=$F38,IB$16&lt;$F38+($G38*$I38)),"➤",""),"")</f>
        <v/>
      </c>
      <c r="IC38" s="76" t="str">
        <f aca="false">IF($I38&gt;0%,IF(AND(IC$16&gt;=$F38,IC$16&lt;$F38+($G38*$I38)),"➤",""),"")</f>
        <v/>
      </c>
      <c r="ID38" s="76" t="str">
        <f aca="false">IF($I38&gt;0%,IF(AND(ID$16&gt;=$F38,ID$16&lt;$F38+($G38*$I38)),"➤",""),"")</f>
        <v/>
      </c>
      <c r="IE38" s="76" t="str">
        <f aca="false">IF($I38&gt;0%,IF(AND(IE$16&gt;=$F38,IE$16&lt;$F38+($G38*$I38)),"➤",""),"")</f>
        <v/>
      </c>
      <c r="IF38" s="76" t="str">
        <f aca="false">IF($I38&gt;0%,IF(AND(IF$16&gt;=$F38,IF$16&lt;$F38+($G38*$I38)),"➤",""),"")</f>
        <v/>
      </c>
      <c r="IG38" s="76" t="str">
        <f aca="false">IF($I38&gt;0%,IF(AND(IG$16&gt;=$F38,IG$16&lt;$F38+($G38*$I38)),"➤",""),"")</f>
        <v/>
      </c>
      <c r="IH38" s="76" t="str">
        <f aca="false">IF($I38&gt;0%,IF(AND(IH$16&gt;=$F38,IH$16&lt;$F38+($G38*$I38)),"➤",""),"")</f>
        <v/>
      </c>
      <c r="II38" s="76" t="str">
        <f aca="false">IF($I38&gt;0%,IF(AND(II$16&gt;=$F38,II$16&lt;$F38+($G38*$I38)),"➤",""),"")</f>
        <v/>
      </c>
      <c r="IJ38" s="76" t="str">
        <f aca="false">IF($I38&gt;0%,IF(AND(IJ$16&gt;=$F38,IJ$16&lt;$F38+($G38*$I38)),"➤",""),"")</f>
        <v/>
      </c>
      <c r="IK38" s="76" t="str">
        <f aca="false">IF($I38&gt;0%,IF(AND(IK$16&gt;=$F38,IK$16&lt;$F38+($G38*$I38)),"➤",""),"")</f>
        <v/>
      </c>
      <c r="IL38" s="76" t="str">
        <f aca="false">IF($I38&gt;0%,IF(AND(IL$16&gt;=$F38,IL$16&lt;$F38+($G38*$I38)),"➤",""),"")</f>
        <v/>
      </c>
      <c r="IM38" s="76" t="str">
        <f aca="false">IF($I38&gt;0%,IF(AND(IM$16&gt;=$F38,IM$16&lt;$F38+($G38*$I38)),"➤",""),"")</f>
        <v/>
      </c>
      <c r="IN38" s="76" t="str">
        <f aca="false">IF($I38&gt;0%,IF(AND(IN$16&gt;=$F38,IN$16&lt;$F38+($G38*$I38)),"➤",""),"")</f>
        <v/>
      </c>
      <c r="IO38" s="76" t="str">
        <f aca="false">IF($I38&gt;0%,IF(AND(IO$16&gt;=$F38,IO$16&lt;$F38+($G38*$I38)),"➤",""),"")</f>
        <v/>
      </c>
      <c r="IP38" s="76" t="str">
        <f aca="false">IF($I38&gt;0%,IF(AND(IP$16&gt;=$F38,IP$16&lt;$F38+($G38*$I38)),"➤",""),"")</f>
        <v/>
      </c>
      <c r="IQ38" s="76" t="str">
        <f aca="false">IF($I38&gt;0%,IF(AND(IQ$16&gt;=$F38,IQ$16&lt;$F38+($G38*$I38)),"➤",""),"")</f>
        <v/>
      </c>
      <c r="IR38" s="76" t="str">
        <f aca="false">IF($I38&gt;0%,IF(AND(IR$16&gt;=$F38,IR$16&lt;$F38+($G38*$I38)),"➤",""),"")</f>
        <v/>
      </c>
      <c r="IS38" s="76" t="str">
        <f aca="false">IF($I38&gt;0%,IF(AND(IS$16&gt;=$F38,IS$16&lt;$F38+($G38*$I38)),"➤",""),"")</f>
        <v/>
      </c>
      <c r="IT38" s="76" t="str">
        <f aca="false">IF($I38&gt;0%,IF(AND(IT$16&gt;=$F38,IT$16&lt;$F38+($G38*$I38)),"➤",""),"")</f>
        <v/>
      </c>
      <c r="IU38" s="76" t="str">
        <f aca="false">IF($I38&gt;0%,IF(AND(IU$16&gt;=$F38,IU$16&lt;$F38+($G38*$I38)),"➤",""),"")</f>
        <v/>
      </c>
      <c r="IV38" s="76" t="str">
        <f aca="false">IF($I38&gt;0%,IF(AND(IV$16&gt;=$F38,IV$16&lt;$F38+($G38*$I38)),"➤",""),"")</f>
        <v/>
      </c>
      <c r="IW38" s="76" t="str">
        <f aca="false">IF($I38&gt;0%,IF(AND(IW$16&gt;=$F38,IW$16&lt;$F38+($G38*$I38)),"➤",""),"")</f>
        <v/>
      </c>
      <c r="IX38" s="76" t="str">
        <f aca="false">IF($I38&gt;0%,IF(AND(IX$16&gt;=$F38,IX$16&lt;$F38+($G38*$I38)),"➤",""),"")</f>
        <v/>
      </c>
      <c r="IY38" s="76" t="str">
        <f aca="false">IF($I38&gt;0%,IF(AND(IY$16&gt;=$F38,IY$16&lt;$F38+($G38*$I38)),"➤",""),"")</f>
        <v/>
      </c>
      <c r="IZ38" s="76" t="str">
        <f aca="false">IF($I38&gt;0%,IF(AND(IZ$16&gt;=$F38,IZ$16&lt;$F38+($G38*$I38)),"➤",""),"")</f>
        <v/>
      </c>
      <c r="JA38" s="76" t="str">
        <f aca="false">IF($I38&gt;0%,IF(AND(JA$16&gt;=$F38,JA$16&lt;$F38+($G38*$I38)),"➤",""),"")</f>
        <v/>
      </c>
      <c r="JB38" s="76" t="str">
        <f aca="false">IF($I38&gt;0%,IF(AND(JB$16&gt;=$F38,JB$16&lt;$F38+($G38*$I38)),"➤",""),"")</f>
        <v/>
      </c>
      <c r="JC38" s="76" t="str">
        <f aca="false">IF($I38&gt;0%,IF(AND(JC$16&gt;=$F38,JC$16&lt;$F38+($G38*$I38)),"➤",""),"")</f>
        <v/>
      </c>
      <c r="JD38" s="76" t="str">
        <f aca="false">IF($I38&gt;0%,IF(AND(JD$16&gt;=$F38,JD$16&lt;$F38+($G38*$I38)),"➤",""),"")</f>
        <v/>
      </c>
      <c r="JE38" s="76" t="str">
        <f aca="false">IF($I38&gt;0%,IF(AND(JE$16&gt;=$F38,JE$16&lt;$F38+($G38*$I38)),"➤",""),"")</f>
        <v/>
      </c>
      <c r="JF38" s="76" t="str">
        <f aca="false">IF($I38&gt;0%,IF(AND(JF$16&gt;=$F38,JF$16&lt;$F38+($G38*$I38)),"➤",""),"")</f>
        <v/>
      </c>
      <c r="JG38" s="76" t="str">
        <f aca="false">IF($I38&gt;0%,IF(AND(JG$16&gt;=$F38,JG$16&lt;$F38+($G38*$I38)),"➤",""),"")</f>
        <v/>
      </c>
      <c r="JH38" s="76" t="str">
        <f aca="false">IF($I38&gt;0%,IF(AND(JH$16&gt;=$F38,JH$16&lt;$F38+($G38*$I38)),"➤",""),"")</f>
        <v/>
      </c>
      <c r="JI38" s="76" t="str">
        <f aca="false">IF($I38&gt;0%,IF(AND(JI$16&gt;=$F38,JI$16&lt;$F38+($G38*$I38)),"➤",""),"")</f>
        <v/>
      </c>
      <c r="JJ38" s="76" t="str">
        <f aca="false">IF($I38&gt;0%,IF(AND(JJ$16&gt;=$F38,JJ$16&lt;$F38+($G38*$I38)),"➤",""),"")</f>
        <v/>
      </c>
      <c r="JK38" s="76" t="str">
        <f aca="false">IF($I38&gt;0%,IF(AND(JK$16&gt;=$F38,JK$16&lt;$F38+($G38*$I38)),"➤",""),"")</f>
        <v/>
      </c>
      <c r="JL38" s="76" t="str">
        <f aca="false">IF($I38&gt;0%,IF(AND(JL$16&gt;=$F38,JL$16&lt;$F38+($G38*$I38)),"➤",""),"")</f>
        <v/>
      </c>
      <c r="JM38" s="76" t="str">
        <f aca="false">IF($I38&gt;0%,IF(AND(JM$16&gt;=$F38,JM$16&lt;$F38+($G38*$I38)),"➤",""),"")</f>
        <v/>
      </c>
      <c r="JN38" s="76" t="str">
        <f aca="false">IF($I38&gt;0%,IF(AND(JN$16&gt;=$F38,JN$16&lt;$F38+($G38*$I38)),"➤",""),"")</f>
        <v/>
      </c>
      <c r="JO38" s="76" t="str">
        <f aca="false">IF($I38&gt;0%,IF(AND(JO$16&gt;=$F38,JO$16&lt;$F38+($G38*$I38)),"➤",""),"")</f>
        <v/>
      </c>
      <c r="JP38" s="76" t="str">
        <f aca="false">IF($I38&gt;0%,IF(AND(JP$16&gt;=$F38,JP$16&lt;$F38+($G38*$I38)),"➤",""),"")</f>
        <v/>
      </c>
      <c r="JQ38" s="76" t="str">
        <f aca="false">IF($I38&gt;0%,IF(AND(JQ$16&gt;=$F38,JQ$16&lt;$F38+($G38*$I38)),"➤",""),"")</f>
        <v/>
      </c>
      <c r="JR38" s="76" t="str">
        <f aca="false">IF($I38&gt;0%,IF(AND(JR$16&gt;=$F38,JR$16&lt;$F38+($G38*$I38)),"➤",""),"")</f>
        <v/>
      </c>
      <c r="JS38" s="76" t="str">
        <f aca="false">IF($I38&gt;0%,IF(AND(JS$16&gt;=$F38,JS$16&lt;$F38+($G38*$I38)),"➤",""),"")</f>
        <v/>
      </c>
      <c r="JT38" s="76" t="str">
        <f aca="false">IF($I38&gt;0%,IF(AND(JT$16&gt;=$F38,JT$16&lt;$F38+($G38*$I38)),"➤",""),"")</f>
        <v/>
      </c>
      <c r="JU38" s="76" t="str">
        <f aca="false">IF($I38&gt;0%,IF(AND(JU$16&gt;=$F38,JU$16&lt;$F38+($G38*$I38)),"➤",""),"")</f>
        <v/>
      </c>
      <c r="JV38" s="76" t="str">
        <f aca="false">IF($I38&gt;0%,IF(AND(JV$16&gt;=$F38,JV$16&lt;$F38+($G38*$I38)),"➤",""),"")</f>
        <v/>
      </c>
      <c r="JW38" s="76" t="str">
        <f aca="false">IF($I38&gt;0%,IF(AND(JW$16&gt;=$F38,JW$16&lt;$F38+($G38*$I38)),"➤",""),"")</f>
        <v/>
      </c>
      <c r="JX38" s="76" t="str">
        <f aca="false">IF($I38&gt;0%,IF(AND(JX$16&gt;=$F38,JX$16&lt;$F38+($G38*$I38)),"➤",""),"")</f>
        <v/>
      </c>
      <c r="JY38" s="76" t="str">
        <f aca="false">IF($I38&gt;0%,IF(AND(JY$16&gt;=$F38,JY$16&lt;$F38+($G38*$I38)),"➤",""),"")</f>
        <v/>
      </c>
      <c r="JZ38" s="76" t="str">
        <f aca="false">IF($I38&gt;0%,IF(AND(JZ$16&gt;=$F38,JZ$16&lt;$F38+($G38*$I38)),"➤",""),"")</f>
        <v/>
      </c>
      <c r="KA38" s="76" t="str">
        <f aca="false">IF($I38&gt;0%,IF(AND(KA$16&gt;=$F38,KA$16&lt;$F38+($G38*$I38)),"➤",""),"")</f>
        <v/>
      </c>
      <c r="KB38" s="76" t="str">
        <f aca="false">IF($I38&gt;0%,IF(AND(KB$16&gt;=$F38,KB$16&lt;$F38+($G38*$I38)),"➤",""),"")</f>
        <v/>
      </c>
      <c r="KC38" s="76" t="str">
        <f aca="false">IF($I38&gt;0%,IF(AND(KC$16&gt;=$F38,KC$16&lt;$F38+($G38*$I38)),"➤",""),"")</f>
        <v/>
      </c>
      <c r="KD38" s="76" t="str">
        <f aca="false">IF($I38&gt;0%,IF(AND(KD$16&gt;=$F38,KD$16&lt;$F38+($G38*$I38)),"➤",""),"")</f>
        <v/>
      </c>
      <c r="KE38" s="76" t="str">
        <f aca="false">IF($I38&gt;0%,IF(AND(KE$16&gt;=$F38,KE$16&lt;$F38+($G38*$I38)),"➤",""),"")</f>
        <v/>
      </c>
      <c r="KF38" s="76" t="str">
        <f aca="false">IF($I38&gt;0%,IF(AND(KF$16&gt;=$F38,KF$16&lt;$F38+($G38*$I38)),"➤",""),"")</f>
        <v/>
      </c>
      <c r="KG38" s="76" t="str">
        <f aca="false">IF($I38&gt;0%,IF(AND(KG$16&gt;=$F38,KG$16&lt;$F38+($G38*$I38)),"➤",""),"")</f>
        <v/>
      </c>
      <c r="KH38" s="76" t="str">
        <f aca="false">IF($I38&gt;0%,IF(AND(KH$16&gt;=$F38,KH$16&lt;$F38+($G38*$I38)),"➤",""),"")</f>
        <v/>
      </c>
      <c r="KI38" s="76" t="str">
        <f aca="false">IF($I38&gt;0%,IF(AND(KI$16&gt;=$F38,KI$16&lt;$F38+($G38*$I38)),"➤",""),"")</f>
        <v/>
      </c>
      <c r="KJ38" s="76" t="str">
        <f aca="false">IF($I38&gt;0%,IF(AND(KJ$16&gt;=$F38,KJ$16&lt;$F38+($G38*$I38)),"➤",""),"")</f>
        <v/>
      </c>
      <c r="KK38" s="76" t="str">
        <f aca="false">IF($I38&gt;0%,IF(AND(KK$16&gt;=$F38,KK$16&lt;$F38+($G38*$I38)),"➤",""),"")</f>
        <v/>
      </c>
      <c r="KL38" s="76" t="str">
        <f aca="false">IF($I38&gt;0%,IF(AND(KL$16&gt;=$F38,KL$16&lt;$F38+($G38*$I38)),"➤",""),"")</f>
        <v/>
      </c>
      <c r="KM38" s="76" t="str">
        <f aca="false">IF($I38&gt;0%,IF(AND(KM$16&gt;=$F38,KM$16&lt;$F38+($G38*$I38)),"➤",""),"")</f>
        <v/>
      </c>
      <c r="KN38" s="76" t="str">
        <f aca="false">IF($I38&gt;0%,IF(AND(KN$16&gt;=$F38,KN$16&lt;$F38+($G38*$I38)),"➤",""),"")</f>
        <v/>
      </c>
      <c r="KO38" s="76" t="str">
        <f aca="false">IF($I38&gt;0%,IF(AND(KO$16&gt;=$F38,KO$16&lt;$F38+($G38*$I38)),"➤",""),"")</f>
        <v/>
      </c>
      <c r="KP38" s="76" t="str">
        <f aca="false">IF($I38&gt;0%,IF(AND(KP$16&gt;=$F38,KP$16&lt;$F38+($G38*$I38)),"➤",""),"")</f>
        <v/>
      </c>
      <c r="KQ38" s="76" t="str">
        <f aca="false">IF($I38&gt;0%,IF(AND(KQ$16&gt;=$F38,KQ$16&lt;$F38+($G38*$I38)),"➤",""),"")</f>
        <v/>
      </c>
      <c r="KR38" s="76" t="str">
        <f aca="false">IF($I38&gt;0%,IF(AND(KR$16&gt;=$F38,KR$16&lt;$F38+($G38*$I38)),"➤",""),"")</f>
        <v/>
      </c>
      <c r="KS38" s="76" t="str">
        <f aca="false">IF($I38&gt;0%,IF(AND(KS$16&gt;=$F38,KS$16&lt;$F38+($G38*$I38)),"➤",""),"")</f>
        <v/>
      </c>
      <c r="KT38" s="76" t="str">
        <f aca="false">IF($I38&gt;0%,IF(AND(KT$16&gt;=$F38,KT$16&lt;$F38+($G38*$I38)),"➤",""),"")</f>
        <v/>
      </c>
      <c r="KU38" s="76" t="str">
        <f aca="false">IF($I38&gt;0%,IF(AND(KU$16&gt;=$F38,KU$16&lt;$F38+($G38*$I38)),"➤",""),"")</f>
        <v/>
      </c>
      <c r="KV38" s="76" t="str">
        <f aca="false">IF($I38&gt;0%,IF(AND(KV$16&gt;=$F38,KV$16&lt;$F38+($G38*$I38)),"➤",""),"")</f>
        <v/>
      </c>
      <c r="KW38" s="76" t="str">
        <f aca="false">IF($I38&gt;0%,IF(AND(KW$16&gt;=$F38,KW$16&lt;$F38+($G38*$I38)),"➤",""),"")</f>
        <v/>
      </c>
      <c r="KX38" s="76" t="str">
        <f aca="false">IF($I38&gt;0%,IF(AND(KX$16&gt;=$F38,KX$16&lt;$F38+($G38*$I38)),"➤",""),"")</f>
        <v/>
      </c>
      <c r="KY38" s="76" t="str">
        <f aca="false">IF($I38&gt;0%,IF(AND(KY$16&gt;=$F38,KY$16&lt;$F38+($G38*$I38)),"➤",""),"")</f>
        <v/>
      </c>
      <c r="KZ38" s="76" t="str">
        <f aca="false">IF($I38&gt;0%,IF(AND(KZ$16&gt;=$F38,KZ$16&lt;$F38+($G38*$I38)),"➤",""),"")</f>
        <v/>
      </c>
      <c r="LA38" s="76" t="str">
        <f aca="false">IF($I38&gt;0%,IF(AND(LA$16&gt;=$F38,LA$16&lt;$F38+($G38*$I38)),"➤",""),"")</f>
        <v/>
      </c>
      <c r="LB38" s="76" t="str">
        <f aca="false">IF($I38&gt;0%,IF(AND(LB$16&gt;=$F38,LB$16&lt;$F38+($G38*$I38)),"➤",""),"")</f>
        <v/>
      </c>
      <c r="LC38" s="76" t="str">
        <f aca="false">IF($I38&gt;0%,IF(AND(LC$16&gt;=$F38,LC$16&lt;$F38+($G38*$I38)),"➤",""),"")</f>
        <v/>
      </c>
      <c r="LD38" s="76" t="str">
        <f aca="false">IF($I38&gt;0%,IF(AND(LD$16&gt;=$F38,LD$16&lt;$F38+($G38*$I38)),"➤",""),"")</f>
        <v/>
      </c>
      <c r="LE38" s="76" t="str">
        <f aca="false">IF($I38&gt;0%,IF(AND(LE$16&gt;=$F38,LE$16&lt;$F38+($G38*$I38)),"➤",""),"")</f>
        <v/>
      </c>
      <c r="LF38" s="76" t="str">
        <f aca="false">IF($I38&gt;0%,IF(AND(LF$16&gt;=$F38,LF$16&lt;$F38+($G38*$I38)),"➤",""),"")</f>
        <v/>
      </c>
      <c r="LG38" s="76" t="str">
        <f aca="false">IF($I38&gt;0%,IF(AND(LG$16&gt;=$F38,LG$16&lt;$F38+($G38*$I38)),"➤",""),"")</f>
        <v/>
      </c>
      <c r="LH38" s="76" t="str">
        <f aca="false">IF($I38&gt;0%,IF(AND(LH$16&gt;=$F38,LH$16&lt;$F38+($G38*$I38)),"➤",""),"")</f>
        <v/>
      </c>
      <c r="LI38" s="76" t="str">
        <f aca="false">IF($I38&gt;0%,IF(AND(LI$16&gt;=$F38,LI$16&lt;$F38+($G38*$I38)),"➤",""),"")</f>
        <v/>
      </c>
      <c r="LJ38" s="76" t="str">
        <f aca="false">IF($I38&gt;0%,IF(AND(LJ$16&gt;=$F38,LJ$16&lt;$F38+($G38*$I38)),"➤",""),"")</f>
        <v/>
      </c>
      <c r="LK38" s="76" t="str">
        <f aca="false">IF($I38&gt;0%,IF(AND(LK$16&gt;=$F38,LK$16&lt;$F38+($G38*$I38)),"➤",""),"")</f>
        <v/>
      </c>
      <c r="LL38" s="76" t="str">
        <f aca="false">IF($I38&gt;0%,IF(AND(LL$16&gt;=$F38,LL$16&lt;$F38+($G38*$I38)),"➤",""),"")</f>
        <v/>
      </c>
      <c r="LM38" s="76" t="str">
        <f aca="false">IF($I38&gt;0%,IF(AND(LM$16&gt;=$F38,LM$16&lt;$F38+($G38*$I38)),"➤",""),"")</f>
        <v/>
      </c>
      <c r="LN38" s="76" t="str">
        <f aca="false">IF($I38&gt;0%,IF(AND(LN$16&gt;=$F38,LN$16&lt;$F38+($G38*$I38)),"➤",""),"")</f>
        <v/>
      </c>
      <c r="LO38" s="76" t="str">
        <f aca="false">IF($I38&gt;0%,IF(AND(LO$16&gt;=$F38,LO$16&lt;$F38+($G38*$I38)),"➤",""),"")</f>
        <v/>
      </c>
      <c r="LP38" s="76" t="str">
        <f aca="false">IF($I38&gt;0%,IF(AND(LP$16&gt;=$F38,LP$16&lt;$F38+($G38*$I38)),"➤",""),"")</f>
        <v/>
      </c>
      <c r="LQ38" s="76" t="str">
        <f aca="false">IF($I38&gt;0%,IF(AND(LQ$16&gt;=$F38,LQ$16&lt;$F38+($G38*$I38)),"➤",""),"")</f>
        <v/>
      </c>
      <c r="LR38" s="76" t="str">
        <f aca="false">IF($I38&gt;0%,IF(AND(LR$16&gt;=$F38,LR$16&lt;$F38+($G38*$I38)),"➤",""),"")</f>
        <v/>
      </c>
      <c r="LS38" s="76" t="str">
        <f aca="false">IF($I38&gt;0%,IF(AND(LS$16&gt;=$F38,LS$16&lt;$F38+($G38*$I38)),"➤",""),"")</f>
        <v/>
      </c>
      <c r="LT38" s="76" t="str">
        <f aca="false">IF($I38&gt;0%,IF(AND(LT$16&gt;=$F38,LT$16&lt;$F38+($G38*$I38)),"➤",""),"")</f>
        <v/>
      </c>
      <c r="LU38" s="76" t="str">
        <f aca="false">IF($I38&gt;0%,IF(AND(LU$16&gt;=$F38,LU$16&lt;$F38+($G38*$I38)),"➤",""),"")</f>
        <v/>
      </c>
      <c r="LV38" s="76" t="str">
        <f aca="false">IF($I38&gt;0%,IF(AND(LV$16&gt;=$F38,LV$16&lt;$F38+($G38*$I38)),"➤",""),"")</f>
        <v/>
      </c>
      <c r="LW38" s="76" t="str">
        <f aca="false">IF($I38&gt;0%,IF(AND(LW$16&gt;=$F38,LW$16&lt;$F38+($G38*$I38)),"➤",""),"")</f>
        <v/>
      </c>
      <c r="LX38" s="76" t="str">
        <f aca="false">IF($I38&gt;0%,IF(AND(LX$16&gt;=$F38,LX$16&lt;$F38+($G38*$I38)),"➤",""),"")</f>
        <v/>
      </c>
      <c r="LY38" s="76" t="str">
        <f aca="false">IF($I38&gt;0%,IF(AND(LY$16&gt;=$F38,LY$16&lt;$F38+($G38*$I38)),"➤",""),"")</f>
        <v/>
      </c>
      <c r="LZ38" s="76" t="str">
        <f aca="false">IF($I38&gt;0%,IF(AND(LZ$16&gt;=$F38,LZ$16&lt;$F38+($G38*$I38)),"➤",""),"")</f>
        <v/>
      </c>
      <c r="MA38" s="76" t="str">
        <f aca="false">IF($I38&gt;0%,IF(AND(MA$16&gt;=$F38,MA$16&lt;$F38+($G38*$I38)),"➤",""),"")</f>
        <v/>
      </c>
      <c r="MB38" s="76" t="str">
        <f aca="false">IF($I38&gt;0%,IF(AND(MB$16&gt;=$F38,MB$16&lt;$F38+($G38*$I38)),"➤",""),"")</f>
        <v/>
      </c>
      <c r="MC38" s="76" t="str">
        <f aca="false">IF($I38&gt;0%,IF(AND(MC$16&gt;=$F38,MC$16&lt;$F38+($G38*$I38)),"➤",""),"")</f>
        <v/>
      </c>
      <c r="MD38" s="76" t="str">
        <f aca="false">IF($I38&gt;0%,IF(AND(MD$16&gt;=$F38,MD$16&lt;$F38+($G38*$I38)),"➤",""),"")</f>
        <v/>
      </c>
      <c r="ME38" s="76" t="str">
        <f aca="false">IF($I38&gt;0%,IF(AND(ME$16&gt;=$F38,ME$16&lt;$F38+($G38*$I38)),"➤",""),"")</f>
        <v/>
      </c>
      <c r="MF38" s="76" t="str">
        <f aca="false">IF($I38&gt;0%,IF(AND(MF$16&gt;=$F38,MF$16&lt;$F38+($G38*$I38)),"➤",""),"")</f>
        <v/>
      </c>
      <c r="MG38" s="76" t="str">
        <f aca="false">IF($I38&gt;0%,IF(AND(MG$16&gt;=$F38,MG$16&lt;$F38+($G38*$I38)),"➤",""),"")</f>
        <v/>
      </c>
      <c r="MH38" s="76" t="str">
        <f aca="false">IF($I38&gt;0%,IF(AND(MH$16&gt;=$F38,MH$16&lt;$F38+($G38*$I38)),"➤",""),"")</f>
        <v/>
      </c>
      <c r="MI38" s="76" t="str">
        <f aca="false">IF($I38&gt;0%,IF(AND(MI$16&gt;=$F38,MI$16&lt;$F38+($G38*$I38)),"➤",""),"")</f>
        <v/>
      </c>
      <c r="MJ38" s="76" t="str">
        <f aca="false">IF($I38&gt;0%,IF(AND(MJ$16&gt;=$F38,MJ$16&lt;$F38+($G38*$I38)),"➤",""),"")</f>
        <v/>
      </c>
      <c r="MK38" s="76" t="str">
        <f aca="false">IF($I38&gt;0%,IF(AND(MK$16&gt;=$F38,MK$16&lt;$F38+($G38*$I38)),"➤",""),"")</f>
        <v/>
      </c>
      <c r="ML38" s="76" t="str">
        <f aca="false">IF($I38&gt;0%,IF(AND(ML$16&gt;=$F38,ML$16&lt;$F38+($G38*$I38)),"➤",""),"")</f>
        <v/>
      </c>
      <c r="MM38" s="76" t="str">
        <f aca="false">IF($I38&gt;0%,IF(AND(MM$16&gt;=$F38,MM$16&lt;$F38+($G38*$I38)),"➤",""),"")</f>
        <v/>
      </c>
      <c r="MN38" s="76" t="str">
        <f aca="false">IF($I38&gt;0%,IF(AND(MN$16&gt;=$F38,MN$16&lt;$F38+($G38*$I38)),"➤",""),"")</f>
        <v/>
      </c>
      <c r="MO38" s="76" t="str">
        <f aca="false">IF($I38&gt;0%,IF(AND(MO$16&gt;=$F38,MO$16&lt;$F38+($G38*$I38)),"➤",""),"")</f>
        <v/>
      </c>
      <c r="MP38" s="76" t="str">
        <f aca="false">IF($I38&gt;0%,IF(AND(MP$16&gt;=$F38,MP$16&lt;$F38+($G38*$I38)),"➤",""),"")</f>
        <v/>
      </c>
      <c r="MQ38" s="76" t="str">
        <f aca="false">IF($I38&gt;0%,IF(AND(MQ$16&gt;=$F38,MQ$16&lt;$F38+($G38*$I38)),"➤",""),"")</f>
        <v/>
      </c>
      <c r="MR38" s="76" t="str">
        <f aca="false">IF($I38&gt;0%,IF(AND(MR$16&gt;=$F38,MR$16&lt;$F38+($G38*$I38)),"➤",""),"")</f>
        <v/>
      </c>
      <c r="MS38" s="76" t="str">
        <f aca="false">IF($I38&gt;0%,IF(AND(MS$16&gt;=$F38,MS$16&lt;$F38+($G38*$I38)),"➤",""),"")</f>
        <v/>
      </c>
      <c r="MT38" s="76" t="str">
        <f aca="false">IF($I38&gt;0%,IF(AND(MT$16&gt;=$F38,MT$16&lt;$F38+($G38*$I38)),"➤",""),"")</f>
        <v/>
      </c>
      <c r="MU38" s="76" t="str">
        <f aca="false">IF($I38&gt;0%,IF(AND(MU$16&gt;=$F38,MU$16&lt;$F38+($G38*$I38)),"➤",""),"")</f>
        <v/>
      </c>
      <c r="MV38" s="76" t="str">
        <f aca="false">IF($I38&gt;0%,IF(AND(MV$16&gt;=$F38,MV$16&lt;$F38+($G38*$I38)),"➤",""),"")</f>
        <v/>
      </c>
      <c r="MW38" s="76" t="str">
        <f aca="false">IF($I38&gt;0%,IF(AND(MW$16&gt;=$F38,MW$16&lt;$F38+($G38*$I38)),"➤",""),"")</f>
        <v/>
      </c>
      <c r="MX38" s="76" t="str">
        <f aca="false">IF($I38&gt;0%,IF(AND(MX$16&gt;=$F38,MX$16&lt;$F38+($G38*$I38)),"➤",""),"")</f>
        <v/>
      </c>
      <c r="MY38" s="76" t="str">
        <f aca="false">IF($I38&gt;0%,IF(AND(MY$16&gt;=$F38,MY$16&lt;$F38+($G38*$I38)),"➤",""),"")</f>
        <v/>
      </c>
      <c r="MZ38" s="76" t="str">
        <f aca="false">IF($I38&gt;0%,IF(AND(MZ$16&gt;=$F38,MZ$16&lt;$F38+($G38*$I38)),"➤",""),"")</f>
        <v/>
      </c>
      <c r="NA38" s="76" t="str">
        <f aca="false">IF($I38&gt;0%,IF(AND(NA$16&gt;=$F38,NA$16&lt;$F38+($G38*$I38)),"➤",""),"")</f>
        <v/>
      </c>
      <c r="NB38" s="76" t="str">
        <f aca="false">IF($I38&gt;0%,IF(AND(NB$16&gt;=$F38,NB$16&lt;$F38+($G38*$I38)),"➤",""),"")</f>
        <v/>
      </c>
      <c r="NC38" s="76" t="str">
        <f aca="false">IF($I38&gt;0%,IF(AND(NC$16&gt;=$F38,NC$16&lt;$F38+($G38*$I38)),"➤",""),"")</f>
        <v/>
      </c>
      <c r="ND38" s="76" t="str">
        <f aca="false">IF($I38&gt;0%,IF(AND(ND$16&gt;=$F38,ND$16&lt;$F38+($G38*$I38)),"➤",""),"")</f>
        <v/>
      </c>
      <c r="NE38" s="76" t="str">
        <f aca="false">IF($I38&gt;0%,IF(AND(NE$16&gt;=$F38,NE$16&lt;$F38+($G38*$I38)),"➤",""),"")</f>
        <v/>
      </c>
      <c r="NF38" s="76" t="str">
        <f aca="false">IF($I38&gt;0%,IF(AND(NF$16&gt;=$F38,NF$16&lt;$F38+($G38*$I38)),"➤",""),"")</f>
        <v/>
      </c>
      <c r="NG38" s="76" t="str">
        <f aca="false">IF($I38&gt;0%,IF(AND(NG$16&gt;=$F38,NG$16&lt;$F38+($G38*$I38)),"➤",""),"")</f>
        <v/>
      </c>
      <c r="NH38" s="76" t="str">
        <f aca="false">IF($I38&gt;0%,IF(AND(NH$16&gt;=$F38,NH$16&lt;$F38+($G38*$I38)),"➤",""),"")</f>
        <v/>
      </c>
      <c r="NI38" s="76" t="str">
        <f aca="false">IF($I38&gt;0%,IF(AND(NI$16&gt;=$F38,NI$16&lt;$F38+($G38*$I38)),"➤",""),"")</f>
        <v/>
      </c>
      <c r="NJ38" s="76" t="str">
        <f aca="false">IF($I38&gt;0%,IF(AND(NJ$16&gt;=$F38,NJ$16&lt;$F38+($G38*$I38)),"➤",""),"")</f>
        <v/>
      </c>
      <c r="NK38" s="76" t="str">
        <f aca="false">IF($I38&gt;0%,IF(AND(NK$16&gt;=$F38,NK$16&lt;$F38+($G38*$I38)),"➤",""),"")</f>
        <v/>
      </c>
      <c r="NL38" s="76" t="str">
        <f aca="false">IF($I38&gt;0%,IF(AND(NL$16&gt;=$F38,NL$16&lt;$F38+($G38*$I38)),"➤",""),"")</f>
        <v/>
      </c>
      <c r="NM38" s="76" t="str">
        <f aca="false">IF($I38&gt;0%,IF(AND(NM$16&gt;=$F38,NM$16&lt;$F38+($G38*$I38)),"➤",""),"")</f>
        <v/>
      </c>
      <c r="NN38" s="76" t="str">
        <f aca="false">IF($I38&gt;0%,IF(AND(NN$16&gt;=$F38,NN$16&lt;$F38+($G38*$I38)),"➤",""),"")</f>
        <v/>
      </c>
      <c r="NO38" s="76" t="str">
        <f aca="false">IF($I38&gt;0%,IF(AND(NO$16&gt;=$F38,NO$16&lt;$F38+($G38*$I38)),"➤",""),"")</f>
        <v/>
      </c>
      <c r="NP38" s="76" t="str">
        <f aca="false">IF($I38&gt;0%,IF(AND(NP$16&gt;=$F38,NP$16&lt;$F38+($G38*$I38)),"➤",""),"")</f>
        <v/>
      </c>
      <c r="NQ38" s="76" t="str">
        <f aca="false">IF($I38&gt;0%,IF(AND(NQ$16&gt;=$F38,NQ$16&lt;$F38+($G38*$I38)),"➤",""),"")</f>
        <v/>
      </c>
      <c r="NR38" s="76" t="str">
        <f aca="false">IF($I38&gt;0%,IF(AND(NR$16&gt;=$F38,NR$16&lt;$F38+($G38*$I38)),"➤",""),"")</f>
        <v/>
      </c>
      <c r="NS38" s="76" t="str">
        <f aca="false">IF($I38&gt;0%,IF(AND(NS$16&gt;=$F38,NS$16&lt;$F38+($G38*$I38)),"➤",""),"")</f>
        <v/>
      </c>
      <c r="NT38" s="76" t="str">
        <f aca="false">IF($I38&gt;0%,IF(AND(NT$16&gt;=$F38,NT$16&lt;$F38+($G38*$I38)),"➤",""),"")</f>
        <v/>
      </c>
      <c r="NU38" s="76" t="str">
        <f aca="false">IF($I38&gt;0%,IF(AND(NU$16&gt;=$F38,NU$16&lt;$F38+($G38*$I38)),"➤",""),"")</f>
        <v/>
      </c>
      <c r="NV38" s="76" t="str">
        <f aca="false">IF($I38&gt;0%,IF(AND(NV$16&gt;=$F38,NV$16&lt;$F38+($G38*$I38)),"➤",""),"")</f>
        <v/>
      </c>
      <c r="NW38" s="76" t="str">
        <f aca="false">IF($I38&gt;0%,IF(AND(NW$16&gt;=$F38,NW$16&lt;$F38+($G38*$I38)),"➤",""),"")</f>
        <v/>
      </c>
      <c r="NX38" s="76" t="str">
        <f aca="false">IF($I38&gt;0%,IF(AND(NX$16&gt;=$F38,NX$16&lt;$F38+($G38*$I38)),"➤",""),"")</f>
        <v/>
      </c>
      <c r="NY38" s="76" t="str">
        <f aca="false">IF($I38&gt;0%,IF(AND(NY$16&gt;=$F38,NY$16&lt;$F38+($G38*$I38)),"➤",""),"")</f>
        <v/>
      </c>
      <c r="NZ38" s="76" t="str">
        <f aca="false">IF($I38&gt;0%,IF(AND(NZ$16&gt;=$F38,NZ$16&lt;$F38+($G38*$I38)),"➤",""),"")</f>
        <v/>
      </c>
      <c r="OA38" s="76" t="str">
        <f aca="false">IF($I38&gt;0%,IF(AND(OA$16&gt;=$F38,OA$16&lt;$F38+($G38*$I38)),"➤",""),"")</f>
        <v/>
      </c>
      <c r="OB38" s="76" t="str">
        <f aca="false">IF($I38&gt;0%,IF(AND(OB$16&gt;=$F38,OB$16&lt;$F38+($G38*$I38)),"➤",""),"")</f>
        <v/>
      </c>
      <c r="OC38" s="76" t="str">
        <f aca="false">IF($I38&gt;0%,IF(AND(OC$16&gt;=$F38,OC$16&lt;$F38+($G38*$I38)),"➤",""),"")</f>
        <v/>
      </c>
      <c r="OD38" s="76" t="str">
        <f aca="false">IF($I38&gt;0%,IF(AND(OD$16&gt;=$F38,OD$16&lt;$F38+($G38*$I38)),"➤",""),"")</f>
        <v/>
      </c>
      <c r="OE38" s="76" t="str">
        <f aca="false">IF($I38&gt;0%,IF(AND(OE$16&gt;=$F38,OE$16&lt;$F38+($G38*$I38)),"➤",""),"")</f>
        <v/>
      </c>
      <c r="OF38" s="76" t="str">
        <f aca="false">IF($I38&gt;0%,IF(AND(OF$16&gt;=$F38,OF$16&lt;$F38+($G38*$I38)),"➤",""),"")</f>
        <v/>
      </c>
      <c r="OG38" s="76" t="str">
        <f aca="false">IF($I38&gt;0%,IF(AND(OG$16&gt;=$F38,OG$16&lt;$F38+($G38*$I38)),"➤",""),"")</f>
        <v/>
      </c>
      <c r="OH38" s="76" t="str">
        <f aca="false">IF($I38&gt;0%,IF(AND(OH$16&gt;=$F38,OH$16&lt;$F38+($G38*$I38)),"➤",""),"")</f>
        <v/>
      </c>
      <c r="OI38" s="76" t="str">
        <f aca="false">IF($I38&gt;0%,IF(AND(OI$16&gt;=$F38,OI$16&lt;$F38+($G38*$I38)),"➤",""),"")</f>
        <v/>
      </c>
      <c r="OJ38" s="76" t="str">
        <f aca="false">IF($I38&gt;0%,IF(AND(OJ$16&gt;=$F38,OJ$16&lt;$F38+($G38*$I38)),"➤",""),"")</f>
        <v/>
      </c>
      <c r="OK38" s="76" t="str">
        <f aca="false">IF($I38&gt;0%,IF(AND(OK$16&gt;=$F38,OK$16&lt;$F38+($G38*$I38)),"➤",""),"")</f>
        <v/>
      </c>
      <c r="OL38" s="76" t="str">
        <f aca="false">IF($I38&gt;0%,IF(AND(OL$16&gt;=$F38,OL$16&lt;$F38+($G38*$I38)),"➤",""),"")</f>
        <v/>
      </c>
      <c r="OM38" s="76" t="str">
        <f aca="false">IF($I38&gt;0%,IF(AND(OM$16&gt;=$F38,OM$16&lt;$F38+($G38*$I38)),"➤",""),"")</f>
        <v/>
      </c>
      <c r="ON38" s="76" t="str">
        <f aca="false">IF($I38&gt;0%,IF(AND(ON$16&gt;=$F38,ON$16&lt;$F38+($G38*$I38)),"➤",""),"")</f>
        <v/>
      </c>
      <c r="OO38" s="76" t="str">
        <f aca="false">IF($I38&gt;0%,IF(AND(OO$16&gt;=$F38,OO$16&lt;$F38+($G38*$I38)),"➤",""),"")</f>
        <v/>
      </c>
      <c r="OP38" s="76" t="str">
        <f aca="false">IF($I38&gt;0%,IF(AND(OP$16&gt;=$F38,OP$16&lt;$F38+($G38*$I38)),"➤",""),"")</f>
        <v/>
      </c>
      <c r="OQ38" s="76" t="str">
        <f aca="false">IF($I38&gt;0%,IF(AND(OQ$16&gt;=$F38,OQ$16&lt;$F38+($G38*$I38)),"➤",""),"")</f>
        <v/>
      </c>
      <c r="OR38" s="76" t="str">
        <f aca="false">IF($I38&gt;0%,IF(AND(OR$16&gt;=$F38,OR$16&lt;$F38+($G38*$I38)),"➤",""),"")</f>
        <v/>
      </c>
      <c r="OS38" s="76" t="str">
        <f aca="false">IF($I38&gt;0%,IF(AND(OS$16&gt;=$F38,OS$16&lt;$F38+($G38*$I38)),"➤",""),"")</f>
        <v/>
      </c>
      <c r="OT38" s="76" t="str">
        <f aca="false">IF($I38&gt;0%,IF(AND(OT$16&gt;=$F38,OT$16&lt;$F38+($G38*$I38)),"➤",""),"")</f>
        <v/>
      </c>
      <c r="OU38" s="76" t="str">
        <f aca="false">IF($I38&gt;0%,IF(AND(OU$16&gt;=$F38,OU$16&lt;$F38+($G38*$I38)),"➤",""),"")</f>
        <v/>
      </c>
      <c r="OV38" s="76" t="str">
        <f aca="false">IF($I38&gt;0%,IF(AND(OV$16&gt;=$F38,OV$16&lt;$F38+($G38*$I38)),"➤",""),"")</f>
        <v/>
      </c>
      <c r="OW38" s="76" t="str">
        <f aca="false">IF($I38&gt;0%,IF(AND(OW$16&gt;=$F38,OW$16&lt;$F38+($G38*$I38)),"➤",""),"")</f>
        <v/>
      </c>
      <c r="OX38" s="76" t="str">
        <f aca="false">IF($I38&gt;0%,IF(AND(OX$16&gt;=$F38,OX$16&lt;$F38+($G38*$I38)),"➤",""),"")</f>
        <v/>
      </c>
      <c r="OY38" s="76" t="str">
        <f aca="false">IF($I38&gt;0%,IF(AND(OY$16&gt;=$F38,OY$16&lt;$F38+($G38*$I38)),"➤",""),"")</f>
        <v/>
      </c>
      <c r="OZ38" s="76" t="str">
        <f aca="false">IF($I38&gt;0%,IF(AND(OZ$16&gt;=$F38,OZ$16&lt;$F38+($G38*$I38)),"➤",""),"")</f>
        <v/>
      </c>
      <c r="PA38" s="76" t="str">
        <f aca="false">IF($I38&gt;0%,IF(AND(PA$16&gt;=$F38,PA$16&lt;$F38+($G38*$I38)),"➤",""),"")</f>
        <v/>
      </c>
      <c r="PB38" s="76" t="str">
        <f aca="false">IF($I38&gt;0%,IF(AND(PB$16&gt;=$F38,PB$16&lt;$F38+($G38*$I38)),"➤",""),"")</f>
        <v/>
      </c>
      <c r="PC38" s="76" t="str">
        <f aca="false">IF($I38&gt;0%,IF(AND(PC$16&gt;=$F38,PC$16&lt;$F38+($G38*$I38)),"➤",""),"")</f>
        <v/>
      </c>
      <c r="PD38" s="76" t="str">
        <f aca="false">IF($I38&gt;0%,IF(AND(PD$16&gt;=$F38,PD$16&lt;$F38+($G38*$I38)),"➤",""),"")</f>
        <v/>
      </c>
      <c r="PE38" s="76" t="str">
        <f aca="false">IF($I38&gt;0%,IF(AND(PE$16&gt;=$F38,PE$16&lt;$F38+($G38*$I38)),"➤",""),"")</f>
        <v/>
      </c>
      <c r="PF38" s="76" t="str">
        <f aca="false">IF($I38&gt;0%,IF(AND(PF$16&gt;=$F38,PF$16&lt;$F38+($G38*$I38)),"➤",""),"")</f>
        <v/>
      </c>
      <c r="PG38" s="76" t="str">
        <f aca="false">IF($I38&gt;0%,IF(AND(PG$16&gt;=$F38,PG$16&lt;$F38+($G38*$I38)),"➤",""),"")</f>
        <v/>
      </c>
      <c r="PH38" s="76" t="str">
        <f aca="false">IF($I38&gt;0%,IF(AND(PH$16&gt;=$F38,PH$16&lt;$F38+($G38*$I38)),"➤",""),"")</f>
        <v/>
      </c>
      <c r="PI38" s="76" t="str">
        <f aca="false">IF($I38&gt;0%,IF(AND(PI$16&gt;=$F38,PI$16&lt;$F38+($G38*$I38)),"➤",""),"")</f>
        <v/>
      </c>
      <c r="PJ38" s="76" t="str">
        <f aca="false">IF($I38&gt;0%,IF(AND(PJ$16&gt;=$F38,PJ$16&lt;$F38+($G38*$I38)),"➤",""),"")</f>
        <v/>
      </c>
      <c r="PK38" s="76" t="str">
        <f aca="false">IF($I38&gt;0%,IF(AND(PK$16&gt;=$F38,PK$16&lt;$F38+($G38*$I38)),"➤",""),"")</f>
        <v/>
      </c>
      <c r="PL38" s="76" t="str">
        <f aca="false">IF($I38&gt;0%,IF(AND(PL$16&gt;=$F38,PL$16&lt;$F38+($G38*$I38)),"➤",""),"")</f>
        <v/>
      </c>
      <c r="PM38" s="76" t="str">
        <f aca="false">IF($I38&gt;0%,IF(AND(PM$16&gt;=$F38,PM$16&lt;$F38+($G38*$I38)),"➤",""),"")</f>
        <v/>
      </c>
      <c r="PN38" s="76" t="str">
        <f aca="false">IF($I38&gt;0%,IF(AND(PN$16&gt;=$F38,PN$16&lt;$F38+($G38*$I38)),"➤",""),"")</f>
        <v/>
      </c>
      <c r="PO38" s="76" t="str">
        <f aca="false">IF($I38&gt;0%,IF(AND(PO$16&gt;=$F38,PO$16&lt;$F38+($G38*$I38)),"➤",""),"")</f>
        <v/>
      </c>
      <c r="PP38" s="76" t="str">
        <f aca="false">IF($I38&gt;0%,IF(AND(PP$16&gt;=$F38,PP$16&lt;$F38+($G38*$I38)),"➤",""),"")</f>
        <v/>
      </c>
      <c r="PQ38" s="76" t="str">
        <f aca="false">IF($I38&gt;0%,IF(AND(PQ$16&gt;=$F38,PQ$16&lt;$F38+($G38*$I38)),"➤",""),"")</f>
        <v/>
      </c>
      <c r="PR38" s="76" t="str">
        <f aca="false">IF($I38&gt;0%,IF(AND(PR$16&gt;=$F38,PR$16&lt;$F38+($G38*$I38)),"➤",""),"")</f>
        <v/>
      </c>
      <c r="PS38" s="76" t="str">
        <f aca="false">IF($I38&gt;0%,IF(AND(PS$16&gt;=$F38,PS$16&lt;$F38+($G38*$I38)),"➤",""),"")</f>
        <v/>
      </c>
      <c r="PT38" s="76" t="str">
        <f aca="false">IF($I38&gt;0%,IF(AND(PT$16&gt;=$F38,PT$16&lt;$F38+($G38*$I38)),"➤",""),"")</f>
        <v/>
      </c>
      <c r="PU38" s="76" t="str">
        <f aca="false">IF($I38&gt;0%,IF(AND(PU$16&gt;=$F38,PU$16&lt;$F38+($G38*$I38)),"➤",""),"")</f>
        <v/>
      </c>
      <c r="PV38" s="76" t="str">
        <f aca="false">IF($I38&gt;0%,IF(AND(PV$16&gt;=$F38,PV$16&lt;$F38+($G38*$I38)),"➤",""),"")</f>
        <v/>
      </c>
      <c r="PW38" s="76" t="str">
        <f aca="false">IF($I38&gt;0%,IF(AND(PW$16&gt;=$F38,PW$16&lt;$F38+($G38*$I38)),"➤",""),"")</f>
        <v/>
      </c>
      <c r="PX38" s="76" t="str">
        <f aca="false">IF($I38&gt;0%,IF(AND(PX$16&gt;=$F38,PX$16&lt;$F38+($G38*$I38)),"➤",""),"")</f>
        <v/>
      </c>
      <c r="PY38" s="76" t="str">
        <f aca="false">IF($I38&gt;0%,IF(AND(PY$16&gt;=$F38,PY$16&lt;$F38+($G38*$I38)),"➤",""),"")</f>
        <v/>
      </c>
      <c r="PZ38" s="76" t="str">
        <f aca="false">IF($I38&gt;0%,IF(AND(PZ$16&gt;=$F38,PZ$16&lt;$F38+($G38*$I38)),"➤",""),"")</f>
        <v/>
      </c>
      <c r="QA38" s="76" t="str">
        <f aca="false">IF($I38&gt;0%,IF(AND(QA$16&gt;=$F38,QA$16&lt;$F38+($G38*$I38)),"➤",""),"")</f>
        <v/>
      </c>
      <c r="QB38" s="76" t="str">
        <f aca="false">IF($I38&gt;0%,IF(AND(QB$16&gt;=$F38,QB$16&lt;$F38+($G38*$I38)),"➤",""),"")</f>
        <v/>
      </c>
      <c r="QC38" s="76" t="str">
        <f aca="false">IF($I38&gt;0%,IF(AND(QC$16&gt;=$F38,QC$16&lt;$F38+($G38*$I38)),"➤",""),"")</f>
        <v/>
      </c>
      <c r="QD38" s="76" t="str">
        <f aca="false">IF($I38&gt;0%,IF(AND(QD$16&gt;=$F38,QD$16&lt;$F38+($G38*$I38)),"➤",""),"")</f>
        <v/>
      </c>
      <c r="QE38" s="76" t="str">
        <f aca="false">IF($I38&gt;0%,IF(AND(QE$16&gt;=$F38,QE$16&lt;$F38+($G38*$I38)),"➤",""),"")</f>
        <v/>
      </c>
      <c r="QF38" s="76" t="str">
        <f aca="false">IF($I38&gt;0%,IF(AND(QF$16&gt;=$F38,QF$16&lt;$F38+($G38*$I38)),"➤",""),"")</f>
        <v/>
      </c>
      <c r="QG38" s="76" t="str">
        <f aca="false">IF($I38&gt;0%,IF(AND(QG$16&gt;=$F38,QG$16&lt;$F38+($G38*$I38)),"➤",""),"")</f>
        <v/>
      </c>
      <c r="QH38" s="76" t="str">
        <f aca="false">IF($I38&gt;0%,IF(AND(QH$16&gt;=$F38,QH$16&lt;$F38+($G38*$I38)),"➤",""),"")</f>
        <v/>
      </c>
      <c r="QI38" s="76" t="str">
        <f aca="false">IF($I38&gt;0%,IF(AND(QI$16&gt;=$F38,QI$16&lt;$F38+($G38*$I38)),"➤",""),"")</f>
        <v/>
      </c>
      <c r="QJ38" s="76" t="str">
        <f aca="false">IF($I38&gt;0%,IF(AND(QJ$16&gt;=$F38,QJ$16&lt;$F38+($G38*$I38)),"➤",""),"")</f>
        <v/>
      </c>
      <c r="QK38" s="76" t="str">
        <f aca="false">IF($I38&gt;0%,IF(AND(QK$16&gt;=$F38,QK$16&lt;$F38+($G38*$I38)),"➤",""),"")</f>
        <v/>
      </c>
      <c r="QL38" s="76" t="str">
        <f aca="false">IF($I38&gt;0%,IF(AND(QL$16&gt;=$F38,QL$16&lt;$F38+($G38*$I38)),"➤",""),"")</f>
        <v/>
      </c>
      <c r="QM38" s="76" t="str">
        <f aca="false">IF($I38&gt;0%,IF(AND(QM$16&gt;=$F38,QM$16&lt;$F38+($G38*$I38)),"➤",""),"")</f>
        <v/>
      </c>
      <c r="QN38" s="76" t="str">
        <f aca="false">IF($I38&gt;0%,IF(AND(QN$16&gt;=$F38,QN$16&lt;$F38+($G38*$I38)),"➤",""),"")</f>
        <v/>
      </c>
      <c r="QO38" s="76" t="str">
        <f aca="false">IF($I38&gt;0%,IF(AND(QO$16&gt;=$F38,QO$16&lt;$F38+($G38*$I38)),"➤",""),"")</f>
        <v/>
      </c>
      <c r="QP38" s="76" t="str">
        <f aca="false">IF($I38&gt;0%,IF(AND(QP$16&gt;=$F38,QP$16&lt;$F38+($G38*$I38)),"➤",""),"")</f>
        <v/>
      </c>
      <c r="QQ38" s="76" t="str">
        <f aca="false">IF($I38&gt;0%,IF(AND(QQ$16&gt;=$F38,QQ$16&lt;$F38+($G38*$I38)),"➤",""),"")</f>
        <v/>
      </c>
      <c r="QR38" s="76" t="str">
        <f aca="false">IF($I38&gt;0%,IF(AND(QR$16&gt;=$F38,QR$16&lt;$F38+($G38*$I38)),"➤",""),"")</f>
        <v/>
      </c>
      <c r="QS38" s="76" t="str">
        <f aca="false">IF($I38&gt;0%,IF(AND(QS$16&gt;=$F38,QS$16&lt;$F38+($G38*$I38)),"➤",""),"")</f>
        <v/>
      </c>
      <c r="QT38" s="76" t="str">
        <f aca="false">IF($I38&gt;0%,IF(AND(QT$16&gt;=$F38,QT$16&lt;$F38+($G38*$I38)),"➤",""),"")</f>
        <v/>
      </c>
      <c r="QU38" s="76" t="str">
        <f aca="false">IF($I38&gt;0%,IF(AND(QU$16&gt;=$F38,QU$16&lt;$F38+($G38*$I38)),"➤",""),"")</f>
        <v/>
      </c>
      <c r="QV38" s="76" t="str">
        <f aca="false">IF($I38&gt;0%,IF(AND(QV$16&gt;=$F38,QV$16&lt;$F38+($G38*$I38)),"➤",""),"")</f>
        <v/>
      </c>
      <c r="QW38" s="76" t="str">
        <f aca="false">IF($I38&gt;0%,IF(AND(QW$16&gt;=$F38,QW$16&lt;$F38+($G38*$I38)),"➤",""),"")</f>
        <v/>
      </c>
      <c r="QX38" s="76" t="str">
        <f aca="false">IF($I38&gt;0%,IF(AND(QX$16&gt;=$F38,QX$16&lt;$F38+($G38*$I38)),"➤",""),"")</f>
        <v/>
      </c>
      <c r="QY38" s="76" t="str">
        <f aca="false">IF($I38&gt;0%,IF(AND(QY$16&gt;=$F38,QY$16&lt;$F38+($G38*$I38)),"➤",""),"")</f>
        <v/>
      </c>
      <c r="QZ38" s="76" t="str">
        <f aca="false">IF($I38&gt;0%,IF(AND(QZ$16&gt;=$F38,QZ$16&lt;$F38+($G38*$I38)),"➤",""),"")</f>
        <v/>
      </c>
      <c r="RA38" s="76" t="str">
        <f aca="false">IF($I38&gt;0%,IF(AND(RA$16&gt;=$F38,RA$16&lt;$F38+($G38*$I38)),"➤",""),"")</f>
        <v/>
      </c>
      <c r="RB38" s="76" t="str">
        <f aca="false">IF($I38&gt;0%,IF(AND(RB$16&gt;=$F38,RB$16&lt;$F38+($G38*$I38)),"➤",""),"")</f>
        <v/>
      </c>
      <c r="RC38" s="76" t="str">
        <f aca="false">IF($I38&gt;0%,IF(AND(RC$16&gt;=$F38,RC$16&lt;$F38+($G38*$I38)),"➤",""),"")</f>
        <v/>
      </c>
      <c r="RD38" s="76" t="str">
        <f aca="false">IF($I38&gt;0%,IF(AND(RD$16&gt;=$F38,RD$16&lt;$F38+($G38*$I38)),"➤",""),"")</f>
        <v/>
      </c>
      <c r="RE38" s="76" t="str">
        <f aca="false">IF($I38&gt;0%,IF(AND(RE$16&gt;=$F38,RE$16&lt;$F38+($G38*$I38)),"➤",""),"")</f>
        <v/>
      </c>
      <c r="RF38" s="76" t="str">
        <f aca="false">IF($I38&gt;0%,IF(AND(RF$16&gt;=$F38,RF$16&lt;$F38+($G38*$I38)),"➤",""),"")</f>
        <v/>
      </c>
      <c r="RG38" s="76" t="str">
        <f aca="false">IF($I38&gt;0%,IF(AND(RG$16&gt;=$F38,RG$16&lt;$F38+($G38*$I38)),"➤",""),"")</f>
        <v/>
      </c>
      <c r="RH38" s="76" t="str">
        <f aca="false">IF($I38&gt;0%,IF(AND(RH$16&gt;=$F38,RH$16&lt;$F38+($G38*$I38)),"➤",""),"")</f>
        <v/>
      </c>
      <c r="RI38" s="76" t="str">
        <f aca="false">IF($I38&gt;0%,IF(AND(RI$16&gt;=$F38,RI$16&lt;$F38+($G38*$I38)),"➤",""),"")</f>
        <v/>
      </c>
      <c r="RJ38" s="76" t="str">
        <f aca="false">IF($I38&gt;0%,IF(AND(RJ$16&gt;=$F38,RJ$16&lt;$F38+($G38*$I38)),"➤",""),"")</f>
        <v/>
      </c>
      <c r="RK38" s="76" t="str">
        <f aca="false">IF($I38&gt;0%,IF(AND(RK$16&gt;=$F38,RK$16&lt;$F38+($G38*$I38)),"➤",""),"")</f>
        <v/>
      </c>
      <c r="RL38" s="76" t="str">
        <f aca="false">IF($I38&gt;0%,IF(AND(RL$16&gt;=$F38,RL$16&lt;$F38+($G38*$I38)),"➤",""),"")</f>
        <v/>
      </c>
      <c r="RM38" s="76" t="str">
        <f aca="false">IF($I38&gt;0%,IF(AND(RM$16&gt;=$F38,RM$16&lt;$F38+($G38*$I38)),"➤",""),"")</f>
        <v/>
      </c>
      <c r="RN38" s="76" t="str">
        <f aca="false">IF($I38&gt;0%,IF(AND(RN$16&gt;=$F38,RN$16&lt;$F38+($G38*$I38)),"➤",""),"")</f>
        <v/>
      </c>
      <c r="RO38" s="76" t="str">
        <f aca="false">IF($I38&gt;0%,IF(AND(RO$16&gt;=$F38,RO$16&lt;$F38+($G38*$I38)),"➤",""),"")</f>
        <v/>
      </c>
      <c r="RP38" s="76" t="str">
        <f aca="false">IF($I38&gt;0%,IF(AND(RP$16&gt;=$F38,RP$16&lt;$F38+($G38*$I38)),"➤",""),"")</f>
        <v/>
      </c>
      <c r="RQ38" s="76" t="str">
        <f aca="false">IF($I38&gt;0%,IF(AND(RQ$16&gt;=$F38,RQ$16&lt;$F38+($G38*$I38)),"➤",""),"")</f>
        <v/>
      </c>
      <c r="RR38" s="76" t="str">
        <f aca="false">IF($I38&gt;0%,IF(AND(RR$16&gt;=$F38,RR$16&lt;$F38+($G38*$I38)),"➤",""),"")</f>
        <v/>
      </c>
      <c r="RS38" s="76" t="str">
        <f aca="false">IF($I38&gt;0%,IF(AND(RS$16&gt;=$F38,RS$16&lt;$F38+($G38*$I38)),"➤",""),"")</f>
        <v/>
      </c>
      <c r="RT38" s="76" t="str">
        <f aca="false">IF($I38&gt;0%,IF(AND(RT$16&gt;=$F38,RT$16&lt;$F38+($G38*$I38)),"➤",""),"")</f>
        <v/>
      </c>
      <c r="RU38" s="76" t="str">
        <f aca="false">IF($I38&gt;0%,IF(AND(RU$16&gt;=$F38,RU$16&lt;$F38+($G38*$I38)),"➤",""),"")</f>
        <v/>
      </c>
      <c r="RV38" s="76" t="str">
        <f aca="false">IF($I38&gt;0%,IF(AND(RV$16&gt;=$F38,RV$16&lt;$F38+($G38*$I38)),"➤",""),"")</f>
        <v/>
      </c>
      <c r="RW38" s="76" t="str">
        <f aca="false">IF($I38&gt;0%,IF(AND(RW$16&gt;=$F38,RW$16&lt;$F38+($G38*$I38)),"➤",""),"")</f>
        <v/>
      </c>
      <c r="RX38" s="76" t="str">
        <f aca="false">IF($I38&gt;0%,IF(AND(RX$16&gt;=$F38,RX$16&lt;$F38+($G38*$I38)),"➤",""),"")</f>
        <v/>
      </c>
      <c r="RY38" s="76" t="str">
        <f aca="false">IF($I38&gt;0%,IF(AND(RY$16&gt;=$F38,RY$16&lt;$F38+($G38*$I38)),"➤",""),"")</f>
        <v/>
      </c>
      <c r="RZ38" s="76" t="str">
        <f aca="false">IF($I38&gt;0%,IF(AND(RZ$16&gt;=$F38,RZ$16&lt;$F38+($G38*$I38)),"➤",""),"")</f>
        <v/>
      </c>
      <c r="SA38" s="76" t="str">
        <f aca="false">IF($I38&gt;0%,IF(AND(SA$16&gt;=$F38,SA$16&lt;$F38+($G38*$I38)),"➤",""),"")</f>
        <v/>
      </c>
      <c r="SB38" s="76" t="str">
        <f aca="false">IF($I38&gt;0%,IF(AND(SB$16&gt;=$F38,SB$16&lt;$F38+($G38*$I38)),"➤",""),"")</f>
        <v/>
      </c>
      <c r="SC38" s="76" t="str">
        <f aca="false">IF($I38&gt;0%,IF(AND(SC$16&gt;=$F38,SC$16&lt;$F38+($G38*$I38)),"➤",""),"")</f>
        <v/>
      </c>
      <c r="SD38" s="76" t="str">
        <f aca="false">IF($I38&gt;0%,IF(AND(SD$16&gt;=$F38,SD$16&lt;$F38+($G38*$I38)),"➤",""),"")</f>
        <v/>
      </c>
      <c r="SE38" s="76" t="str">
        <f aca="false">IF($I38&gt;0%,IF(AND(SE$16&gt;=$F38,SE$16&lt;$F38+($G38*$I38)),"➤",""),"")</f>
        <v/>
      </c>
      <c r="SF38" s="76" t="str">
        <f aca="false">IF($I38&gt;0%,IF(AND(SF$16&gt;=$F38,SF$16&lt;$F38+($G38*$I38)),"➤",""),"")</f>
        <v/>
      </c>
      <c r="SG38" s="76" t="str">
        <f aca="false">IF($I38&gt;0%,IF(AND(SG$16&gt;=$F38,SG$16&lt;$F38+($G38*$I38)),"➤",""),"")</f>
        <v/>
      </c>
      <c r="SH38" s="76" t="str">
        <f aca="false">IF($I38&gt;0%,IF(AND(SH$16&gt;=$F38,SH$16&lt;$F38+($G38*$I38)),"➤",""),"")</f>
        <v/>
      </c>
      <c r="SI38" s="76" t="str">
        <f aca="false">IF($I38&gt;0%,IF(AND(SI$16&gt;=$F38,SI$16&lt;$F38+($G38*$I38)),"➤",""),"")</f>
        <v/>
      </c>
      <c r="SJ38" s="76" t="str">
        <f aca="false">IF($I38&gt;0%,IF(AND(SJ$16&gt;=$F38,SJ$16&lt;$F38+($G38*$I38)),"➤",""),"")</f>
        <v/>
      </c>
      <c r="SK38" s="76" t="str">
        <f aca="false">IF($I38&gt;0%,IF(AND(SK$16&gt;=$F38,SK$16&lt;$F38+($G38*$I38)),"➤",""),"")</f>
        <v/>
      </c>
      <c r="SL38" s="76" t="str">
        <f aca="false">IF($I38&gt;0%,IF(AND(SL$16&gt;=$F38,SL$16&lt;$F38+($G38*$I38)),"➤",""),"")</f>
        <v/>
      </c>
      <c r="SM38" s="76" t="str">
        <f aca="false">IF($I38&gt;0%,IF(AND(SM$16&gt;=$F38,SM$16&lt;$F38+($G38*$I38)),"➤",""),"")</f>
        <v/>
      </c>
      <c r="SN38" s="76" t="str">
        <f aca="false">IF($I38&gt;0%,IF(AND(SN$16&gt;=$F38,SN$16&lt;$F38+($G38*$I38)),"➤",""),"")</f>
        <v/>
      </c>
      <c r="SO38" s="76" t="str">
        <f aca="false">IF($I38&gt;0%,IF(AND(SO$16&gt;=$F38,SO$16&lt;$F38+($G38*$I38)),"➤",""),"")</f>
        <v/>
      </c>
      <c r="SP38" s="76" t="str">
        <f aca="false">IF($I38&gt;0%,IF(AND(SP$16&gt;=$F38,SP$16&lt;$F38+($G38*$I38)),"➤",""),"")</f>
        <v/>
      </c>
      <c r="SQ38" s="76" t="str">
        <f aca="false">IF($I38&gt;0%,IF(AND(SQ$16&gt;=$F38,SQ$16&lt;$F38+($G38*$I38)),"➤",""),"")</f>
        <v/>
      </c>
      <c r="SR38" s="76" t="str">
        <f aca="false">IF($I38&gt;0%,IF(AND(SR$16&gt;=$F38,SR$16&lt;$F38+($G38*$I38)),"➤",""),"")</f>
        <v/>
      </c>
      <c r="SS38" s="76" t="str">
        <f aca="false">IF($I38&gt;0%,IF(AND(SS$16&gt;=$F38,SS$16&lt;$F38+($G38*$I38)),"➤",""),"")</f>
        <v/>
      </c>
      <c r="ST38" s="76" t="str">
        <f aca="false">IF($I38&gt;0%,IF(AND(ST$16&gt;=$F38,ST$16&lt;$F38+($G38*$I38)),"➤",""),"")</f>
        <v/>
      </c>
      <c r="SU38" s="76" t="str">
        <f aca="false">IF($I38&gt;0%,IF(AND(SU$16&gt;=$F38,SU$16&lt;$F38+($G38*$I38)),"➤",""),"")</f>
        <v/>
      </c>
      <c r="SV38" s="76" t="str">
        <f aca="false">IF($I38&gt;0%,IF(AND(SV$16&gt;=$F38,SV$16&lt;$F38+($G38*$I38)),"➤",""),"")</f>
        <v/>
      </c>
      <c r="SW38" s="77" t="str">
        <f aca="false">IF($I38&gt;0%,IF(AND(SW$16&gt;=$F38,SW$16&lt;$F38+($G38*$I38)),"➤",""),"")</f>
        <v/>
      </c>
    </row>
    <row r="39" customFormat="false" ht="14.25" hidden="false" customHeight="false" outlineLevel="1" collapsed="false">
      <c r="C39" s="10"/>
      <c r="D39" s="78"/>
      <c r="E39" s="79"/>
      <c r="F39" s="97" t="n">
        <v>44155</v>
      </c>
      <c r="G39" s="81" t="n">
        <v>4</v>
      </c>
      <c r="H39" s="96" t="n">
        <f aca="false">(F39+G39)-1</f>
        <v>44158</v>
      </c>
      <c r="I39" s="95" t="n">
        <v>0.9</v>
      </c>
      <c r="J39" s="84"/>
      <c r="K39" s="85"/>
      <c r="L39" s="75" t="str">
        <f aca="false">IF($I39&gt;0%,IF(AND(L$16&gt;=$F39,L$16&lt;$F39+($G39*$I39)),"➤",""),"")</f>
        <v/>
      </c>
      <c r="M39" s="76" t="str">
        <f aca="false">IF($I39&gt;0%,IF(AND(M$16&gt;=$F39,M$16&lt;$F39+($G39*$I39)),"➤",""),"")</f>
        <v/>
      </c>
      <c r="N39" s="76" t="str">
        <f aca="false">IF($I39&gt;0%,IF(AND(N$16&gt;=$F39,N$16&lt;$F39+($G39*$I39)),"➤",""),"")</f>
        <v/>
      </c>
      <c r="O39" s="76" t="str">
        <f aca="false">IF($I39&gt;0%,IF(AND(O$16&gt;=$F39,O$16&lt;$F39+($G39*$I39)),"➤",""),"")</f>
        <v/>
      </c>
      <c r="P39" s="76" t="str">
        <f aca="false">IF($I39&gt;0%,IF(AND(P$16&gt;=$F39,P$16&lt;$F39+($G39*$I39)),"➤",""),"")</f>
        <v/>
      </c>
      <c r="Q39" s="76" t="str">
        <f aca="false">IF($I39&gt;0%,IF(AND(Q$16&gt;=$F39,Q$16&lt;$F39+($G39*$I39)),"➤",""),"")</f>
        <v/>
      </c>
      <c r="R39" s="76" t="str">
        <f aca="false">IF($I39&gt;0%,IF(AND(R$16&gt;=$F39,R$16&lt;$F39+($G39*$I39)),"➤",""),"")</f>
        <v/>
      </c>
      <c r="S39" s="76" t="str">
        <f aca="false">IF($I39&gt;0%,IF(AND(S$16&gt;=$F39,S$16&lt;$F39+($G39*$I39)),"➤",""),"")</f>
        <v/>
      </c>
      <c r="T39" s="76" t="str">
        <f aca="false">IF($I39&gt;0%,IF(AND(T$16&gt;=$F39,T$16&lt;$F39+($G39*$I39)),"➤",""),"")</f>
        <v/>
      </c>
      <c r="U39" s="76" t="str">
        <f aca="false">IF($I39&gt;0%,IF(AND(U$16&gt;=$F39,U$16&lt;$F39+($G39*$I39)),"➤",""),"")</f>
        <v/>
      </c>
      <c r="V39" s="76" t="str">
        <f aca="false">IF($I39&gt;0%,IF(AND(V$16&gt;=$F39,V$16&lt;$F39+($G39*$I39)),"➤",""),"")</f>
        <v/>
      </c>
      <c r="W39" s="76" t="str">
        <f aca="false">IF($I39&gt;0%,IF(AND(W$16&gt;=$F39,W$16&lt;$F39+($G39*$I39)),"➤",""),"")</f>
        <v/>
      </c>
      <c r="X39" s="76" t="str">
        <f aca="false">IF($I39&gt;0%,IF(AND(X$16&gt;=$F39,X$16&lt;$F39+($G39*$I39)),"➤",""),"")</f>
        <v/>
      </c>
      <c r="Y39" s="76" t="str">
        <f aca="false">IF($I39&gt;0%,IF(AND(Y$16&gt;=$F39,Y$16&lt;$F39+($G39*$I39)),"➤",""),"")</f>
        <v/>
      </c>
      <c r="Z39" s="76" t="str">
        <f aca="false">IF($I39&gt;0%,IF(AND(Z$16&gt;=$F39,Z$16&lt;$F39+($G39*$I39)),"➤",""),"")</f>
        <v/>
      </c>
      <c r="AA39" s="76" t="str">
        <f aca="false">IF($I39&gt;0%,IF(AND(AA$16&gt;=$F39,AA$16&lt;$F39+($G39*$I39)),"➤",""),"")</f>
        <v/>
      </c>
      <c r="AB39" s="76" t="str">
        <f aca="false">IF($I39&gt;0%,IF(AND(AB$16&gt;=$F39,AB$16&lt;$F39+($G39*$I39)),"➤",""),"")</f>
        <v/>
      </c>
      <c r="AC39" s="76" t="str">
        <f aca="false">IF($I39&gt;0%,IF(AND(AC$16&gt;=$F39,AC$16&lt;$F39+($G39*$I39)),"➤",""),"")</f>
        <v/>
      </c>
      <c r="AD39" s="76" t="str">
        <f aca="false">IF($I39&gt;0%,IF(AND(AD$16&gt;=$F39,AD$16&lt;$F39+($G39*$I39)),"➤",""),"")</f>
        <v/>
      </c>
      <c r="AE39" s="76" t="str">
        <f aca="false">IF($I39&gt;0%,IF(AND(AE$16&gt;=$F39,AE$16&lt;$F39+($G39*$I39)),"➤",""),"")</f>
        <v/>
      </c>
      <c r="AF39" s="76" t="str">
        <f aca="false">IF($I39&gt;0%,IF(AND(AF$16&gt;=$F39,AF$16&lt;$F39+($G39*$I39)),"➤",""),"")</f>
        <v/>
      </c>
      <c r="AG39" s="76" t="str">
        <f aca="false">IF($I39&gt;0%,IF(AND(AG$16&gt;=$F39,AG$16&lt;$F39+($G39*$I39)),"➤",""),"")</f>
        <v/>
      </c>
      <c r="AH39" s="76" t="str">
        <f aca="false">IF($I39&gt;0%,IF(AND(AH$16&gt;=$F39,AH$16&lt;$F39+($G39*$I39)),"➤",""),"")</f>
        <v/>
      </c>
      <c r="AI39" s="76" t="str">
        <f aca="false">IF($I39&gt;0%,IF(AND(AI$16&gt;=$F39,AI$16&lt;$F39+($G39*$I39)),"➤",""),"")</f>
        <v/>
      </c>
      <c r="AJ39" s="76" t="str">
        <f aca="false">IF($I39&gt;0%,IF(AND(AJ$16&gt;=$F39,AJ$16&lt;$F39+($G39*$I39)),"➤",""),"")</f>
        <v/>
      </c>
      <c r="AK39" s="76" t="str">
        <f aca="false">IF($I39&gt;0%,IF(AND(AK$16&gt;=$F39,AK$16&lt;$F39+($G39*$I39)),"➤",""),"")</f>
        <v/>
      </c>
      <c r="AL39" s="76" t="str">
        <f aca="false">IF($I39&gt;0%,IF(AND(AL$16&gt;=$F39,AL$16&lt;$F39+($G39*$I39)),"➤",""),"")</f>
        <v/>
      </c>
      <c r="AM39" s="76" t="str">
        <f aca="false">IF($I39&gt;0%,IF(AND(AM$16&gt;=$F39,AM$16&lt;$F39+($G39*$I39)),"➤",""),"")</f>
        <v/>
      </c>
      <c r="AN39" s="76" t="str">
        <f aca="false">IF($I39&gt;0%,IF(AND(AN$16&gt;=$F39,AN$16&lt;$F39+($G39*$I39)),"➤",""),"")</f>
        <v/>
      </c>
      <c r="AO39" s="76" t="str">
        <f aca="false">IF($I39&gt;0%,IF(AND(AO$16&gt;=$F39,AO$16&lt;$F39+($G39*$I39)),"➤",""),"")</f>
        <v/>
      </c>
      <c r="AP39" s="76" t="str">
        <f aca="false">IF($I39&gt;0%,IF(AND(AP$16&gt;=$F39,AP$16&lt;$F39+($G39*$I39)),"➤",""),"")</f>
        <v/>
      </c>
      <c r="AQ39" s="76" t="str">
        <f aca="false">IF($I39&gt;0%,IF(AND(AQ$16&gt;=$F39,AQ$16&lt;$F39+($G39*$I39)),"➤",""),"")</f>
        <v/>
      </c>
      <c r="AR39" s="76" t="str">
        <f aca="false">IF($I39&gt;0%,IF(AND(AR$16&gt;=$F39,AR$16&lt;$F39+($G39*$I39)),"➤",""),"")</f>
        <v/>
      </c>
      <c r="AS39" s="76" t="str">
        <f aca="false">IF($I39&gt;0%,IF(AND(AS$16&gt;=$F39,AS$16&lt;$F39+($G39*$I39)),"➤",""),"")</f>
        <v/>
      </c>
      <c r="AT39" s="76" t="str">
        <f aca="false">IF($I39&gt;0%,IF(AND(AT$16&gt;=$F39,AT$16&lt;$F39+($G39*$I39)),"➤",""),"")</f>
        <v/>
      </c>
      <c r="AU39" s="76" t="str">
        <f aca="false">IF($I39&gt;0%,IF(AND(AU$16&gt;=$F39,AU$16&lt;$F39+($G39*$I39)),"➤",""),"")</f>
        <v/>
      </c>
      <c r="AV39" s="76" t="str">
        <f aca="false">IF($I39&gt;0%,IF(AND(AV$16&gt;=$F39,AV$16&lt;$F39+($G39*$I39)),"➤",""),"")</f>
        <v/>
      </c>
      <c r="AW39" s="76" t="str">
        <f aca="false">IF($I39&gt;0%,IF(AND(AW$16&gt;=$F39,AW$16&lt;$F39+($G39*$I39)),"➤",""),"")</f>
        <v/>
      </c>
      <c r="AX39" s="76" t="str">
        <f aca="false">IF($I39&gt;0%,IF(AND(AX$16&gt;=$F39,AX$16&lt;$F39+($G39*$I39)),"➤",""),"")</f>
        <v/>
      </c>
      <c r="AY39" s="76" t="str">
        <f aca="false">IF($I39&gt;0%,IF(AND(AY$16&gt;=$F39,AY$16&lt;$F39+($G39*$I39)),"➤",""),"")</f>
        <v/>
      </c>
      <c r="AZ39" s="76" t="str">
        <f aca="false">IF($I39&gt;0%,IF(AND(AZ$16&gt;=$F39,AZ$16&lt;$F39+($G39*$I39)),"➤",""),"")</f>
        <v/>
      </c>
      <c r="BA39" s="76" t="str">
        <f aca="false">IF($I39&gt;0%,IF(AND(BA$16&gt;=$F39,BA$16&lt;$F39+($G39*$I39)),"➤",""),"")</f>
        <v/>
      </c>
      <c r="BB39" s="76" t="str">
        <f aca="false">IF($I39&gt;0%,IF(AND(BB$16&gt;=$F39,BB$16&lt;$F39+($G39*$I39)),"➤",""),"")</f>
        <v/>
      </c>
      <c r="BC39" s="76" t="str">
        <f aca="false">IF($I39&gt;0%,IF(AND(BC$16&gt;=$F39,BC$16&lt;$F39+($G39*$I39)),"➤",""),"")</f>
        <v/>
      </c>
      <c r="BD39" s="76" t="str">
        <f aca="false">IF($I39&gt;0%,IF(AND(BD$16&gt;=$F39,BD$16&lt;$F39+($G39*$I39)),"➤",""),"")</f>
        <v/>
      </c>
      <c r="BE39" s="76" t="str">
        <f aca="false">IF($I39&gt;0%,IF(AND(BE$16&gt;=$F39,BE$16&lt;$F39+($G39*$I39)),"➤",""),"")</f>
        <v/>
      </c>
      <c r="BF39" s="76" t="str">
        <f aca="false">IF($I39&gt;0%,IF(AND(BF$16&gt;=$F39,BF$16&lt;$F39+($G39*$I39)),"➤",""),"")</f>
        <v/>
      </c>
      <c r="BG39" s="76" t="str">
        <f aca="false">IF($I39&gt;0%,IF(AND(BG$16&gt;=$F39,BG$16&lt;$F39+($G39*$I39)),"➤",""),"")</f>
        <v/>
      </c>
      <c r="BH39" s="76" t="str">
        <f aca="false">IF($I39&gt;0%,IF(AND(BH$16&gt;=$F39,BH$16&lt;$F39+($G39*$I39)),"➤",""),"")</f>
        <v/>
      </c>
      <c r="BI39" s="76" t="str">
        <f aca="false">IF($I39&gt;0%,IF(AND(BI$16&gt;=$F39,BI$16&lt;$F39+($G39*$I39)),"➤",""),"")</f>
        <v/>
      </c>
      <c r="BJ39" s="76" t="str">
        <f aca="false">IF($I39&gt;0%,IF(AND(BJ$16&gt;=$F39,BJ$16&lt;$F39+($G39*$I39)),"➤",""),"")</f>
        <v/>
      </c>
      <c r="BK39" s="76" t="str">
        <f aca="false">IF($I39&gt;0%,IF(AND(BK$16&gt;=$F39,BK$16&lt;$F39+($G39*$I39)),"➤",""),"")</f>
        <v/>
      </c>
      <c r="BL39" s="76" t="str">
        <f aca="false">IF($I39&gt;0%,IF(AND(BL$16&gt;=$F39,BL$16&lt;$F39+($G39*$I39)),"➤",""),"")</f>
        <v/>
      </c>
      <c r="BM39" s="76" t="str">
        <f aca="false">IF($I39&gt;0%,IF(AND(BM$16&gt;=$F39,BM$16&lt;$F39+($G39*$I39)),"➤",""),"")</f>
        <v/>
      </c>
      <c r="BN39" s="76" t="str">
        <f aca="false">IF($I39&gt;0%,IF(AND(BN$16&gt;=$F39,BN$16&lt;$F39+($G39*$I39)),"➤",""),"")</f>
        <v/>
      </c>
      <c r="BO39" s="76" t="str">
        <f aca="false">IF($I39&gt;0%,IF(AND(BO$16&gt;=$F39,BO$16&lt;$F39+($G39*$I39)),"➤",""),"")</f>
        <v/>
      </c>
      <c r="BP39" s="76" t="str">
        <f aca="false">IF($I39&gt;0%,IF(AND(BP$16&gt;=$F39,BP$16&lt;$F39+($G39*$I39)),"➤",""),"")</f>
        <v/>
      </c>
      <c r="BQ39" s="76" t="str">
        <f aca="false">IF($I39&gt;0%,IF(AND(BQ$16&gt;=$F39,BQ$16&lt;$F39+($G39*$I39)),"➤",""),"")</f>
        <v/>
      </c>
      <c r="BR39" s="76" t="str">
        <f aca="false">IF($I39&gt;0%,IF(AND(BR$16&gt;=$F39,BR$16&lt;$F39+($G39*$I39)),"➤",""),"")</f>
        <v/>
      </c>
      <c r="BS39" s="76" t="str">
        <f aca="false">IF($I39&gt;0%,IF(AND(BS$16&gt;=$F39,BS$16&lt;$F39+($G39*$I39)),"➤",""),"")</f>
        <v/>
      </c>
      <c r="BT39" s="76" t="str">
        <f aca="false">IF($I39&gt;0%,IF(AND(BT$16&gt;=$F39,BT$16&lt;$F39+($G39*$I39)),"➤",""),"")</f>
        <v/>
      </c>
      <c r="BU39" s="76" t="str">
        <f aca="false">IF($I39&gt;0%,IF(AND(BU$16&gt;=$F39,BU$16&lt;$F39+($G39*$I39)),"➤",""),"")</f>
        <v/>
      </c>
      <c r="BV39" s="76" t="str">
        <f aca="false">IF($I39&gt;0%,IF(AND(BV$16&gt;=$F39,BV$16&lt;$F39+($G39*$I39)),"➤",""),"")</f>
        <v/>
      </c>
      <c r="BW39" s="76" t="str">
        <f aca="false">IF($I39&gt;0%,IF(AND(BW$16&gt;=$F39,BW$16&lt;$F39+($G39*$I39)),"➤",""),"")</f>
        <v/>
      </c>
      <c r="BX39" s="76" t="str">
        <f aca="false">IF($I39&gt;0%,IF(AND(BX$16&gt;=$F39,BX$16&lt;$F39+($G39*$I39)),"➤",""),"")</f>
        <v/>
      </c>
      <c r="BY39" s="76" t="str">
        <f aca="false">IF($I39&gt;0%,IF(AND(BY$16&gt;=$F39,BY$16&lt;$F39+($G39*$I39)),"➤",""),"")</f>
        <v/>
      </c>
      <c r="BZ39" s="76" t="str">
        <f aca="false">IF($I39&gt;0%,IF(AND(BZ$16&gt;=$F39,BZ$16&lt;$F39+($G39*$I39)),"➤",""),"")</f>
        <v/>
      </c>
      <c r="CA39" s="76" t="str">
        <f aca="false">IF($I39&gt;0%,IF(AND(CA$16&gt;=$F39,CA$16&lt;$F39+($G39*$I39)),"➤",""),"")</f>
        <v/>
      </c>
      <c r="CB39" s="76" t="str">
        <f aca="false">IF($I39&gt;0%,IF(AND(CB$16&gt;=$F39,CB$16&lt;$F39+($G39*$I39)),"➤",""),"")</f>
        <v/>
      </c>
      <c r="CC39" s="76" t="str">
        <f aca="false">IF($I39&gt;0%,IF(AND(CC$16&gt;=$F39,CC$16&lt;$F39+($G39*$I39)),"➤",""),"")</f>
        <v/>
      </c>
      <c r="CD39" s="76" t="str">
        <f aca="false">IF($I39&gt;0%,IF(AND(CD$16&gt;=$F39,CD$16&lt;$F39+($G39*$I39)),"➤",""),"")</f>
        <v/>
      </c>
      <c r="CE39" s="76" t="str">
        <f aca="false">IF($I39&gt;0%,IF(AND(CE$16&gt;=$F39,CE$16&lt;$F39+($G39*$I39)),"➤",""),"")</f>
        <v/>
      </c>
      <c r="CF39" s="76" t="str">
        <f aca="false">IF($I39&gt;0%,IF(AND(CF$16&gt;=$F39,CF$16&lt;$F39+($G39*$I39)),"➤",""),"")</f>
        <v/>
      </c>
      <c r="CG39" s="76" t="str">
        <f aca="false">IF($I39&gt;0%,IF(AND(CG$16&gt;=$F39,CG$16&lt;$F39+($G39*$I39)),"➤",""),"")</f>
        <v/>
      </c>
      <c r="CH39" s="76" t="str">
        <f aca="false">IF($I39&gt;0%,IF(AND(CH$16&gt;=$F39,CH$16&lt;$F39+($G39*$I39)),"➤",""),"")</f>
        <v/>
      </c>
      <c r="CI39" s="76" t="str">
        <f aca="false">IF($I39&gt;0%,IF(AND(CI$16&gt;=$F39,CI$16&lt;$F39+($G39*$I39)),"➤",""),"")</f>
        <v/>
      </c>
      <c r="CJ39" s="76" t="str">
        <f aca="false">IF($I39&gt;0%,IF(AND(CJ$16&gt;=$F39,CJ$16&lt;$F39+($G39*$I39)),"➤",""),"")</f>
        <v/>
      </c>
      <c r="CK39" s="76" t="str">
        <f aca="false">IF($I39&gt;0%,IF(AND(CK$16&gt;=$F39,CK$16&lt;$F39+($G39*$I39)),"➤",""),"")</f>
        <v/>
      </c>
      <c r="CL39" s="76" t="str">
        <f aca="false">IF($I39&gt;0%,IF(AND(CL$16&gt;=$F39,CL$16&lt;$F39+($G39*$I39)),"➤",""),"")</f>
        <v/>
      </c>
      <c r="CM39" s="76" t="str">
        <f aca="false">IF($I39&gt;0%,IF(AND(CM$16&gt;=$F39,CM$16&lt;$F39+($G39*$I39)),"➤",""),"")</f>
        <v/>
      </c>
      <c r="CN39" s="76" t="str">
        <f aca="false">IF($I39&gt;0%,IF(AND(CN$16&gt;=$F39,CN$16&lt;$F39+($G39*$I39)),"➤",""),"")</f>
        <v/>
      </c>
      <c r="CO39" s="76" t="str">
        <f aca="false">IF($I39&gt;0%,IF(AND(CO$16&gt;=$F39,CO$16&lt;$F39+($G39*$I39)),"➤",""),"")</f>
        <v/>
      </c>
      <c r="CP39" s="76" t="str">
        <f aca="false">IF($I39&gt;0%,IF(AND(CP$16&gt;=$F39,CP$16&lt;$F39+($G39*$I39)),"➤",""),"")</f>
        <v/>
      </c>
      <c r="CQ39" s="76" t="str">
        <f aca="false">IF($I39&gt;0%,IF(AND(CQ$16&gt;=$F39,CQ$16&lt;$F39+($G39*$I39)),"➤",""),"")</f>
        <v/>
      </c>
      <c r="CR39" s="76" t="str">
        <f aca="false">IF($I39&gt;0%,IF(AND(CR$16&gt;=$F39,CR$16&lt;$F39+($G39*$I39)),"➤",""),"")</f>
        <v/>
      </c>
      <c r="CS39" s="76" t="str">
        <f aca="false">IF($I39&gt;0%,IF(AND(CS$16&gt;=$F39,CS$16&lt;$F39+($G39*$I39)),"➤",""),"")</f>
        <v/>
      </c>
      <c r="CT39" s="76" t="str">
        <f aca="false">IF($I39&gt;0%,IF(AND(CT$16&gt;=$F39,CT$16&lt;$F39+($G39*$I39)),"➤",""),"")</f>
        <v/>
      </c>
      <c r="CU39" s="76" t="str">
        <f aca="false">IF($I39&gt;0%,IF(AND(CU$16&gt;=$F39,CU$16&lt;$F39+($G39*$I39)),"➤",""),"")</f>
        <v/>
      </c>
      <c r="CV39" s="76" t="str">
        <f aca="false">IF($I39&gt;0%,IF(AND(CV$16&gt;=$F39,CV$16&lt;$F39+($G39*$I39)),"➤",""),"")</f>
        <v/>
      </c>
      <c r="CW39" s="76" t="str">
        <f aca="false">IF($I39&gt;0%,IF(AND(CW$16&gt;=$F39,CW$16&lt;$F39+($G39*$I39)),"➤",""),"")</f>
        <v/>
      </c>
      <c r="CX39" s="76" t="str">
        <f aca="false">IF($I39&gt;0%,IF(AND(CX$16&gt;=$F39,CX$16&lt;$F39+($G39*$I39)),"➤",""),"")</f>
        <v/>
      </c>
      <c r="CY39" s="76" t="str">
        <f aca="false">IF($I39&gt;0%,IF(AND(CY$16&gt;=$F39,CY$16&lt;$F39+($G39*$I39)),"➤",""),"")</f>
        <v/>
      </c>
      <c r="CZ39" s="76" t="str">
        <f aca="false">IF($I39&gt;0%,IF(AND(CZ$16&gt;=$F39,CZ$16&lt;$F39+($G39*$I39)),"➤",""),"")</f>
        <v/>
      </c>
      <c r="DA39" s="76" t="str">
        <f aca="false">IF($I39&gt;0%,IF(AND(DA$16&gt;=$F39,DA$16&lt;$F39+($G39*$I39)),"➤",""),"")</f>
        <v/>
      </c>
      <c r="DB39" s="76" t="str">
        <f aca="false">IF($I39&gt;0%,IF(AND(DB$16&gt;=$F39,DB$16&lt;$F39+($G39*$I39)),"➤",""),"")</f>
        <v/>
      </c>
      <c r="DC39" s="76" t="str">
        <f aca="false">IF($I39&gt;0%,IF(AND(DC$16&gt;=$F39,DC$16&lt;$F39+($G39*$I39)),"➤",""),"")</f>
        <v/>
      </c>
      <c r="DD39" s="76" t="str">
        <f aca="false">IF($I39&gt;0%,IF(AND(DD$16&gt;=$F39,DD$16&lt;$F39+($G39*$I39)),"➤",""),"")</f>
        <v/>
      </c>
      <c r="DE39" s="76" t="str">
        <f aca="false">IF($I39&gt;0%,IF(AND(DE$16&gt;=$F39,DE$16&lt;$F39+($G39*$I39)),"➤",""),"")</f>
        <v/>
      </c>
      <c r="DF39" s="76" t="str">
        <f aca="false">IF($I39&gt;0%,IF(AND(DF$16&gt;=$F39,DF$16&lt;$F39+($G39*$I39)),"➤",""),"")</f>
        <v/>
      </c>
      <c r="DG39" s="76" t="str">
        <f aca="false">IF($I39&gt;0%,IF(AND(DG$16&gt;=$F39,DG$16&lt;$F39+($G39*$I39)),"➤",""),"")</f>
        <v/>
      </c>
      <c r="DH39" s="76" t="str">
        <f aca="false">IF($I39&gt;0%,IF(AND(DH$16&gt;=$F39,DH$16&lt;$F39+($G39*$I39)),"➤",""),"")</f>
        <v/>
      </c>
      <c r="DI39" s="76" t="str">
        <f aca="false">IF($I39&gt;0%,IF(AND(DI$16&gt;=$F39,DI$16&lt;$F39+($G39*$I39)),"➤",""),"")</f>
        <v/>
      </c>
      <c r="DJ39" s="76" t="str">
        <f aca="false">IF($I39&gt;0%,IF(AND(DJ$16&gt;=$F39,DJ$16&lt;$F39+($G39*$I39)),"➤",""),"")</f>
        <v/>
      </c>
      <c r="DK39" s="76" t="str">
        <f aca="false">IF($I39&gt;0%,IF(AND(DK$16&gt;=$F39,DK$16&lt;$F39+($G39*$I39)),"➤",""),"")</f>
        <v/>
      </c>
      <c r="DL39" s="76" t="str">
        <f aca="false">IF($I39&gt;0%,IF(AND(DL$16&gt;=$F39,DL$16&lt;$F39+($G39*$I39)),"➤",""),"")</f>
        <v/>
      </c>
      <c r="DM39" s="76" t="str">
        <f aca="false">IF($I39&gt;0%,IF(AND(DM$16&gt;=$F39,DM$16&lt;$F39+($G39*$I39)),"➤",""),"")</f>
        <v/>
      </c>
      <c r="DN39" s="76" t="str">
        <f aca="false">IF($I39&gt;0%,IF(AND(DN$16&gt;=$F39,DN$16&lt;$F39+($G39*$I39)),"➤",""),"")</f>
        <v/>
      </c>
      <c r="DO39" s="76" t="str">
        <f aca="false">IF($I39&gt;0%,IF(AND(DO$16&gt;=$F39,DO$16&lt;$F39+($G39*$I39)),"➤",""),"")</f>
        <v/>
      </c>
      <c r="DP39" s="76" t="str">
        <f aca="false">IF($I39&gt;0%,IF(AND(DP$16&gt;=$F39,DP$16&lt;$F39+($G39*$I39)),"➤",""),"")</f>
        <v/>
      </c>
      <c r="DQ39" s="76" t="str">
        <f aca="false">IF($I39&gt;0%,IF(AND(DQ$16&gt;=$F39,DQ$16&lt;$F39+($G39*$I39)),"➤",""),"")</f>
        <v/>
      </c>
      <c r="DR39" s="76" t="str">
        <f aca="false">IF($I39&gt;0%,IF(AND(DR$16&gt;=$F39,DR$16&lt;$F39+($G39*$I39)),"➤",""),"")</f>
        <v/>
      </c>
      <c r="DS39" s="76" t="str">
        <f aca="false">IF($I39&gt;0%,IF(AND(DS$16&gt;=$F39,DS$16&lt;$F39+($G39*$I39)),"➤",""),"")</f>
        <v/>
      </c>
      <c r="DT39" s="76" t="str">
        <f aca="false">IF($I39&gt;0%,IF(AND(DT$16&gt;=$F39,DT$16&lt;$F39+($G39*$I39)),"➤",""),"")</f>
        <v/>
      </c>
      <c r="DU39" s="76" t="str">
        <f aca="false">IF($I39&gt;0%,IF(AND(DU$16&gt;=$F39,DU$16&lt;$F39+($G39*$I39)),"➤",""),"")</f>
        <v/>
      </c>
      <c r="DV39" s="76" t="str">
        <f aca="false">IF($I39&gt;0%,IF(AND(DV$16&gt;=$F39,DV$16&lt;$F39+($G39*$I39)),"➤",""),"")</f>
        <v/>
      </c>
      <c r="DW39" s="76" t="str">
        <f aca="false">IF($I39&gt;0%,IF(AND(DW$16&gt;=$F39,DW$16&lt;$F39+($G39*$I39)),"➤",""),"")</f>
        <v/>
      </c>
      <c r="DX39" s="76" t="str">
        <f aca="false">IF($I39&gt;0%,IF(AND(DX$16&gt;=$F39,DX$16&lt;$F39+($G39*$I39)),"➤",""),"")</f>
        <v/>
      </c>
      <c r="DY39" s="76" t="str">
        <f aca="false">IF($I39&gt;0%,IF(AND(DY$16&gt;=$F39,DY$16&lt;$F39+($G39*$I39)),"➤",""),"")</f>
        <v/>
      </c>
      <c r="DZ39" s="76" t="str">
        <f aca="false">IF($I39&gt;0%,IF(AND(DZ$16&gt;=$F39,DZ$16&lt;$F39+($G39*$I39)),"➤",""),"")</f>
        <v/>
      </c>
      <c r="EA39" s="76" t="str">
        <f aca="false">IF($I39&gt;0%,IF(AND(EA$16&gt;=$F39,EA$16&lt;$F39+($G39*$I39)),"➤",""),"")</f>
        <v/>
      </c>
      <c r="EB39" s="76" t="str">
        <f aca="false">IF($I39&gt;0%,IF(AND(EB$16&gt;=$F39,EB$16&lt;$F39+($G39*$I39)),"➤",""),"")</f>
        <v/>
      </c>
      <c r="EC39" s="76" t="str">
        <f aca="false">IF($I39&gt;0%,IF(AND(EC$16&gt;=$F39,EC$16&lt;$F39+($G39*$I39)),"➤",""),"")</f>
        <v/>
      </c>
      <c r="ED39" s="76" t="str">
        <f aca="false">IF($I39&gt;0%,IF(AND(ED$16&gt;=$F39,ED$16&lt;$F39+($G39*$I39)),"➤",""),"")</f>
        <v/>
      </c>
      <c r="EE39" s="76" t="str">
        <f aca="false">IF($I39&gt;0%,IF(AND(EE$16&gt;=$F39,EE$16&lt;$F39+($G39*$I39)),"➤",""),"")</f>
        <v/>
      </c>
      <c r="EF39" s="76" t="str">
        <f aca="false">IF($I39&gt;0%,IF(AND(EF$16&gt;=$F39,EF$16&lt;$F39+($G39*$I39)),"➤",""),"")</f>
        <v/>
      </c>
      <c r="EG39" s="76" t="str">
        <f aca="false">IF($I39&gt;0%,IF(AND(EG$16&gt;=$F39,EG$16&lt;$F39+($G39*$I39)),"➤",""),"")</f>
        <v/>
      </c>
      <c r="EH39" s="76" t="str">
        <f aca="false">IF($I39&gt;0%,IF(AND(EH$16&gt;=$F39,EH$16&lt;$F39+($G39*$I39)),"➤",""),"")</f>
        <v/>
      </c>
      <c r="EI39" s="76" t="str">
        <f aca="false">IF($I39&gt;0%,IF(AND(EI$16&gt;=$F39,EI$16&lt;$F39+($G39*$I39)),"➤",""),"")</f>
        <v/>
      </c>
      <c r="EJ39" s="76" t="str">
        <f aca="false">IF($I39&gt;0%,IF(AND(EJ$16&gt;=$F39,EJ$16&lt;$F39+($G39*$I39)),"➤",""),"")</f>
        <v/>
      </c>
      <c r="EK39" s="76" t="str">
        <f aca="false">IF($I39&gt;0%,IF(AND(EK$16&gt;=$F39,EK$16&lt;$F39+($G39*$I39)),"➤",""),"")</f>
        <v/>
      </c>
      <c r="EL39" s="76" t="str">
        <f aca="false">IF($I39&gt;0%,IF(AND(EL$16&gt;=$F39,EL$16&lt;$F39+($G39*$I39)),"➤",""),"")</f>
        <v/>
      </c>
      <c r="EM39" s="76" t="str">
        <f aca="false">IF($I39&gt;0%,IF(AND(EM$16&gt;=$F39,EM$16&lt;$F39+($G39*$I39)),"➤",""),"")</f>
        <v/>
      </c>
      <c r="EN39" s="76" t="str">
        <f aca="false">IF($I39&gt;0%,IF(AND(EN$16&gt;=$F39,EN$16&lt;$F39+($G39*$I39)),"➤",""),"")</f>
        <v/>
      </c>
      <c r="EO39" s="76" t="str">
        <f aca="false">IF($I39&gt;0%,IF(AND(EO$16&gt;=$F39,EO$16&lt;$F39+($G39*$I39)),"➤",""),"")</f>
        <v/>
      </c>
      <c r="EP39" s="76" t="str">
        <f aca="false">IF($I39&gt;0%,IF(AND(EP$16&gt;=$F39,EP$16&lt;$F39+($G39*$I39)),"➤",""),"")</f>
        <v/>
      </c>
      <c r="EQ39" s="76" t="str">
        <f aca="false">IF($I39&gt;0%,IF(AND(EQ$16&gt;=$F39,EQ$16&lt;$F39+($G39*$I39)),"➤",""),"")</f>
        <v/>
      </c>
      <c r="ER39" s="76" t="str">
        <f aca="false">IF($I39&gt;0%,IF(AND(ER$16&gt;=$F39,ER$16&lt;$F39+($G39*$I39)),"➤",""),"")</f>
        <v/>
      </c>
      <c r="ES39" s="76" t="str">
        <f aca="false">IF($I39&gt;0%,IF(AND(ES$16&gt;=$F39,ES$16&lt;$F39+($G39*$I39)),"➤",""),"")</f>
        <v/>
      </c>
      <c r="ET39" s="76" t="str">
        <f aca="false">IF($I39&gt;0%,IF(AND(ET$16&gt;=$F39,ET$16&lt;$F39+($G39*$I39)),"➤",""),"")</f>
        <v/>
      </c>
      <c r="EU39" s="76" t="str">
        <f aca="false">IF($I39&gt;0%,IF(AND(EU$16&gt;=$F39,EU$16&lt;$F39+($G39*$I39)),"➤",""),"")</f>
        <v/>
      </c>
      <c r="EV39" s="76" t="str">
        <f aca="false">IF($I39&gt;0%,IF(AND(EV$16&gt;=$F39,EV$16&lt;$F39+($G39*$I39)),"➤",""),"")</f>
        <v/>
      </c>
      <c r="EW39" s="76" t="str">
        <f aca="false">IF($I39&gt;0%,IF(AND(EW$16&gt;=$F39,EW$16&lt;$F39+($G39*$I39)),"➤",""),"")</f>
        <v/>
      </c>
      <c r="EX39" s="76" t="str">
        <f aca="false">IF($I39&gt;0%,IF(AND(EX$16&gt;=$F39,EX$16&lt;$F39+($G39*$I39)),"➤",""),"")</f>
        <v/>
      </c>
      <c r="EY39" s="76" t="str">
        <f aca="false">IF($I39&gt;0%,IF(AND(EY$16&gt;=$F39,EY$16&lt;$F39+($G39*$I39)),"➤",""),"")</f>
        <v/>
      </c>
      <c r="EZ39" s="76" t="str">
        <f aca="false">IF($I39&gt;0%,IF(AND(EZ$16&gt;=$F39,EZ$16&lt;$F39+($G39*$I39)),"➤",""),"")</f>
        <v/>
      </c>
      <c r="FA39" s="76" t="str">
        <f aca="false">IF($I39&gt;0%,IF(AND(FA$16&gt;=$F39,FA$16&lt;$F39+($G39*$I39)),"➤",""),"")</f>
        <v/>
      </c>
      <c r="FB39" s="76" t="str">
        <f aca="false">IF($I39&gt;0%,IF(AND(FB$16&gt;=$F39,FB$16&lt;$F39+($G39*$I39)),"➤",""),"")</f>
        <v/>
      </c>
      <c r="FC39" s="76" t="str">
        <f aca="false">IF($I39&gt;0%,IF(AND(FC$16&gt;=$F39,FC$16&lt;$F39+($G39*$I39)),"➤",""),"")</f>
        <v/>
      </c>
      <c r="FD39" s="76" t="str">
        <f aca="false">IF($I39&gt;0%,IF(AND(FD$16&gt;=$F39,FD$16&lt;$F39+($G39*$I39)),"➤",""),"")</f>
        <v/>
      </c>
      <c r="FE39" s="76" t="str">
        <f aca="false">IF($I39&gt;0%,IF(AND(FE$16&gt;=$F39,FE$16&lt;$F39+($G39*$I39)),"➤",""),"")</f>
        <v/>
      </c>
      <c r="FF39" s="76" t="str">
        <f aca="false">IF($I39&gt;0%,IF(AND(FF$16&gt;=$F39,FF$16&lt;$F39+($G39*$I39)),"➤",""),"")</f>
        <v/>
      </c>
      <c r="FG39" s="76" t="str">
        <f aca="false">IF($I39&gt;0%,IF(AND(FG$16&gt;=$F39,FG$16&lt;$F39+($G39*$I39)),"➤",""),"")</f>
        <v/>
      </c>
      <c r="FH39" s="76" t="str">
        <f aca="false">IF($I39&gt;0%,IF(AND(FH$16&gt;=$F39,FH$16&lt;$F39+($G39*$I39)),"➤",""),"")</f>
        <v/>
      </c>
      <c r="FI39" s="76" t="str">
        <f aca="false">IF($I39&gt;0%,IF(AND(FI$16&gt;=$F39,FI$16&lt;$F39+($G39*$I39)),"➤",""),"")</f>
        <v/>
      </c>
      <c r="FJ39" s="76" t="str">
        <f aca="false">IF($I39&gt;0%,IF(AND(FJ$16&gt;=$F39,FJ$16&lt;$F39+($G39*$I39)),"➤",""),"")</f>
        <v/>
      </c>
      <c r="FK39" s="76" t="str">
        <f aca="false">IF($I39&gt;0%,IF(AND(FK$16&gt;=$F39,FK$16&lt;$F39+($G39*$I39)),"➤",""),"")</f>
        <v/>
      </c>
      <c r="FL39" s="76" t="str">
        <f aca="false">IF($I39&gt;0%,IF(AND(FL$16&gt;=$F39,FL$16&lt;$F39+($G39*$I39)),"➤",""),"")</f>
        <v/>
      </c>
      <c r="FM39" s="76" t="str">
        <f aca="false">IF($I39&gt;0%,IF(AND(FM$16&gt;=$F39,FM$16&lt;$F39+($G39*$I39)),"➤",""),"")</f>
        <v/>
      </c>
      <c r="FN39" s="76" t="str">
        <f aca="false">IF($I39&gt;0%,IF(AND(FN$16&gt;=$F39,FN$16&lt;$F39+($G39*$I39)),"➤",""),"")</f>
        <v/>
      </c>
      <c r="FO39" s="76" t="str">
        <f aca="false">IF($I39&gt;0%,IF(AND(FO$16&gt;=$F39,FO$16&lt;$F39+($G39*$I39)),"➤",""),"")</f>
        <v/>
      </c>
      <c r="FP39" s="76" t="str">
        <f aca="false">IF($I39&gt;0%,IF(AND(FP$16&gt;=$F39,FP$16&lt;$F39+($G39*$I39)),"➤",""),"")</f>
        <v/>
      </c>
      <c r="FQ39" s="76" t="str">
        <f aca="false">IF($I39&gt;0%,IF(AND(FQ$16&gt;=$F39,FQ$16&lt;$F39+($G39*$I39)),"➤",""),"")</f>
        <v/>
      </c>
      <c r="FR39" s="76" t="str">
        <f aca="false">IF($I39&gt;0%,IF(AND(FR$16&gt;=$F39,FR$16&lt;$F39+($G39*$I39)),"➤",""),"")</f>
        <v/>
      </c>
      <c r="FS39" s="76" t="str">
        <f aca="false">IF($I39&gt;0%,IF(AND(FS$16&gt;=$F39,FS$16&lt;$F39+($G39*$I39)),"➤",""),"")</f>
        <v/>
      </c>
      <c r="FT39" s="76" t="str">
        <f aca="false">IF($I39&gt;0%,IF(AND(FT$16&gt;=$F39,FT$16&lt;$F39+($G39*$I39)),"➤",""),"")</f>
        <v/>
      </c>
      <c r="FU39" s="76" t="str">
        <f aca="false">IF($I39&gt;0%,IF(AND(FU$16&gt;=$F39,FU$16&lt;$F39+($G39*$I39)),"➤",""),"")</f>
        <v/>
      </c>
      <c r="FV39" s="76" t="str">
        <f aca="false">IF($I39&gt;0%,IF(AND(FV$16&gt;=$F39,FV$16&lt;$F39+($G39*$I39)),"➤",""),"")</f>
        <v/>
      </c>
      <c r="FW39" s="76" t="str">
        <f aca="false">IF($I39&gt;0%,IF(AND(FW$16&gt;=$F39,FW$16&lt;$F39+($G39*$I39)),"➤",""),"")</f>
        <v/>
      </c>
      <c r="FX39" s="76" t="str">
        <f aca="false">IF($I39&gt;0%,IF(AND(FX$16&gt;=$F39,FX$16&lt;$F39+($G39*$I39)),"➤",""),"")</f>
        <v/>
      </c>
      <c r="FY39" s="76" t="str">
        <f aca="false">IF($I39&gt;0%,IF(AND(FY$16&gt;=$F39,FY$16&lt;$F39+($G39*$I39)),"➤",""),"")</f>
        <v/>
      </c>
      <c r="FZ39" s="76" t="str">
        <f aca="false">IF($I39&gt;0%,IF(AND(FZ$16&gt;=$F39,FZ$16&lt;$F39+($G39*$I39)),"➤",""),"")</f>
        <v/>
      </c>
      <c r="GA39" s="76" t="str">
        <f aca="false">IF($I39&gt;0%,IF(AND(GA$16&gt;=$F39,GA$16&lt;$F39+($G39*$I39)),"➤",""),"")</f>
        <v/>
      </c>
      <c r="GB39" s="76" t="str">
        <f aca="false">IF($I39&gt;0%,IF(AND(GB$16&gt;=$F39,GB$16&lt;$F39+($G39*$I39)),"➤",""),"")</f>
        <v/>
      </c>
      <c r="GC39" s="76" t="str">
        <f aca="false">IF($I39&gt;0%,IF(AND(GC$16&gt;=$F39,GC$16&lt;$F39+($G39*$I39)),"➤",""),"")</f>
        <v/>
      </c>
      <c r="GD39" s="76" t="str">
        <f aca="false">IF($I39&gt;0%,IF(AND(GD$16&gt;=$F39,GD$16&lt;$F39+($G39*$I39)),"➤",""),"")</f>
        <v/>
      </c>
      <c r="GE39" s="76" t="str">
        <f aca="false">IF($I39&gt;0%,IF(AND(GE$16&gt;=$F39,GE$16&lt;$F39+($G39*$I39)),"➤",""),"")</f>
        <v/>
      </c>
      <c r="GF39" s="76" t="str">
        <f aca="false">IF($I39&gt;0%,IF(AND(GF$16&gt;=$F39,GF$16&lt;$F39+($G39*$I39)),"➤",""),"")</f>
        <v/>
      </c>
      <c r="GG39" s="76" t="str">
        <f aca="false">IF($I39&gt;0%,IF(AND(GG$16&gt;=$F39,GG$16&lt;$F39+($G39*$I39)),"➤",""),"")</f>
        <v/>
      </c>
      <c r="GH39" s="76" t="str">
        <f aca="false">IF($I39&gt;0%,IF(AND(GH$16&gt;=$F39,GH$16&lt;$F39+($G39*$I39)),"➤",""),"")</f>
        <v/>
      </c>
      <c r="GI39" s="76" t="str">
        <f aca="false">IF($I39&gt;0%,IF(AND(GI$16&gt;=$F39,GI$16&lt;$F39+($G39*$I39)),"➤",""),"")</f>
        <v/>
      </c>
      <c r="GJ39" s="76" t="str">
        <f aca="false">IF($I39&gt;0%,IF(AND(GJ$16&gt;=$F39,GJ$16&lt;$F39+($G39*$I39)),"➤",""),"")</f>
        <v/>
      </c>
      <c r="GK39" s="76" t="str">
        <f aca="false">IF($I39&gt;0%,IF(AND(GK$16&gt;=$F39,GK$16&lt;$F39+($G39*$I39)),"➤",""),"")</f>
        <v/>
      </c>
      <c r="GL39" s="76" t="str">
        <f aca="false">IF($I39&gt;0%,IF(AND(GL$16&gt;=$F39,GL$16&lt;$F39+($G39*$I39)),"➤",""),"")</f>
        <v/>
      </c>
      <c r="GM39" s="76" t="str">
        <f aca="false">IF($I39&gt;0%,IF(AND(GM$16&gt;=$F39,GM$16&lt;$F39+($G39*$I39)),"➤",""),"")</f>
        <v/>
      </c>
      <c r="GN39" s="76" t="str">
        <f aca="false">IF($I39&gt;0%,IF(AND(GN$16&gt;=$F39,GN$16&lt;$F39+($G39*$I39)),"➤",""),"")</f>
        <v/>
      </c>
      <c r="GO39" s="76" t="str">
        <f aca="false">IF($I39&gt;0%,IF(AND(GO$16&gt;=$F39,GO$16&lt;$F39+($G39*$I39)),"➤",""),"")</f>
        <v/>
      </c>
      <c r="GP39" s="76" t="str">
        <f aca="false">IF($I39&gt;0%,IF(AND(GP$16&gt;=$F39,GP$16&lt;$F39+($G39*$I39)),"➤",""),"")</f>
        <v/>
      </c>
      <c r="GQ39" s="76" t="str">
        <f aca="false">IF($I39&gt;0%,IF(AND(GQ$16&gt;=$F39,GQ$16&lt;$F39+($G39*$I39)),"➤",""),"")</f>
        <v/>
      </c>
      <c r="GR39" s="76" t="str">
        <f aca="false">IF($I39&gt;0%,IF(AND(GR$16&gt;=$F39,GR$16&lt;$F39+($G39*$I39)),"➤",""),"")</f>
        <v/>
      </c>
      <c r="GS39" s="76" t="str">
        <f aca="false">IF($I39&gt;0%,IF(AND(GS$16&gt;=$F39,GS$16&lt;$F39+($G39*$I39)),"➤",""),"")</f>
        <v/>
      </c>
      <c r="GT39" s="76" t="str">
        <f aca="false">IF($I39&gt;0%,IF(AND(GT$16&gt;=$F39,GT$16&lt;$F39+($G39*$I39)),"➤",""),"")</f>
        <v/>
      </c>
      <c r="GU39" s="76" t="str">
        <f aca="false">IF($I39&gt;0%,IF(AND(GU$16&gt;=$F39,GU$16&lt;$F39+($G39*$I39)),"➤",""),"")</f>
        <v/>
      </c>
      <c r="GV39" s="76" t="str">
        <f aca="false">IF($I39&gt;0%,IF(AND(GV$16&gt;=$F39,GV$16&lt;$F39+($G39*$I39)),"➤",""),"")</f>
        <v/>
      </c>
      <c r="GW39" s="76" t="str">
        <f aca="false">IF($I39&gt;0%,IF(AND(GW$16&gt;=$F39,GW$16&lt;$F39+($G39*$I39)),"➤",""),"")</f>
        <v/>
      </c>
      <c r="GX39" s="76" t="str">
        <f aca="false">IF($I39&gt;0%,IF(AND(GX$16&gt;=$F39,GX$16&lt;$F39+($G39*$I39)),"➤",""),"")</f>
        <v/>
      </c>
      <c r="GY39" s="76" t="str">
        <f aca="false">IF($I39&gt;0%,IF(AND(GY$16&gt;=$F39,GY$16&lt;$F39+($G39*$I39)),"➤",""),"")</f>
        <v/>
      </c>
      <c r="GZ39" s="76" t="str">
        <f aca="false">IF($I39&gt;0%,IF(AND(GZ$16&gt;=$F39,GZ$16&lt;$F39+($G39*$I39)),"➤",""),"")</f>
        <v/>
      </c>
      <c r="HA39" s="76" t="str">
        <f aca="false">IF($I39&gt;0%,IF(AND(HA$16&gt;=$F39,HA$16&lt;$F39+($G39*$I39)),"➤",""),"")</f>
        <v/>
      </c>
      <c r="HB39" s="76" t="str">
        <f aca="false">IF($I39&gt;0%,IF(AND(HB$16&gt;=$F39,HB$16&lt;$F39+($G39*$I39)),"➤",""),"")</f>
        <v/>
      </c>
      <c r="HC39" s="76" t="str">
        <f aca="false">IF($I39&gt;0%,IF(AND(HC$16&gt;=$F39,HC$16&lt;$F39+($G39*$I39)),"➤",""),"")</f>
        <v/>
      </c>
      <c r="HD39" s="76" t="str">
        <f aca="false">IF($I39&gt;0%,IF(AND(HD$16&gt;=$F39,HD$16&lt;$F39+($G39*$I39)),"➤",""),"")</f>
        <v/>
      </c>
      <c r="HE39" s="76" t="str">
        <f aca="false">IF($I39&gt;0%,IF(AND(HE$16&gt;=$F39,HE$16&lt;$F39+($G39*$I39)),"➤",""),"")</f>
        <v/>
      </c>
      <c r="HF39" s="76" t="str">
        <f aca="false">IF($I39&gt;0%,IF(AND(HF$16&gt;=$F39,HF$16&lt;$F39+($G39*$I39)),"➤",""),"")</f>
        <v/>
      </c>
      <c r="HG39" s="76" t="str">
        <f aca="false">IF($I39&gt;0%,IF(AND(HG$16&gt;=$F39,HG$16&lt;$F39+($G39*$I39)),"➤",""),"")</f>
        <v/>
      </c>
      <c r="HH39" s="76" t="str">
        <f aca="false">IF($I39&gt;0%,IF(AND(HH$16&gt;=$F39,HH$16&lt;$F39+($G39*$I39)),"➤",""),"")</f>
        <v/>
      </c>
      <c r="HI39" s="76" t="str">
        <f aca="false">IF($I39&gt;0%,IF(AND(HI$16&gt;=$F39,HI$16&lt;$F39+($G39*$I39)),"➤",""),"")</f>
        <v/>
      </c>
      <c r="HJ39" s="76" t="str">
        <f aca="false">IF($I39&gt;0%,IF(AND(HJ$16&gt;=$F39,HJ$16&lt;$F39+($G39*$I39)),"➤",""),"")</f>
        <v/>
      </c>
      <c r="HK39" s="76" t="str">
        <f aca="false">IF($I39&gt;0%,IF(AND(HK$16&gt;=$F39,HK$16&lt;$F39+($G39*$I39)),"➤",""),"")</f>
        <v/>
      </c>
      <c r="HL39" s="76" t="str">
        <f aca="false">IF($I39&gt;0%,IF(AND(HL$16&gt;=$F39,HL$16&lt;$F39+($G39*$I39)),"➤",""),"")</f>
        <v/>
      </c>
      <c r="HM39" s="76" t="str">
        <f aca="false">IF($I39&gt;0%,IF(AND(HM$16&gt;=$F39,HM$16&lt;$F39+($G39*$I39)),"➤",""),"")</f>
        <v/>
      </c>
      <c r="HN39" s="76" t="str">
        <f aca="false">IF($I39&gt;0%,IF(AND(HN$16&gt;=$F39,HN$16&lt;$F39+($G39*$I39)),"➤",""),"")</f>
        <v/>
      </c>
      <c r="HO39" s="76" t="str">
        <f aca="false">IF($I39&gt;0%,IF(AND(HO$16&gt;=$F39,HO$16&lt;$F39+($G39*$I39)),"➤",""),"")</f>
        <v/>
      </c>
      <c r="HP39" s="76" t="str">
        <f aca="false">IF($I39&gt;0%,IF(AND(HP$16&gt;=$F39,HP$16&lt;$F39+($G39*$I39)),"➤",""),"")</f>
        <v/>
      </c>
      <c r="HQ39" s="76" t="str">
        <f aca="false">IF($I39&gt;0%,IF(AND(HQ$16&gt;=$F39,HQ$16&lt;$F39+($G39*$I39)),"➤",""),"")</f>
        <v/>
      </c>
      <c r="HR39" s="76" t="str">
        <f aca="false">IF($I39&gt;0%,IF(AND(HR$16&gt;=$F39,HR$16&lt;$F39+($G39*$I39)),"➤",""),"")</f>
        <v/>
      </c>
      <c r="HS39" s="76" t="str">
        <f aca="false">IF($I39&gt;0%,IF(AND(HS$16&gt;=$F39,HS$16&lt;$F39+($G39*$I39)),"➤",""),"")</f>
        <v/>
      </c>
      <c r="HT39" s="76" t="str">
        <f aca="false">IF($I39&gt;0%,IF(AND(HT$16&gt;=$F39,HT$16&lt;$F39+($G39*$I39)),"➤",""),"")</f>
        <v/>
      </c>
      <c r="HU39" s="76" t="str">
        <f aca="false">IF($I39&gt;0%,IF(AND(HU$16&gt;=$F39,HU$16&lt;$F39+($G39*$I39)),"➤",""),"")</f>
        <v/>
      </c>
      <c r="HV39" s="76" t="str">
        <f aca="false">IF($I39&gt;0%,IF(AND(HV$16&gt;=$F39,HV$16&lt;$F39+($G39*$I39)),"➤",""),"")</f>
        <v/>
      </c>
      <c r="HW39" s="76" t="str">
        <f aca="false">IF($I39&gt;0%,IF(AND(HW$16&gt;=$F39,HW$16&lt;$F39+($G39*$I39)),"➤",""),"")</f>
        <v/>
      </c>
      <c r="HX39" s="76" t="str">
        <f aca="false">IF($I39&gt;0%,IF(AND(HX$16&gt;=$F39,HX$16&lt;$F39+($G39*$I39)),"➤",""),"")</f>
        <v/>
      </c>
      <c r="HY39" s="76" t="str">
        <f aca="false">IF($I39&gt;0%,IF(AND(HY$16&gt;=$F39,HY$16&lt;$F39+($G39*$I39)),"➤",""),"")</f>
        <v/>
      </c>
      <c r="HZ39" s="76" t="str">
        <f aca="false">IF($I39&gt;0%,IF(AND(HZ$16&gt;=$F39,HZ$16&lt;$F39+($G39*$I39)),"➤",""),"")</f>
        <v/>
      </c>
      <c r="IA39" s="76" t="str">
        <f aca="false">IF($I39&gt;0%,IF(AND(IA$16&gt;=$F39,IA$16&lt;$F39+($G39*$I39)),"➤",""),"")</f>
        <v/>
      </c>
      <c r="IB39" s="76" t="str">
        <f aca="false">IF($I39&gt;0%,IF(AND(IB$16&gt;=$F39,IB$16&lt;$F39+($G39*$I39)),"➤",""),"")</f>
        <v/>
      </c>
      <c r="IC39" s="76" t="str">
        <f aca="false">IF($I39&gt;0%,IF(AND(IC$16&gt;=$F39,IC$16&lt;$F39+($G39*$I39)),"➤",""),"")</f>
        <v/>
      </c>
      <c r="ID39" s="76" t="str">
        <f aca="false">IF($I39&gt;0%,IF(AND(ID$16&gt;=$F39,ID$16&lt;$F39+($G39*$I39)),"➤",""),"")</f>
        <v/>
      </c>
      <c r="IE39" s="76" t="str">
        <f aca="false">IF($I39&gt;0%,IF(AND(IE$16&gt;=$F39,IE$16&lt;$F39+($G39*$I39)),"➤",""),"")</f>
        <v/>
      </c>
      <c r="IF39" s="76" t="str">
        <f aca="false">IF($I39&gt;0%,IF(AND(IF$16&gt;=$F39,IF$16&lt;$F39+($G39*$I39)),"➤",""),"")</f>
        <v/>
      </c>
      <c r="IG39" s="76" t="str">
        <f aca="false">IF($I39&gt;0%,IF(AND(IG$16&gt;=$F39,IG$16&lt;$F39+($G39*$I39)),"➤",""),"")</f>
        <v/>
      </c>
      <c r="IH39" s="76" t="str">
        <f aca="false">IF($I39&gt;0%,IF(AND(IH$16&gt;=$F39,IH$16&lt;$F39+($G39*$I39)),"➤",""),"")</f>
        <v/>
      </c>
      <c r="II39" s="76" t="str">
        <f aca="false">IF($I39&gt;0%,IF(AND(II$16&gt;=$F39,II$16&lt;$F39+($G39*$I39)),"➤",""),"")</f>
        <v/>
      </c>
      <c r="IJ39" s="76" t="str">
        <f aca="false">IF($I39&gt;0%,IF(AND(IJ$16&gt;=$F39,IJ$16&lt;$F39+($G39*$I39)),"➤",""),"")</f>
        <v/>
      </c>
      <c r="IK39" s="76" t="str">
        <f aca="false">IF($I39&gt;0%,IF(AND(IK$16&gt;=$F39,IK$16&lt;$F39+($G39*$I39)),"➤",""),"")</f>
        <v/>
      </c>
      <c r="IL39" s="76" t="str">
        <f aca="false">IF($I39&gt;0%,IF(AND(IL$16&gt;=$F39,IL$16&lt;$F39+($G39*$I39)),"➤",""),"")</f>
        <v/>
      </c>
      <c r="IM39" s="76" t="str">
        <f aca="false">IF($I39&gt;0%,IF(AND(IM$16&gt;=$F39,IM$16&lt;$F39+($G39*$I39)),"➤",""),"")</f>
        <v/>
      </c>
      <c r="IN39" s="76" t="str">
        <f aca="false">IF($I39&gt;0%,IF(AND(IN$16&gt;=$F39,IN$16&lt;$F39+($G39*$I39)),"➤",""),"")</f>
        <v/>
      </c>
      <c r="IO39" s="76" t="str">
        <f aca="false">IF($I39&gt;0%,IF(AND(IO$16&gt;=$F39,IO$16&lt;$F39+($G39*$I39)),"➤",""),"")</f>
        <v/>
      </c>
      <c r="IP39" s="76" t="str">
        <f aca="false">IF($I39&gt;0%,IF(AND(IP$16&gt;=$F39,IP$16&lt;$F39+($G39*$I39)),"➤",""),"")</f>
        <v/>
      </c>
      <c r="IQ39" s="76" t="str">
        <f aca="false">IF($I39&gt;0%,IF(AND(IQ$16&gt;=$F39,IQ$16&lt;$F39+($G39*$I39)),"➤",""),"")</f>
        <v/>
      </c>
      <c r="IR39" s="76" t="str">
        <f aca="false">IF($I39&gt;0%,IF(AND(IR$16&gt;=$F39,IR$16&lt;$F39+($G39*$I39)),"➤",""),"")</f>
        <v/>
      </c>
      <c r="IS39" s="76" t="str">
        <f aca="false">IF($I39&gt;0%,IF(AND(IS$16&gt;=$F39,IS$16&lt;$F39+($G39*$I39)),"➤",""),"")</f>
        <v/>
      </c>
      <c r="IT39" s="76" t="str">
        <f aca="false">IF($I39&gt;0%,IF(AND(IT$16&gt;=$F39,IT$16&lt;$F39+($G39*$I39)),"➤",""),"")</f>
        <v/>
      </c>
      <c r="IU39" s="76" t="str">
        <f aca="false">IF($I39&gt;0%,IF(AND(IU$16&gt;=$F39,IU$16&lt;$F39+($G39*$I39)),"➤",""),"")</f>
        <v/>
      </c>
      <c r="IV39" s="76" t="str">
        <f aca="false">IF($I39&gt;0%,IF(AND(IV$16&gt;=$F39,IV$16&lt;$F39+($G39*$I39)),"➤",""),"")</f>
        <v/>
      </c>
      <c r="IW39" s="76" t="str">
        <f aca="false">IF($I39&gt;0%,IF(AND(IW$16&gt;=$F39,IW$16&lt;$F39+($G39*$I39)),"➤",""),"")</f>
        <v/>
      </c>
      <c r="IX39" s="76" t="str">
        <f aca="false">IF($I39&gt;0%,IF(AND(IX$16&gt;=$F39,IX$16&lt;$F39+($G39*$I39)),"➤",""),"")</f>
        <v/>
      </c>
      <c r="IY39" s="76" t="str">
        <f aca="false">IF($I39&gt;0%,IF(AND(IY$16&gt;=$F39,IY$16&lt;$F39+($G39*$I39)),"➤",""),"")</f>
        <v/>
      </c>
      <c r="IZ39" s="76" t="str">
        <f aca="false">IF($I39&gt;0%,IF(AND(IZ$16&gt;=$F39,IZ$16&lt;$F39+($G39*$I39)),"➤",""),"")</f>
        <v/>
      </c>
      <c r="JA39" s="76" t="str">
        <f aca="false">IF($I39&gt;0%,IF(AND(JA$16&gt;=$F39,JA$16&lt;$F39+($G39*$I39)),"➤",""),"")</f>
        <v/>
      </c>
      <c r="JB39" s="76" t="str">
        <f aca="false">IF($I39&gt;0%,IF(AND(JB$16&gt;=$F39,JB$16&lt;$F39+($G39*$I39)),"➤",""),"")</f>
        <v/>
      </c>
      <c r="JC39" s="76" t="str">
        <f aca="false">IF($I39&gt;0%,IF(AND(JC$16&gt;=$F39,JC$16&lt;$F39+($G39*$I39)),"➤",""),"")</f>
        <v/>
      </c>
      <c r="JD39" s="76" t="str">
        <f aca="false">IF($I39&gt;0%,IF(AND(JD$16&gt;=$F39,JD$16&lt;$F39+($G39*$I39)),"➤",""),"")</f>
        <v/>
      </c>
      <c r="JE39" s="76" t="str">
        <f aca="false">IF($I39&gt;0%,IF(AND(JE$16&gt;=$F39,JE$16&lt;$F39+($G39*$I39)),"➤",""),"")</f>
        <v/>
      </c>
      <c r="JF39" s="76" t="str">
        <f aca="false">IF($I39&gt;0%,IF(AND(JF$16&gt;=$F39,JF$16&lt;$F39+($G39*$I39)),"➤",""),"")</f>
        <v/>
      </c>
      <c r="JG39" s="76" t="str">
        <f aca="false">IF($I39&gt;0%,IF(AND(JG$16&gt;=$F39,JG$16&lt;$F39+($G39*$I39)),"➤",""),"")</f>
        <v/>
      </c>
      <c r="JH39" s="76" t="str">
        <f aca="false">IF($I39&gt;0%,IF(AND(JH$16&gt;=$F39,JH$16&lt;$F39+($G39*$I39)),"➤",""),"")</f>
        <v/>
      </c>
      <c r="JI39" s="76" t="str">
        <f aca="false">IF($I39&gt;0%,IF(AND(JI$16&gt;=$F39,JI$16&lt;$F39+($G39*$I39)),"➤",""),"")</f>
        <v/>
      </c>
      <c r="JJ39" s="76" t="str">
        <f aca="false">IF($I39&gt;0%,IF(AND(JJ$16&gt;=$F39,JJ$16&lt;$F39+($G39*$I39)),"➤",""),"")</f>
        <v/>
      </c>
      <c r="JK39" s="76" t="str">
        <f aca="false">IF($I39&gt;0%,IF(AND(JK$16&gt;=$F39,JK$16&lt;$F39+($G39*$I39)),"➤",""),"")</f>
        <v/>
      </c>
      <c r="JL39" s="76" t="str">
        <f aca="false">IF($I39&gt;0%,IF(AND(JL$16&gt;=$F39,JL$16&lt;$F39+($G39*$I39)),"➤",""),"")</f>
        <v/>
      </c>
      <c r="JM39" s="76" t="str">
        <f aca="false">IF($I39&gt;0%,IF(AND(JM$16&gt;=$F39,JM$16&lt;$F39+($G39*$I39)),"➤",""),"")</f>
        <v/>
      </c>
      <c r="JN39" s="76" t="str">
        <f aca="false">IF($I39&gt;0%,IF(AND(JN$16&gt;=$F39,JN$16&lt;$F39+($G39*$I39)),"➤",""),"")</f>
        <v/>
      </c>
      <c r="JO39" s="76" t="str">
        <f aca="false">IF($I39&gt;0%,IF(AND(JO$16&gt;=$F39,JO$16&lt;$F39+($G39*$I39)),"➤",""),"")</f>
        <v/>
      </c>
      <c r="JP39" s="76" t="str">
        <f aca="false">IF($I39&gt;0%,IF(AND(JP$16&gt;=$F39,JP$16&lt;$F39+($G39*$I39)),"➤",""),"")</f>
        <v/>
      </c>
      <c r="JQ39" s="76" t="str">
        <f aca="false">IF($I39&gt;0%,IF(AND(JQ$16&gt;=$F39,JQ$16&lt;$F39+($G39*$I39)),"➤",""),"")</f>
        <v/>
      </c>
      <c r="JR39" s="76" t="str">
        <f aca="false">IF($I39&gt;0%,IF(AND(JR$16&gt;=$F39,JR$16&lt;$F39+($G39*$I39)),"➤",""),"")</f>
        <v/>
      </c>
      <c r="JS39" s="76" t="str">
        <f aca="false">IF($I39&gt;0%,IF(AND(JS$16&gt;=$F39,JS$16&lt;$F39+($G39*$I39)),"➤",""),"")</f>
        <v/>
      </c>
      <c r="JT39" s="76" t="str">
        <f aca="false">IF($I39&gt;0%,IF(AND(JT$16&gt;=$F39,JT$16&lt;$F39+($G39*$I39)),"➤",""),"")</f>
        <v/>
      </c>
      <c r="JU39" s="76" t="str">
        <f aca="false">IF($I39&gt;0%,IF(AND(JU$16&gt;=$F39,JU$16&lt;$F39+($G39*$I39)),"➤",""),"")</f>
        <v/>
      </c>
      <c r="JV39" s="76" t="str">
        <f aca="false">IF($I39&gt;0%,IF(AND(JV$16&gt;=$F39,JV$16&lt;$F39+($G39*$I39)),"➤",""),"")</f>
        <v/>
      </c>
      <c r="JW39" s="76" t="str">
        <f aca="false">IF($I39&gt;0%,IF(AND(JW$16&gt;=$F39,JW$16&lt;$F39+($G39*$I39)),"➤",""),"")</f>
        <v/>
      </c>
      <c r="JX39" s="76" t="str">
        <f aca="false">IF($I39&gt;0%,IF(AND(JX$16&gt;=$F39,JX$16&lt;$F39+($G39*$I39)),"➤",""),"")</f>
        <v/>
      </c>
      <c r="JY39" s="76" t="str">
        <f aca="false">IF($I39&gt;0%,IF(AND(JY$16&gt;=$F39,JY$16&lt;$F39+($G39*$I39)),"➤",""),"")</f>
        <v/>
      </c>
      <c r="JZ39" s="76" t="str">
        <f aca="false">IF($I39&gt;0%,IF(AND(JZ$16&gt;=$F39,JZ$16&lt;$F39+($G39*$I39)),"➤",""),"")</f>
        <v/>
      </c>
      <c r="KA39" s="76" t="str">
        <f aca="false">IF($I39&gt;0%,IF(AND(KA$16&gt;=$F39,KA$16&lt;$F39+($G39*$I39)),"➤",""),"")</f>
        <v/>
      </c>
      <c r="KB39" s="76" t="str">
        <f aca="false">IF($I39&gt;0%,IF(AND(KB$16&gt;=$F39,KB$16&lt;$F39+($G39*$I39)),"➤",""),"")</f>
        <v/>
      </c>
      <c r="KC39" s="76" t="str">
        <f aca="false">IF($I39&gt;0%,IF(AND(KC$16&gt;=$F39,KC$16&lt;$F39+($G39*$I39)),"➤",""),"")</f>
        <v/>
      </c>
      <c r="KD39" s="76" t="str">
        <f aca="false">IF($I39&gt;0%,IF(AND(KD$16&gt;=$F39,KD$16&lt;$F39+($G39*$I39)),"➤",""),"")</f>
        <v/>
      </c>
      <c r="KE39" s="76" t="str">
        <f aca="false">IF($I39&gt;0%,IF(AND(KE$16&gt;=$F39,KE$16&lt;$F39+($G39*$I39)),"➤",""),"")</f>
        <v/>
      </c>
      <c r="KF39" s="76" t="str">
        <f aca="false">IF($I39&gt;0%,IF(AND(KF$16&gt;=$F39,KF$16&lt;$F39+($G39*$I39)),"➤",""),"")</f>
        <v/>
      </c>
      <c r="KG39" s="76" t="str">
        <f aca="false">IF($I39&gt;0%,IF(AND(KG$16&gt;=$F39,KG$16&lt;$F39+($G39*$I39)),"➤",""),"")</f>
        <v/>
      </c>
      <c r="KH39" s="76" t="str">
        <f aca="false">IF($I39&gt;0%,IF(AND(KH$16&gt;=$F39,KH$16&lt;$F39+($G39*$I39)),"➤",""),"")</f>
        <v/>
      </c>
      <c r="KI39" s="76" t="str">
        <f aca="false">IF($I39&gt;0%,IF(AND(KI$16&gt;=$F39,KI$16&lt;$F39+($G39*$I39)),"➤",""),"")</f>
        <v/>
      </c>
      <c r="KJ39" s="76" t="str">
        <f aca="false">IF($I39&gt;0%,IF(AND(KJ$16&gt;=$F39,KJ$16&lt;$F39+($G39*$I39)),"➤",""),"")</f>
        <v/>
      </c>
      <c r="KK39" s="76" t="str">
        <f aca="false">IF($I39&gt;0%,IF(AND(KK$16&gt;=$F39,KK$16&lt;$F39+($G39*$I39)),"➤",""),"")</f>
        <v/>
      </c>
      <c r="KL39" s="76" t="str">
        <f aca="false">IF($I39&gt;0%,IF(AND(KL$16&gt;=$F39,KL$16&lt;$F39+($G39*$I39)),"➤",""),"")</f>
        <v/>
      </c>
      <c r="KM39" s="76" t="str">
        <f aca="false">IF($I39&gt;0%,IF(AND(KM$16&gt;=$F39,KM$16&lt;$F39+($G39*$I39)),"➤",""),"")</f>
        <v/>
      </c>
      <c r="KN39" s="76" t="str">
        <f aca="false">IF($I39&gt;0%,IF(AND(KN$16&gt;=$F39,KN$16&lt;$F39+($G39*$I39)),"➤",""),"")</f>
        <v/>
      </c>
      <c r="KO39" s="76" t="str">
        <f aca="false">IF($I39&gt;0%,IF(AND(KO$16&gt;=$F39,KO$16&lt;$F39+($G39*$I39)),"➤",""),"")</f>
        <v/>
      </c>
      <c r="KP39" s="76" t="str">
        <f aca="false">IF($I39&gt;0%,IF(AND(KP$16&gt;=$F39,KP$16&lt;$F39+($G39*$I39)),"➤",""),"")</f>
        <v/>
      </c>
      <c r="KQ39" s="76" t="str">
        <f aca="false">IF($I39&gt;0%,IF(AND(KQ$16&gt;=$F39,KQ$16&lt;$F39+($G39*$I39)),"➤",""),"")</f>
        <v/>
      </c>
      <c r="KR39" s="76" t="str">
        <f aca="false">IF($I39&gt;0%,IF(AND(KR$16&gt;=$F39,KR$16&lt;$F39+($G39*$I39)),"➤",""),"")</f>
        <v/>
      </c>
      <c r="KS39" s="76" t="str">
        <f aca="false">IF($I39&gt;0%,IF(AND(KS$16&gt;=$F39,KS$16&lt;$F39+($G39*$I39)),"➤",""),"")</f>
        <v/>
      </c>
      <c r="KT39" s="76" t="str">
        <f aca="false">IF($I39&gt;0%,IF(AND(KT$16&gt;=$F39,KT$16&lt;$F39+($G39*$I39)),"➤",""),"")</f>
        <v/>
      </c>
      <c r="KU39" s="76" t="str">
        <f aca="false">IF($I39&gt;0%,IF(AND(KU$16&gt;=$F39,KU$16&lt;$F39+($G39*$I39)),"➤",""),"")</f>
        <v/>
      </c>
      <c r="KV39" s="76" t="str">
        <f aca="false">IF($I39&gt;0%,IF(AND(KV$16&gt;=$F39,KV$16&lt;$F39+($G39*$I39)),"➤",""),"")</f>
        <v/>
      </c>
      <c r="KW39" s="76" t="str">
        <f aca="false">IF($I39&gt;0%,IF(AND(KW$16&gt;=$F39,KW$16&lt;$F39+($G39*$I39)),"➤",""),"")</f>
        <v/>
      </c>
      <c r="KX39" s="76" t="str">
        <f aca="false">IF($I39&gt;0%,IF(AND(KX$16&gt;=$F39,KX$16&lt;$F39+($G39*$I39)),"➤",""),"")</f>
        <v/>
      </c>
      <c r="KY39" s="76" t="str">
        <f aca="false">IF($I39&gt;0%,IF(AND(KY$16&gt;=$F39,KY$16&lt;$F39+($G39*$I39)),"➤",""),"")</f>
        <v/>
      </c>
      <c r="KZ39" s="76" t="str">
        <f aca="false">IF($I39&gt;0%,IF(AND(KZ$16&gt;=$F39,KZ$16&lt;$F39+($G39*$I39)),"➤",""),"")</f>
        <v/>
      </c>
      <c r="LA39" s="76" t="str">
        <f aca="false">IF($I39&gt;0%,IF(AND(LA$16&gt;=$F39,LA$16&lt;$F39+($G39*$I39)),"➤",""),"")</f>
        <v/>
      </c>
      <c r="LB39" s="76" t="str">
        <f aca="false">IF($I39&gt;0%,IF(AND(LB$16&gt;=$F39,LB$16&lt;$F39+($G39*$I39)),"➤",""),"")</f>
        <v/>
      </c>
      <c r="LC39" s="76" t="str">
        <f aca="false">IF($I39&gt;0%,IF(AND(LC$16&gt;=$F39,LC$16&lt;$F39+($G39*$I39)),"➤",""),"")</f>
        <v/>
      </c>
      <c r="LD39" s="76" t="str">
        <f aca="false">IF($I39&gt;0%,IF(AND(LD$16&gt;=$F39,LD$16&lt;$F39+($G39*$I39)),"➤",""),"")</f>
        <v/>
      </c>
      <c r="LE39" s="76" t="str">
        <f aca="false">IF($I39&gt;0%,IF(AND(LE$16&gt;=$F39,LE$16&lt;$F39+($G39*$I39)),"➤",""),"")</f>
        <v/>
      </c>
      <c r="LF39" s="76" t="str">
        <f aca="false">IF($I39&gt;0%,IF(AND(LF$16&gt;=$F39,LF$16&lt;$F39+($G39*$I39)),"➤",""),"")</f>
        <v/>
      </c>
      <c r="LG39" s="76" t="str">
        <f aca="false">IF($I39&gt;0%,IF(AND(LG$16&gt;=$F39,LG$16&lt;$F39+($G39*$I39)),"➤",""),"")</f>
        <v/>
      </c>
      <c r="LH39" s="76" t="str">
        <f aca="false">IF($I39&gt;0%,IF(AND(LH$16&gt;=$F39,LH$16&lt;$F39+($G39*$I39)),"➤",""),"")</f>
        <v/>
      </c>
      <c r="LI39" s="76" t="str">
        <f aca="false">IF($I39&gt;0%,IF(AND(LI$16&gt;=$F39,LI$16&lt;$F39+($G39*$I39)),"➤",""),"")</f>
        <v/>
      </c>
      <c r="LJ39" s="76" t="str">
        <f aca="false">IF($I39&gt;0%,IF(AND(LJ$16&gt;=$F39,LJ$16&lt;$F39+($G39*$I39)),"➤",""),"")</f>
        <v/>
      </c>
      <c r="LK39" s="76" t="str">
        <f aca="false">IF($I39&gt;0%,IF(AND(LK$16&gt;=$F39,LK$16&lt;$F39+($G39*$I39)),"➤",""),"")</f>
        <v/>
      </c>
      <c r="LL39" s="76" t="str">
        <f aca="false">IF($I39&gt;0%,IF(AND(LL$16&gt;=$F39,LL$16&lt;$F39+($G39*$I39)),"➤",""),"")</f>
        <v/>
      </c>
      <c r="LM39" s="76" t="str">
        <f aca="false">IF($I39&gt;0%,IF(AND(LM$16&gt;=$F39,LM$16&lt;$F39+($G39*$I39)),"➤",""),"")</f>
        <v/>
      </c>
      <c r="LN39" s="76" t="str">
        <f aca="false">IF($I39&gt;0%,IF(AND(LN$16&gt;=$F39,LN$16&lt;$F39+($G39*$I39)),"➤",""),"")</f>
        <v/>
      </c>
      <c r="LO39" s="76" t="str">
        <f aca="false">IF($I39&gt;0%,IF(AND(LO$16&gt;=$F39,LO$16&lt;$F39+($G39*$I39)),"➤",""),"")</f>
        <v/>
      </c>
      <c r="LP39" s="76" t="str">
        <f aca="false">IF($I39&gt;0%,IF(AND(LP$16&gt;=$F39,LP$16&lt;$F39+($G39*$I39)),"➤",""),"")</f>
        <v/>
      </c>
      <c r="LQ39" s="76" t="str">
        <f aca="false">IF($I39&gt;0%,IF(AND(LQ$16&gt;=$F39,LQ$16&lt;$F39+($G39*$I39)),"➤",""),"")</f>
        <v/>
      </c>
      <c r="LR39" s="76" t="str">
        <f aca="false">IF($I39&gt;0%,IF(AND(LR$16&gt;=$F39,LR$16&lt;$F39+($G39*$I39)),"➤",""),"")</f>
        <v/>
      </c>
      <c r="LS39" s="76" t="str">
        <f aca="false">IF($I39&gt;0%,IF(AND(LS$16&gt;=$F39,LS$16&lt;$F39+($G39*$I39)),"➤",""),"")</f>
        <v/>
      </c>
      <c r="LT39" s="76" t="str">
        <f aca="false">IF($I39&gt;0%,IF(AND(LT$16&gt;=$F39,LT$16&lt;$F39+($G39*$I39)),"➤",""),"")</f>
        <v/>
      </c>
      <c r="LU39" s="76" t="str">
        <f aca="false">IF($I39&gt;0%,IF(AND(LU$16&gt;=$F39,LU$16&lt;$F39+($G39*$I39)),"➤",""),"")</f>
        <v/>
      </c>
      <c r="LV39" s="76" t="str">
        <f aca="false">IF($I39&gt;0%,IF(AND(LV$16&gt;=$F39,LV$16&lt;$F39+($G39*$I39)),"➤",""),"")</f>
        <v/>
      </c>
      <c r="LW39" s="76" t="str">
        <f aca="false">IF($I39&gt;0%,IF(AND(LW$16&gt;=$F39,LW$16&lt;$F39+($G39*$I39)),"➤",""),"")</f>
        <v/>
      </c>
      <c r="LX39" s="76" t="str">
        <f aca="false">IF($I39&gt;0%,IF(AND(LX$16&gt;=$F39,LX$16&lt;$F39+($G39*$I39)),"➤",""),"")</f>
        <v/>
      </c>
      <c r="LY39" s="76" t="str">
        <f aca="false">IF($I39&gt;0%,IF(AND(LY$16&gt;=$F39,LY$16&lt;$F39+($G39*$I39)),"➤",""),"")</f>
        <v/>
      </c>
      <c r="LZ39" s="76" t="str">
        <f aca="false">IF($I39&gt;0%,IF(AND(LZ$16&gt;=$F39,LZ$16&lt;$F39+($G39*$I39)),"➤",""),"")</f>
        <v/>
      </c>
      <c r="MA39" s="76" t="str">
        <f aca="false">IF($I39&gt;0%,IF(AND(MA$16&gt;=$F39,MA$16&lt;$F39+($G39*$I39)),"➤",""),"")</f>
        <v/>
      </c>
      <c r="MB39" s="76" t="str">
        <f aca="false">IF($I39&gt;0%,IF(AND(MB$16&gt;=$F39,MB$16&lt;$F39+($G39*$I39)),"➤",""),"")</f>
        <v/>
      </c>
      <c r="MC39" s="76" t="str">
        <f aca="false">IF($I39&gt;0%,IF(AND(MC$16&gt;=$F39,MC$16&lt;$F39+($G39*$I39)),"➤",""),"")</f>
        <v/>
      </c>
      <c r="MD39" s="76" t="str">
        <f aca="false">IF($I39&gt;0%,IF(AND(MD$16&gt;=$F39,MD$16&lt;$F39+($G39*$I39)),"➤",""),"")</f>
        <v/>
      </c>
      <c r="ME39" s="76" t="str">
        <f aca="false">IF($I39&gt;0%,IF(AND(ME$16&gt;=$F39,ME$16&lt;$F39+($G39*$I39)),"➤",""),"")</f>
        <v/>
      </c>
      <c r="MF39" s="76" t="str">
        <f aca="false">IF($I39&gt;0%,IF(AND(MF$16&gt;=$F39,MF$16&lt;$F39+($G39*$I39)),"➤",""),"")</f>
        <v/>
      </c>
      <c r="MG39" s="76" t="str">
        <f aca="false">IF($I39&gt;0%,IF(AND(MG$16&gt;=$F39,MG$16&lt;$F39+($G39*$I39)),"➤",""),"")</f>
        <v/>
      </c>
      <c r="MH39" s="76" t="str">
        <f aca="false">IF($I39&gt;0%,IF(AND(MH$16&gt;=$F39,MH$16&lt;$F39+($G39*$I39)),"➤",""),"")</f>
        <v/>
      </c>
      <c r="MI39" s="76" t="str">
        <f aca="false">IF($I39&gt;0%,IF(AND(MI$16&gt;=$F39,MI$16&lt;$F39+($G39*$I39)),"➤",""),"")</f>
        <v/>
      </c>
      <c r="MJ39" s="76" t="str">
        <f aca="false">IF($I39&gt;0%,IF(AND(MJ$16&gt;=$F39,MJ$16&lt;$F39+($G39*$I39)),"➤",""),"")</f>
        <v/>
      </c>
      <c r="MK39" s="76" t="str">
        <f aca="false">IF($I39&gt;0%,IF(AND(MK$16&gt;=$F39,MK$16&lt;$F39+($G39*$I39)),"➤",""),"")</f>
        <v/>
      </c>
      <c r="ML39" s="76" t="str">
        <f aca="false">IF($I39&gt;0%,IF(AND(ML$16&gt;=$F39,ML$16&lt;$F39+($G39*$I39)),"➤",""),"")</f>
        <v/>
      </c>
      <c r="MM39" s="76" t="str">
        <f aca="false">IF($I39&gt;0%,IF(AND(MM$16&gt;=$F39,MM$16&lt;$F39+($G39*$I39)),"➤",""),"")</f>
        <v/>
      </c>
      <c r="MN39" s="76" t="str">
        <f aca="false">IF($I39&gt;0%,IF(AND(MN$16&gt;=$F39,MN$16&lt;$F39+($G39*$I39)),"➤",""),"")</f>
        <v/>
      </c>
      <c r="MO39" s="76" t="str">
        <f aca="false">IF($I39&gt;0%,IF(AND(MO$16&gt;=$F39,MO$16&lt;$F39+($G39*$I39)),"➤",""),"")</f>
        <v/>
      </c>
      <c r="MP39" s="76" t="str">
        <f aca="false">IF($I39&gt;0%,IF(AND(MP$16&gt;=$F39,MP$16&lt;$F39+($G39*$I39)),"➤",""),"")</f>
        <v/>
      </c>
      <c r="MQ39" s="76" t="str">
        <f aca="false">IF($I39&gt;0%,IF(AND(MQ$16&gt;=$F39,MQ$16&lt;$F39+($G39*$I39)),"➤",""),"")</f>
        <v/>
      </c>
      <c r="MR39" s="76" t="str">
        <f aca="false">IF($I39&gt;0%,IF(AND(MR$16&gt;=$F39,MR$16&lt;$F39+($G39*$I39)),"➤",""),"")</f>
        <v/>
      </c>
      <c r="MS39" s="76" t="str">
        <f aca="false">IF($I39&gt;0%,IF(AND(MS$16&gt;=$F39,MS$16&lt;$F39+($G39*$I39)),"➤",""),"")</f>
        <v/>
      </c>
      <c r="MT39" s="76" t="str">
        <f aca="false">IF($I39&gt;0%,IF(AND(MT$16&gt;=$F39,MT$16&lt;$F39+($G39*$I39)),"➤",""),"")</f>
        <v/>
      </c>
      <c r="MU39" s="76" t="str">
        <f aca="false">IF($I39&gt;0%,IF(AND(MU$16&gt;=$F39,MU$16&lt;$F39+($G39*$I39)),"➤",""),"")</f>
        <v/>
      </c>
      <c r="MV39" s="76" t="str">
        <f aca="false">IF($I39&gt;0%,IF(AND(MV$16&gt;=$F39,MV$16&lt;$F39+($G39*$I39)),"➤",""),"")</f>
        <v/>
      </c>
      <c r="MW39" s="76" t="str">
        <f aca="false">IF($I39&gt;0%,IF(AND(MW$16&gt;=$F39,MW$16&lt;$F39+($G39*$I39)),"➤",""),"")</f>
        <v/>
      </c>
      <c r="MX39" s="76" t="str">
        <f aca="false">IF($I39&gt;0%,IF(AND(MX$16&gt;=$F39,MX$16&lt;$F39+($G39*$I39)),"➤",""),"")</f>
        <v/>
      </c>
      <c r="MY39" s="76" t="str">
        <f aca="false">IF($I39&gt;0%,IF(AND(MY$16&gt;=$F39,MY$16&lt;$F39+($G39*$I39)),"➤",""),"")</f>
        <v/>
      </c>
      <c r="MZ39" s="76" t="str">
        <f aca="false">IF($I39&gt;0%,IF(AND(MZ$16&gt;=$F39,MZ$16&lt;$F39+($G39*$I39)),"➤",""),"")</f>
        <v/>
      </c>
      <c r="NA39" s="76" t="str">
        <f aca="false">IF($I39&gt;0%,IF(AND(NA$16&gt;=$F39,NA$16&lt;$F39+($G39*$I39)),"➤",""),"")</f>
        <v/>
      </c>
      <c r="NB39" s="76" t="str">
        <f aca="false">IF($I39&gt;0%,IF(AND(NB$16&gt;=$F39,NB$16&lt;$F39+($G39*$I39)),"➤",""),"")</f>
        <v/>
      </c>
      <c r="NC39" s="76" t="str">
        <f aca="false">IF($I39&gt;0%,IF(AND(NC$16&gt;=$F39,NC$16&lt;$F39+($G39*$I39)),"➤",""),"")</f>
        <v/>
      </c>
      <c r="ND39" s="76" t="str">
        <f aca="false">IF($I39&gt;0%,IF(AND(ND$16&gt;=$F39,ND$16&lt;$F39+($G39*$I39)),"➤",""),"")</f>
        <v/>
      </c>
      <c r="NE39" s="76" t="str">
        <f aca="false">IF($I39&gt;0%,IF(AND(NE$16&gt;=$F39,NE$16&lt;$F39+($G39*$I39)),"➤",""),"")</f>
        <v/>
      </c>
      <c r="NF39" s="76" t="str">
        <f aca="false">IF($I39&gt;0%,IF(AND(NF$16&gt;=$F39,NF$16&lt;$F39+($G39*$I39)),"➤",""),"")</f>
        <v/>
      </c>
      <c r="NG39" s="76" t="str">
        <f aca="false">IF($I39&gt;0%,IF(AND(NG$16&gt;=$F39,NG$16&lt;$F39+($G39*$I39)),"➤",""),"")</f>
        <v/>
      </c>
      <c r="NH39" s="76" t="str">
        <f aca="false">IF($I39&gt;0%,IF(AND(NH$16&gt;=$F39,NH$16&lt;$F39+($G39*$I39)),"➤",""),"")</f>
        <v/>
      </c>
      <c r="NI39" s="76" t="str">
        <f aca="false">IF($I39&gt;0%,IF(AND(NI$16&gt;=$F39,NI$16&lt;$F39+($G39*$I39)),"➤",""),"")</f>
        <v/>
      </c>
      <c r="NJ39" s="76" t="str">
        <f aca="false">IF($I39&gt;0%,IF(AND(NJ$16&gt;=$F39,NJ$16&lt;$F39+($G39*$I39)),"➤",""),"")</f>
        <v/>
      </c>
      <c r="NK39" s="76" t="str">
        <f aca="false">IF($I39&gt;0%,IF(AND(NK$16&gt;=$F39,NK$16&lt;$F39+($G39*$I39)),"➤",""),"")</f>
        <v/>
      </c>
      <c r="NL39" s="76" t="str">
        <f aca="false">IF($I39&gt;0%,IF(AND(NL$16&gt;=$F39,NL$16&lt;$F39+($G39*$I39)),"➤",""),"")</f>
        <v/>
      </c>
      <c r="NM39" s="76" t="str">
        <f aca="false">IF($I39&gt;0%,IF(AND(NM$16&gt;=$F39,NM$16&lt;$F39+($G39*$I39)),"➤",""),"")</f>
        <v/>
      </c>
      <c r="NN39" s="76" t="str">
        <f aca="false">IF($I39&gt;0%,IF(AND(NN$16&gt;=$F39,NN$16&lt;$F39+($G39*$I39)),"➤",""),"")</f>
        <v/>
      </c>
      <c r="NO39" s="76" t="str">
        <f aca="false">IF($I39&gt;0%,IF(AND(NO$16&gt;=$F39,NO$16&lt;$F39+($G39*$I39)),"➤",""),"")</f>
        <v/>
      </c>
      <c r="NP39" s="76" t="str">
        <f aca="false">IF($I39&gt;0%,IF(AND(NP$16&gt;=$F39,NP$16&lt;$F39+($G39*$I39)),"➤",""),"")</f>
        <v/>
      </c>
      <c r="NQ39" s="76" t="str">
        <f aca="false">IF($I39&gt;0%,IF(AND(NQ$16&gt;=$F39,NQ$16&lt;$F39+($G39*$I39)),"➤",""),"")</f>
        <v/>
      </c>
      <c r="NR39" s="76" t="str">
        <f aca="false">IF($I39&gt;0%,IF(AND(NR$16&gt;=$F39,NR$16&lt;$F39+($G39*$I39)),"➤",""),"")</f>
        <v/>
      </c>
      <c r="NS39" s="76" t="str">
        <f aca="false">IF($I39&gt;0%,IF(AND(NS$16&gt;=$F39,NS$16&lt;$F39+($G39*$I39)),"➤",""),"")</f>
        <v/>
      </c>
      <c r="NT39" s="76" t="str">
        <f aca="false">IF($I39&gt;0%,IF(AND(NT$16&gt;=$F39,NT$16&lt;$F39+($G39*$I39)),"➤",""),"")</f>
        <v/>
      </c>
      <c r="NU39" s="76" t="str">
        <f aca="false">IF($I39&gt;0%,IF(AND(NU$16&gt;=$F39,NU$16&lt;$F39+($G39*$I39)),"➤",""),"")</f>
        <v/>
      </c>
      <c r="NV39" s="76" t="str">
        <f aca="false">IF($I39&gt;0%,IF(AND(NV$16&gt;=$F39,NV$16&lt;$F39+($G39*$I39)),"➤",""),"")</f>
        <v/>
      </c>
      <c r="NW39" s="76" t="str">
        <f aca="false">IF($I39&gt;0%,IF(AND(NW$16&gt;=$F39,NW$16&lt;$F39+($G39*$I39)),"➤",""),"")</f>
        <v/>
      </c>
      <c r="NX39" s="76" t="str">
        <f aca="false">IF($I39&gt;0%,IF(AND(NX$16&gt;=$F39,NX$16&lt;$F39+($G39*$I39)),"➤",""),"")</f>
        <v/>
      </c>
      <c r="NY39" s="76" t="str">
        <f aca="false">IF($I39&gt;0%,IF(AND(NY$16&gt;=$F39,NY$16&lt;$F39+($G39*$I39)),"➤",""),"")</f>
        <v/>
      </c>
      <c r="NZ39" s="76" t="str">
        <f aca="false">IF($I39&gt;0%,IF(AND(NZ$16&gt;=$F39,NZ$16&lt;$F39+($G39*$I39)),"➤",""),"")</f>
        <v/>
      </c>
      <c r="OA39" s="76" t="str">
        <f aca="false">IF($I39&gt;0%,IF(AND(OA$16&gt;=$F39,OA$16&lt;$F39+($G39*$I39)),"➤",""),"")</f>
        <v/>
      </c>
      <c r="OB39" s="76" t="str">
        <f aca="false">IF($I39&gt;0%,IF(AND(OB$16&gt;=$F39,OB$16&lt;$F39+($G39*$I39)),"➤",""),"")</f>
        <v/>
      </c>
      <c r="OC39" s="76" t="str">
        <f aca="false">IF($I39&gt;0%,IF(AND(OC$16&gt;=$F39,OC$16&lt;$F39+($G39*$I39)),"➤",""),"")</f>
        <v/>
      </c>
      <c r="OD39" s="76" t="str">
        <f aca="false">IF($I39&gt;0%,IF(AND(OD$16&gt;=$F39,OD$16&lt;$F39+($G39*$I39)),"➤",""),"")</f>
        <v/>
      </c>
      <c r="OE39" s="76" t="str">
        <f aca="false">IF($I39&gt;0%,IF(AND(OE$16&gt;=$F39,OE$16&lt;$F39+($G39*$I39)),"➤",""),"")</f>
        <v/>
      </c>
      <c r="OF39" s="76" t="str">
        <f aca="false">IF($I39&gt;0%,IF(AND(OF$16&gt;=$F39,OF$16&lt;$F39+($G39*$I39)),"➤",""),"")</f>
        <v/>
      </c>
      <c r="OG39" s="76" t="str">
        <f aca="false">IF($I39&gt;0%,IF(AND(OG$16&gt;=$F39,OG$16&lt;$F39+($G39*$I39)),"➤",""),"")</f>
        <v/>
      </c>
      <c r="OH39" s="76" t="str">
        <f aca="false">IF($I39&gt;0%,IF(AND(OH$16&gt;=$F39,OH$16&lt;$F39+($G39*$I39)),"➤",""),"")</f>
        <v/>
      </c>
      <c r="OI39" s="76" t="str">
        <f aca="false">IF($I39&gt;0%,IF(AND(OI$16&gt;=$F39,OI$16&lt;$F39+($G39*$I39)),"➤",""),"")</f>
        <v/>
      </c>
      <c r="OJ39" s="76" t="str">
        <f aca="false">IF($I39&gt;0%,IF(AND(OJ$16&gt;=$F39,OJ$16&lt;$F39+($G39*$I39)),"➤",""),"")</f>
        <v/>
      </c>
      <c r="OK39" s="76" t="str">
        <f aca="false">IF($I39&gt;0%,IF(AND(OK$16&gt;=$F39,OK$16&lt;$F39+($G39*$I39)),"➤",""),"")</f>
        <v/>
      </c>
      <c r="OL39" s="76" t="str">
        <f aca="false">IF($I39&gt;0%,IF(AND(OL$16&gt;=$F39,OL$16&lt;$F39+($G39*$I39)),"➤",""),"")</f>
        <v/>
      </c>
      <c r="OM39" s="76" t="str">
        <f aca="false">IF($I39&gt;0%,IF(AND(OM$16&gt;=$F39,OM$16&lt;$F39+($G39*$I39)),"➤",""),"")</f>
        <v/>
      </c>
      <c r="ON39" s="76" t="str">
        <f aca="false">IF($I39&gt;0%,IF(AND(ON$16&gt;=$F39,ON$16&lt;$F39+($G39*$I39)),"➤",""),"")</f>
        <v/>
      </c>
      <c r="OO39" s="76" t="str">
        <f aca="false">IF($I39&gt;0%,IF(AND(OO$16&gt;=$F39,OO$16&lt;$F39+($G39*$I39)),"➤",""),"")</f>
        <v/>
      </c>
      <c r="OP39" s="76" t="str">
        <f aca="false">IF($I39&gt;0%,IF(AND(OP$16&gt;=$F39,OP$16&lt;$F39+($G39*$I39)),"➤",""),"")</f>
        <v/>
      </c>
      <c r="OQ39" s="76" t="str">
        <f aca="false">IF($I39&gt;0%,IF(AND(OQ$16&gt;=$F39,OQ$16&lt;$F39+($G39*$I39)),"➤",""),"")</f>
        <v/>
      </c>
      <c r="OR39" s="76" t="str">
        <f aca="false">IF($I39&gt;0%,IF(AND(OR$16&gt;=$F39,OR$16&lt;$F39+($G39*$I39)),"➤",""),"")</f>
        <v/>
      </c>
      <c r="OS39" s="76" t="str">
        <f aca="false">IF($I39&gt;0%,IF(AND(OS$16&gt;=$F39,OS$16&lt;$F39+($G39*$I39)),"➤",""),"")</f>
        <v/>
      </c>
      <c r="OT39" s="76" t="str">
        <f aca="false">IF($I39&gt;0%,IF(AND(OT$16&gt;=$F39,OT$16&lt;$F39+($G39*$I39)),"➤",""),"")</f>
        <v/>
      </c>
      <c r="OU39" s="76" t="str">
        <f aca="false">IF($I39&gt;0%,IF(AND(OU$16&gt;=$F39,OU$16&lt;$F39+($G39*$I39)),"➤",""),"")</f>
        <v/>
      </c>
      <c r="OV39" s="76" t="str">
        <f aca="false">IF($I39&gt;0%,IF(AND(OV$16&gt;=$F39,OV$16&lt;$F39+($G39*$I39)),"➤",""),"")</f>
        <v/>
      </c>
      <c r="OW39" s="76" t="str">
        <f aca="false">IF($I39&gt;0%,IF(AND(OW$16&gt;=$F39,OW$16&lt;$F39+($G39*$I39)),"➤",""),"")</f>
        <v/>
      </c>
      <c r="OX39" s="76" t="str">
        <f aca="false">IF($I39&gt;0%,IF(AND(OX$16&gt;=$F39,OX$16&lt;$F39+($G39*$I39)),"➤",""),"")</f>
        <v/>
      </c>
      <c r="OY39" s="76" t="str">
        <f aca="false">IF($I39&gt;0%,IF(AND(OY$16&gt;=$F39,OY$16&lt;$F39+($G39*$I39)),"➤",""),"")</f>
        <v/>
      </c>
      <c r="OZ39" s="76" t="str">
        <f aca="false">IF($I39&gt;0%,IF(AND(OZ$16&gt;=$F39,OZ$16&lt;$F39+($G39*$I39)),"➤",""),"")</f>
        <v/>
      </c>
      <c r="PA39" s="76" t="str">
        <f aca="false">IF($I39&gt;0%,IF(AND(PA$16&gt;=$F39,PA$16&lt;$F39+($G39*$I39)),"➤",""),"")</f>
        <v/>
      </c>
      <c r="PB39" s="76" t="str">
        <f aca="false">IF($I39&gt;0%,IF(AND(PB$16&gt;=$F39,PB$16&lt;$F39+($G39*$I39)),"➤",""),"")</f>
        <v/>
      </c>
      <c r="PC39" s="76" t="str">
        <f aca="false">IF($I39&gt;0%,IF(AND(PC$16&gt;=$F39,PC$16&lt;$F39+($G39*$I39)),"➤",""),"")</f>
        <v/>
      </c>
      <c r="PD39" s="76" t="str">
        <f aca="false">IF($I39&gt;0%,IF(AND(PD$16&gt;=$F39,PD$16&lt;$F39+($G39*$I39)),"➤",""),"")</f>
        <v/>
      </c>
      <c r="PE39" s="76" t="str">
        <f aca="false">IF($I39&gt;0%,IF(AND(PE$16&gt;=$F39,PE$16&lt;$F39+($G39*$I39)),"➤",""),"")</f>
        <v/>
      </c>
      <c r="PF39" s="76" t="str">
        <f aca="false">IF($I39&gt;0%,IF(AND(PF$16&gt;=$F39,PF$16&lt;$F39+($G39*$I39)),"➤",""),"")</f>
        <v/>
      </c>
      <c r="PG39" s="76" t="str">
        <f aca="false">IF($I39&gt;0%,IF(AND(PG$16&gt;=$F39,PG$16&lt;$F39+($G39*$I39)),"➤",""),"")</f>
        <v/>
      </c>
      <c r="PH39" s="76" t="str">
        <f aca="false">IF($I39&gt;0%,IF(AND(PH$16&gt;=$F39,PH$16&lt;$F39+($G39*$I39)),"➤",""),"")</f>
        <v/>
      </c>
      <c r="PI39" s="76" t="str">
        <f aca="false">IF($I39&gt;0%,IF(AND(PI$16&gt;=$F39,PI$16&lt;$F39+($G39*$I39)),"➤",""),"")</f>
        <v/>
      </c>
      <c r="PJ39" s="76" t="str">
        <f aca="false">IF($I39&gt;0%,IF(AND(PJ$16&gt;=$F39,PJ$16&lt;$F39+($G39*$I39)),"➤",""),"")</f>
        <v/>
      </c>
      <c r="PK39" s="76" t="str">
        <f aca="false">IF($I39&gt;0%,IF(AND(PK$16&gt;=$F39,PK$16&lt;$F39+($G39*$I39)),"➤",""),"")</f>
        <v/>
      </c>
      <c r="PL39" s="76" t="str">
        <f aca="false">IF($I39&gt;0%,IF(AND(PL$16&gt;=$F39,PL$16&lt;$F39+($G39*$I39)),"➤",""),"")</f>
        <v/>
      </c>
      <c r="PM39" s="76" t="str">
        <f aca="false">IF($I39&gt;0%,IF(AND(PM$16&gt;=$F39,PM$16&lt;$F39+($G39*$I39)),"➤",""),"")</f>
        <v/>
      </c>
      <c r="PN39" s="76" t="str">
        <f aca="false">IF($I39&gt;0%,IF(AND(PN$16&gt;=$F39,PN$16&lt;$F39+($G39*$I39)),"➤",""),"")</f>
        <v/>
      </c>
      <c r="PO39" s="76" t="str">
        <f aca="false">IF($I39&gt;0%,IF(AND(PO$16&gt;=$F39,PO$16&lt;$F39+($G39*$I39)),"➤",""),"")</f>
        <v/>
      </c>
      <c r="PP39" s="76" t="str">
        <f aca="false">IF($I39&gt;0%,IF(AND(PP$16&gt;=$F39,PP$16&lt;$F39+($G39*$I39)),"➤",""),"")</f>
        <v/>
      </c>
      <c r="PQ39" s="76" t="str">
        <f aca="false">IF($I39&gt;0%,IF(AND(PQ$16&gt;=$F39,PQ$16&lt;$F39+($G39*$I39)),"➤",""),"")</f>
        <v/>
      </c>
      <c r="PR39" s="76" t="str">
        <f aca="false">IF($I39&gt;0%,IF(AND(PR$16&gt;=$F39,PR$16&lt;$F39+($G39*$I39)),"➤",""),"")</f>
        <v/>
      </c>
      <c r="PS39" s="76" t="str">
        <f aca="false">IF($I39&gt;0%,IF(AND(PS$16&gt;=$F39,PS$16&lt;$F39+($G39*$I39)),"➤",""),"")</f>
        <v/>
      </c>
      <c r="PT39" s="76" t="str">
        <f aca="false">IF($I39&gt;0%,IF(AND(PT$16&gt;=$F39,PT$16&lt;$F39+($G39*$I39)),"➤",""),"")</f>
        <v/>
      </c>
      <c r="PU39" s="76" t="str">
        <f aca="false">IF($I39&gt;0%,IF(AND(PU$16&gt;=$F39,PU$16&lt;$F39+($G39*$I39)),"➤",""),"")</f>
        <v/>
      </c>
      <c r="PV39" s="76" t="str">
        <f aca="false">IF($I39&gt;0%,IF(AND(PV$16&gt;=$F39,PV$16&lt;$F39+($G39*$I39)),"➤",""),"")</f>
        <v/>
      </c>
      <c r="PW39" s="76" t="str">
        <f aca="false">IF($I39&gt;0%,IF(AND(PW$16&gt;=$F39,PW$16&lt;$F39+($G39*$I39)),"➤",""),"")</f>
        <v/>
      </c>
      <c r="PX39" s="76" t="str">
        <f aca="false">IF($I39&gt;0%,IF(AND(PX$16&gt;=$F39,PX$16&lt;$F39+($G39*$I39)),"➤",""),"")</f>
        <v/>
      </c>
      <c r="PY39" s="76" t="str">
        <f aca="false">IF($I39&gt;0%,IF(AND(PY$16&gt;=$F39,PY$16&lt;$F39+($G39*$I39)),"➤",""),"")</f>
        <v/>
      </c>
      <c r="PZ39" s="76" t="str">
        <f aca="false">IF($I39&gt;0%,IF(AND(PZ$16&gt;=$F39,PZ$16&lt;$F39+($G39*$I39)),"➤",""),"")</f>
        <v/>
      </c>
      <c r="QA39" s="76" t="str">
        <f aca="false">IF($I39&gt;0%,IF(AND(QA$16&gt;=$F39,QA$16&lt;$F39+($G39*$I39)),"➤",""),"")</f>
        <v/>
      </c>
      <c r="QB39" s="76" t="str">
        <f aca="false">IF($I39&gt;0%,IF(AND(QB$16&gt;=$F39,QB$16&lt;$F39+($G39*$I39)),"➤",""),"")</f>
        <v/>
      </c>
      <c r="QC39" s="76" t="str">
        <f aca="false">IF($I39&gt;0%,IF(AND(QC$16&gt;=$F39,QC$16&lt;$F39+($G39*$I39)),"➤",""),"")</f>
        <v/>
      </c>
      <c r="QD39" s="76" t="str">
        <f aca="false">IF($I39&gt;0%,IF(AND(QD$16&gt;=$F39,QD$16&lt;$F39+($G39*$I39)),"➤",""),"")</f>
        <v/>
      </c>
      <c r="QE39" s="76" t="str">
        <f aca="false">IF($I39&gt;0%,IF(AND(QE$16&gt;=$F39,QE$16&lt;$F39+($G39*$I39)),"➤",""),"")</f>
        <v/>
      </c>
      <c r="QF39" s="76" t="str">
        <f aca="false">IF($I39&gt;0%,IF(AND(QF$16&gt;=$F39,QF$16&lt;$F39+($G39*$I39)),"➤",""),"")</f>
        <v/>
      </c>
      <c r="QG39" s="76" t="str">
        <f aca="false">IF($I39&gt;0%,IF(AND(QG$16&gt;=$F39,QG$16&lt;$F39+($G39*$I39)),"➤",""),"")</f>
        <v/>
      </c>
      <c r="QH39" s="76" t="str">
        <f aca="false">IF($I39&gt;0%,IF(AND(QH$16&gt;=$F39,QH$16&lt;$F39+($G39*$I39)),"➤",""),"")</f>
        <v/>
      </c>
      <c r="QI39" s="76" t="str">
        <f aca="false">IF($I39&gt;0%,IF(AND(QI$16&gt;=$F39,QI$16&lt;$F39+($G39*$I39)),"➤",""),"")</f>
        <v/>
      </c>
      <c r="QJ39" s="76" t="str">
        <f aca="false">IF($I39&gt;0%,IF(AND(QJ$16&gt;=$F39,QJ$16&lt;$F39+($G39*$I39)),"➤",""),"")</f>
        <v/>
      </c>
      <c r="QK39" s="76" t="str">
        <f aca="false">IF($I39&gt;0%,IF(AND(QK$16&gt;=$F39,QK$16&lt;$F39+($G39*$I39)),"➤",""),"")</f>
        <v/>
      </c>
      <c r="QL39" s="76" t="str">
        <f aca="false">IF($I39&gt;0%,IF(AND(QL$16&gt;=$F39,QL$16&lt;$F39+($G39*$I39)),"➤",""),"")</f>
        <v/>
      </c>
      <c r="QM39" s="76" t="str">
        <f aca="false">IF($I39&gt;0%,IF(AND(QM$16&gt;=$F39,QM$16&lt;$F39+($G39*$I39)),"➤",""),"")</f>
        <v/>
      </c>
      <c r="QN39" s="76" t="str">
        <f aca="false">IF($I39&gt;0%,IF(AND(QN$16&gt;=$F39,QN$16&lt;$F39+($G39*$I39)),"➤",""),"")</f>
        <v/>
      </c>
      <c r="QO39" s="76" t="str">
        <f aca="false">IF($I39&gt;0%,IF(AND(QO$16&gt;=$F39,QO$16&lt;$F39+($G39*$I39)),"➤",""),"")</f>
        <v/>
      </c>
      <c r="QP39" s="76" t="str">
        <f aca="false">IF($I39&gt;0%,IF(AND(QP$16&gt;=$F39,QP$16&lt;$F39+($G39*$I39)),"➤",""),"")</f>
        <v/>
      </c>
      <c r="QQ39" s="76" t="str">
        <f aca="false">IF($I39&gt;0%,IF(AND(QQ$16&gt;=$F39,QQ$16&lt;$F39+($G39*$I39)),"➤",""),"")</f>
        <v/>
      </c>
      <c r="QR39" s="76" t="str">
        <f aca="false">IF($I39&gt;0%,IF(AND(QR$16&gt;=$F39,QR$16&lt;$F39+($G39*$I39)),"➤",""),"")</f>
        <v/>
      </c>
      <c r="QS39" s="76" t="str">
        <f aca="false">IF($I39&gt;0%,IF(AND(QS$16&gt;=$F39,QS$16&lt;$F39+($G39*$I39)),"➤",""),"")</f>
        <v/>
      </c>
      <c r="QT39" s="76" t="str">
        <f aca="false">IF($I39&gt;0%,IF(AND(QT$16&gt;=$F39,QT$16&lt;$F39+($G39*$I39)),"➤",""),"")</f>
        <v/>
      </c>
      <c r="QU39" s="76" t="str">
        <f aca="false">IF($I39&gt;0%,IF(AND(QU$16&gt;=$F39,QU$16&lt;$F39+($G39*$I39)),"➤",""),"")</f>
        <v/>
      </c>
      <c r="QV39" s="76" t="str">
        <f aca="false">IF($I39&gt;0%,IF(AND(QV$16&gt;=$F39,QV$16&lt;$F39+($G39*$I39)),"➤",""),"")</f>
        <v/>
      </c>
      <c r="QW39" s="76" t="str">
        <f aca="false">IF($I39&gt;0%,IF(AND(QW$16&gt;=$F39,QW$16&lt;$F39+($G39*$I39)),"➤",""),"")</f>
        <v/>
      </c>
      <c r="QX39" s="76" t="str">
        <f aca="false">IF($I39&gt;0%,IF(AND(QX$16&gt;=$F39,QX$16&lt;$F39+($G39*$I39)),"➤",""),"")</f>
        <v/>
      </c>
      <c r="QY39" s="76" t="str">
        <f aca="false">IF($I39&gt;0%,IF(AND(QY$16&gt;=$F39,QY$16&lt;$F39+($G39*$I39)),"➤",""),"")</f>
        <v/>
      </c>
      <c r="QZ39" s="76" t="str">
        <f aca="false">IF($I39&gt;0%,IF(AND(QZ$16&gt;=$F39,QZ$16&lt;$F39+($G39*$I39)),"➤",""),"")</f>
        <v/>
      </c>
      <c r="RA39" s="76" t="str">
        <f aca="false">IF($I39&gt;0%,IF(AND(RA$16&gt;=$F39,RA$16&lt;$F39+($G39*$I39)),"➤",""),"")</f>
        <v/>
      </c>
      <c r="RB39" s="76" t="str">
        <f aca="false">IF($I39&gt;0%,IF(AND(RB$16&gt;=$F39,RB$16&lt;$F39+($G39*$I39)),"➤",""),"")</f>
        <v/>
      </c>
      <c r="RC39" s="76" t="str">
        <f aca="false">IF($I39&gt;0%,IF(AND(RC$16&gt;=$F39,RC$16&lt;$F39+($G39*$I39)),"➤",""),"")</f>
        <v/>
      </c>
      <c r="RD39" s="76" t="str">
        <f aca="false">IF($I39&gt;0%,IF(AND(RD$16&gt;=$F39,RD$16&lt;$F39+($G39*$I39)),"➤",""),"")</f>
        <v/>
      </c>
      <c r="RE39" s="76" t="str">
        <f aca="false">IF($I39&gt;0%,IF(AND(RE$16&gt;=$F39,RE$16&lt;$F39+($G39*$I39)),"➤",""),"")</f>
        <v/>
      </c>
      <c r="RF39" s="76" t="str">
        <f aca="false">IF($I39&gt;0%,IF(AND(RF$16&gt;=$F39,RF$16&lt;$F39+($G39*$I39)),"➤",""),"")</f>
        <v/>
      </c>
      <c r="RG39" s="76" t="str">
        <f aca="false">IF($I39&gt;0%,IF(AND(RG$16&gt;=$F39,RG$16&lt;$F39+($G39*$I39)),"➤",""),"")</f>
        <v/>
      </c>
      <c r="RH39" s="76" t="str">
        <f aca="false">IF($I39&gt;0%,IF(AND(RH$16&gt;=$F39,RH$16&lt;$F39+($G39*$I39)),"➤",""),"")</f>
        <v/>
      </c>
      <c r="RI39" s="76" t="str">
        <f aca="false">IF($I39&gt;0%,IF(AND(RI$16&gt;=$F39,RI$16&lt;$F39+($G39*$I39)),"➤",""),"")</f>
        <v/>
      </c>
      <c r="RJ39" s="76" t="str">
        <f aca="false">IF($I39&gt;0%,IF(AND(RJ$16&gt;=$F39,RJ$16&lt;$F39+($G39*$I39)),"➤",""),"")</f>
        <v/>
      </c>
      <c r="RK39" s="76" t="str">
        <f aca="false">IF($I39&gt;0%,IF(AND(RK$16&gt;=$F39,RK$16&lt;$F39+($G39*$I39)),"➤",""),"")</f>
        <v/>
      </c>
      <c r="RL39" s="76" t="str">
        <f aca="false">IF($I39&gt;0%,IF(AND(RL$16&gt;=$F39,RL$16&lt;$F39+($G39*$I39)),"➤",""),"")</f>
        <v/>
      </c>
      <c r="RM39" s="76" t="str">
        <f aca="false">IF($I39&gt;0%,IF(AND(RM$16&gt;=$F39,RM$16&lt;$F39+($G39*$I39)),"➤",""),"")</f>
        <v/>
      </c>
      <c r="RN39" s="76" t="str">
        <f aca="false">IF($I39&gt;0%,IF(AND(RN$16&gt;=$F39,RN$16&lt;$F39+($G39*$I39)),"➤",""),"")</f>
        <v/>
      </c>
      <c r="RO39" s="76" t="str">
        <f aca="false">IF($I39&gt;0%,IF(AND(RO$16&gt;=$F39,RO$16&lt;$F39+($G39*$I39)),"➤",""),"")</f>
        <v/>
      </c>
      <c r="RP39" s="76" t="str">
        <f aca="false">IF($I39&gt;0%,IF(AND(RP$16&gt;=$F39,RP$16&lt;$F39+($G39*$I39)),"➤",""),"")</f>
        <v/>
      </c>
      <c r="RQ39" s="76" t="str">
        <f aca="false">IF($I39&gt;0%,IF(AND(RQ$16&gt;=$F39,RQ$16&lt;$F39+($G39*$I39)),"➤",""),"")</f>
        <v/>
      </c>
      <c r="RR39" s="76" t="str">
        <f aca="false">IF($I39&gt;0%,IF(AND(RR$16&gt;=$F39,RR$16&lt;$F39+($G39*$I39)),"➤",""),"")</f>
        <v/>
      </c>
      <c r="RS39" s="76" t="str">
        <f aca="false">IF($I39&gt;0%,IF(AND(RS$16&gt;=$F39,RS$16&lt;$F39+($G39*$I39)),"➤",""),"")</f>
        <v/>
      </c>
      <c r="RT39" s="76" t="str">
        <f aca="false">IF($I39&gt;0%,IF(AND(RT$16&gt;=$F39,RT$16&lt;$F39+($G39*$I39)),"➤",""),"")</f>
        <v/>
      </c>
      <c r="RU39" s="76" t="str">
        <f aca="false">IF($I39&gt;0%,IF(AND(RU$16&gt;=$F39,RU$16&lt;$F39+($G39*$I39)),"➤",""),"")</f>
        <v/>
      </c>
      <c r="RV39" s="76" t="str">
        <f aca="false">IF($I39&gt;0%,IF(AND(RV$16&gt;=$F39,RV$16&lt;$F39+($G39*$I39)),"➤",""),"")</f>
        <v/>
      </c>
      <c r="RW39" s="76" t="str">
        <f aca="false">IF($I39&gt;0%,IF(AND(RW$16&gt;=$F39,RW$16&lt;$F39+($G39*$I39)),"➤",""),"")</f>
        <v/>
      </c>
      <c r="RX39" s="76" t="str">
        <f aca="false">IF($I39&gt;0%,IF(AND(RX$16&gt;=$F39,RX$16&lt;$F39+($G39*$I39)),"➤",""),"")</f>
        <v/>
      </c>
      <c r="RY39" s="76" t="str">
        <f aca="false">IF($I39&gt;0%,IF(AND(RY$16&gt;=$F39,RY$16&lt;$F39+($G39*$I39)),"➤",""),"")</f>
        <v/>
      </c>
      <c r="RZ39" s="76" t="str">
        <f aca="false">IF($I39&gt;0%,IF(AND(RZ$16&gt;=$F39,RZ$16&lt;$F39+($G39*$I39)),"➤",""),"")</f>
        <v/>
      </c>
      <c r="SA39" s="76" t="str">
        <f aca="false">IF($I39&gt;0%,IF(AND(SA$16&gt;=$F39,SA$16&lt;$F39+($G39*$I39)),"➤",""),"")</f>
        <v/>
      </c>
      <c r="SB39" s="76" t="str">
        <f aca="false">IF($I39&gt;0%,IF(AND(SB$16&gt;=$F39,SB$16&lt;$F39+($G39*$I39)),"➤",""),"")</f>
        <v/>
      </c>
      <c r="SC39" s="76" t="str">
        <f aca="false">IF($I39&gt;0%,IF(AND(SC$16&gt;=$F39,SC$16&lt;$F39+($G39*$I39)),"➤",""),"")</f>
        <v/>
      </c>
      <c r="SD39" s="76" t="str">
        <f aca="false">IF($I39&gt;0%,IF(AND(SD$16&gt;=$F39,SD$16&lt;$F39+($G39*$I39)),"➤",""),"")</f>
        <v/>
      </c>
      <c r="SE39" s="76" t="str">
        <f aca="false">IF($I39&gt;0%,IF(AND(SE$16&gt;=$F39,SE$16&lt;$F39+($G39*$I39)),"➤",""),"")</f>
        <v/>
      </c>
      <c r="SF39" s="76" t="str">
        <f aca="false">IF($I39&gt;0%,IF(AND(SF$16&gt;=$F39,SF$16&lt;$F39+($G39*$I39)),"➤",""),"")</f>
        <v/>
      </c>
      <c r="SG39" s="76" t="str">
        <f aca="false">IF($I39&gt;0%,IF(AND(SG$16&gt;=$F39,SG$16&lt;$F39+($G39*$I39)),"➤",""),"")</f>
        <v/>
      </c>
      <c r="SH39" s="76" t="str">
        <f aca="false">IF($I39&gt;0%,IF(AND(SH$16&gt;=$F39,SH$16&lt;$F39+($G39*$I39)),"➤",""),"")</f>
        <v/>
      </c>
      <c r="SI39" s="76" t="str">
        <f aca="false">IF($I39&gt;0%,IF(AND(SI$16&gt;=$F39,SI$16&lt;$F39+($G39*$I39)),"➤",""),"")</f>
        <v/>
      </c>
      <c r="SJ39" s="76" t="str">
        <f aca="false">IF($I39&gt;0%,IF(AND(SJ$16&gt;=$F39,SJ$16&lt;$F39+($G39*$I39)),"➤",""),"")</f>
        <v/>
      </c>
      <c r="SK39" s="76" t="str">
        <f aca="false">IF($I39&gt;0%,IF(AND(SK$16&gt;=$F39,SK$16&lt;$F39+($G39*$I39)),"➤",""),"")</f>
        <v/>
      </c>
      <c r="SL39" s="76" t="str">
        <f aca="false">IF($I39&gt;0%,IF(AND(SL$16&gt;=$F39,SL$16&lt;$F39+($G39*$I39)),"➤",""),"")</f>
        <v/>
      </c>
      <c r="SM39" s="76" t="str">
        <f aca="false">IF($I39&gt;0%,IF(AND(SM$16&gt;=$F39,SM$16&lt;$F39+($G39*$I39)),"➤",""),"")</f>
        <v/>
      </c>
      <c r="SN39" s="76" t="str">
        <f aca="false">IF($I39&gt;0%,IF(AND(SN$16&gt;=$F39,SN$16&lt;$F39+($G39*$I39)),"➤",""),"")</f>
        <v/>
      </c>
      <c r="SO39" s="76" t="str">
        <f aca="false">IF($I39&gt;0%,IF(AND(SO$16&gt;=$F39,SO$16&lt;$F39+($G39*$I39)),"➤",""),"")</f>
        <v/>
      </c>
      <c r="SP39" s="76" t="str">
        <f aca="false">IF($I39&gt;0%,IF(AND(SP$16&gt;=$F39,SP$16&lt;$F39+($G39*$I39)),"➤",""),"")</f>
        <v/>
      </c>
      <c r="SQ39" s="76" t="str">
        <f aca="false">IF($I39&gt;0%,IF(AND(SQ$16&gt;=$F39,SQ$16&lt;$F39+($G39*$I39)),"➤",""),"")</f>
        <v/>
      </c>
      <c r="SR39" s="76" t="str">
        <f aca="false">IF($I39&gt;0%,IF(AND(SR$16&gt;=$F39,SR$16&lt;$F39+($G39*$I39)),"➤",""),"")</f>
        <v/>
      </c>
      <c r="SS39" s="76" t="str">
        <f aca="false">IF($I39&gt;0%,IF(AND(SS$16&gt;=$F39,SS$16&lt;$F39+($G39*$I39)),"➤",""),"")</f>
        <v/>
      </c>
      <c r="ST39" s="76" t="str">
        <f aca="false">IF($I39&gt;0%,IF(AND(ST$16&gt;=$F39,ST$16&lt;$F39+($G39*$I39)),"➤",""),"")</f>
        <v/>
      </c>
      <c r="SU39" s="76" t="str">
        <f aca="false">IF($I39&gt;0%,IF(AND(SU$16&gt;=$F39,SU$16&lt;$F39+($G39*$I39)),"➤",""),"")</f>
        <v/>
      </c>
      <c r="SV39" s="76" t="str">
        <f aca="false">IF($I39&gt;0%,IF(AND(SV$16&gt;=$F39,SV$16&lt;$F39+($G39*$I39)),"➤",""),"")</f>
        <v/>
      </c>
      <c r="SW39" s="77" t="str">
        <f aca="false">IF($I39&gt;0%,IF(AND(SW$16&gt;=$F39,SW$16&lt;$F39+($G39*$I39)),"➤",""),"")</f>
        <v/>
      </c>
    </row>
    <row r="40" customFormat="false" ht="14.25" hidden="false" customHeight="false" outlineLevel="1" collapsed="false">
      <c r="C40" s="10"/>
      <c r="D40" s="78"/>
      <c r="E40" s="79"/>
      <c r="F40" s="97" t="n">
        <v>44157</v>
      </c>
      <c r="G40" s="81" t="n">
        <v>4</v>
      </c>
      <c r="H40" s="96" t="n">
        <f aca="false">(F40+G40)-1</f>
        <v>44160</v>
      </c>
      <c r="I40" s="98" t="n">
        <v>0.5</v>
      </c>
      <c r="J40" s="84"/>
      <c r="K40" s="85"/>
      <c r="L40" s="75" t="str">
        <f aca="false">IF($I40&gt;0%,IF(AND(L$16&gt;=$F40,L$16&lt;$F40+($G40*$I40)),"➤",""),"")</f>
        <v/>
      </c>
      <c r="M40" s="76" t="str">
        <f aca="false">IF($I40&gt;0%,IF(AND(M$16&gt;=$F40,M$16&lt;$F40+($G40*$I40)),"➤",""),"")</f>
        <v/>
      </c>
      <c r="N40" s="76" t="str">
        <f aca="false">IF($I40&gt;0%,IF(AND(N$16&gt;=$F40,N$16&lt;$F40+($G40*$I40)),"➤",""),"")</f>
        <v/>
      </c>
      <c r="O40" s="76" t="str">
        <f aca="false">IF($I40&gt;0%,IF(AND(O$16&gt;=$F40,O$16&lt;$F40+($G40*$I40)),"➤",""),"")</f>
        <v/>
      </c>
      <c r="P40" s="76" t="str">
        <f aca="false">IF($I40&gt;0%,IF(AND(P$16&gt;=$F40,P$16&lt;$F40+($G40*$I40)),"➤",""),"")</f>
        <v/>
      </c>
      <c r="Q40" s="76" t="str">
        <f aca="false">IF($I40&gt;0%,IF(AND(Q$16&gt;=$F40,Q$16&lt;$F40+($G40*$I40)),"➤",""),"")</f>
        <v/>
      </c>
      <c r="R40" s="76" t="str">
        <f aca="false">IF($I40&gt;0%,IF(AND(R$16&gt;=$F40,R$16&lt;$F40+($G40*$I40)),"➤",""),"")</f>
        <v/>
      </c>
      <c r="S40" s="76" t="str">
        <f aca="false">IF($I40&gt;0%,IF(AND(S$16&gt;=$F40,S$16&lt;$F40+($G40*$I40)),"➤",""),"")</f>
        <v/>
      </c>
      <c r="T40" s="76" t="str">
        <f aca="false">IF($I40&gt;0%,IF(AND(T$16&gt;=$F40,T$16&lt;$F40+($G40*$I40)),"➤",""),"")</f>
        <v/>
      </c>
      <c r="U40" s="76" t="str">
        <f aca="false">IF($I40&gt;0%,IF(AND(U$16&gt;=$F40,U$16&lt;$F40+($G40*$I40)),"➤",""),"")</f>
        <v/>
      </c>
      <c r="V40" s="76" t="str">
        <f aca="false">IF($I40&gt;0%,IF(AND(V$16&gt;=$F40,V$16&lt;$F40+($G40*$I40)),"➤",""),"")</f>
        <v/>
      </c>
      <c r="W40" s="76" t="str">
        <f aca="false">IF($I40&gt;0%,IF(AND(W$16&gt;=$F40,W$16&lt;$F40+($G40*$I40)),"➤",""),"")</f>
        <v/>
      </c>
      <c r="X40" s="76" t="str">
        <f aca="false">IF($I40&gt;0%,IF(AND(X$16&gt;=$F40,X$16&lt;$F40+($G40*$I40)),"➤",""),"")</f>
        <v/>
      </c>
      <c r="Y40" s="76" t="str">
        <f aca="false">IF($I40&gt;0%,IF(AND(Y$16&gt;=$F40,Y$16&lt;$F40+($G40*$I40)),"➤",""),"")</f>
        <v/>
      </c>
      <c r="Z40" s="76" t="str">
        <f aca="false">IF($I40&gt;0%,IF(AND(Z$16&gt;=$F40,Z$16&lt;$F40+($G40*$I40)),"➤",""),"")</f>
        <v/>
      </c>
      <c r="AA40" s="76" t="str">
        <f aca="false">IF($I40&gt;0%,IF(AND(AA$16&gt;=$F40,AA$16&lt;$F40+($G40*$I40)),"➤",""),"")</f>
        <v/>
      </c>
      <c r="AB40" s="76" t="str">
        <f aca="false">IF($I40&gt;0%,IF(AND(AB$16&gt;=$F40,AB$16&lt;$F40+($G40*$I40)),"➤",""),"")</f>
        <v/>
      </c>
      <c r="AC40" s="76" t="str">
        <f aca="false">IF($I40&gt;0%,IF(AND(AC$16&gt;=$F40,AC$16&lt;$F40+($G40*$I40)),"➤",""),"")</f>
        <v/>
      </c>
      <c r="AD40" s="76" t="str">
        <f aca="false">IF($I40&gt;0%,IF(AND(AD$16&gt;=$F40,AD$16&lt;$F40+($G40*$I40)),"➤",""),"")</f>
        <v/>
      </c>
      <c r="AE40" s="76" t="str">
        <f aca="false">IF($I40&gt;0%,IF(AND(AE$16&gt;=$F40,AE$16&lt;$F40+($G40*$I40)),"➤",""),"")</f>
        <v/>
      </c>
      <c r="AF40" s="76" t="str">
        <f aca="false">IF($I40&gt;0%,IF(AND(AF$16&gt;=$F40,AF$16&lt;$F40+($G40*$I40)),"➤",""),"")</f>
        <v/>
      </c>
      <c r="AG40" s="76" t="str">
        <f aca="false">IF($I40&gt;0%,IF(AND(AG$16&gt;=$F40,AG$16&lt;$F40+($G40*$I40)),"➤",""),"")</f>
        <v/>
      </c>
      <c r="AH40" s="76" t="str">
        <f aca="false">IF($I40&gt;0%,IF(AND(AH$16&gt;=$F40,AH$16&lt;$F40+($G40*$I40)),"➤",""),"")</f>
        <v/>
      </c>
      <c r="AI40" s="76" t="str">
        <f aca="false">IF($I40&gt;0%,IF(AND(AI$16&gt;=$F40,AI$16&lt;$F40+($G40*$I40)),"➤",""),"")</f>
        <v/>
      </c>
      <c r="AJ40" s="76" t="str">
        <f aca="false">IF($I40&gt;0%,IF(AND(AJ$16&gt;=$F40,AJ$16&lt;$F40+($G40*$I40)),"➤",""),"")</f>
        <v/>
      </c>
      <c r="AK40" s="76" t="str">
        <f aca="false">IF($I40&gt;0%,IF(AND(AK$16&gt;=$F40,AK$16&lt;$F40+($G40*$I40)),"➤",""),"")</f>
        <v/>
      </c>
      <c r="AL40" s="76" t="str">
        <f aca="false">IF($I40&gt;0%,IF(AND(AL$16&gt;=$F40,AL$16&lt;$F40+($G40*$I40)),"➤",""),"")</f>
        <v/>
      </c>
      <c r="AM40" s="76" t="str">
        <f aca="false">IF($I40&gt;0%,IF(AND(AM$16&gt;=$F40,AM$16&lt;$F40+($G40*$I40)),"➤",""),"")</f>
        <v/>
      </c>
      <c r="AN40" s="76" t="str">
        <f aca="false">IF($I40&gt;0%,IF(AND(AN$16&gt;=$F40,AN$16&lt;$F40+($G40*$I40)),"➤",""),"")</f>
        <v/>
      </c>
      <c r="AO40" s="76" t="str">
        <f aca="false">IF($I40&gt;0%,IF(AND(AO$16&gt;=$F40,AO$16&lt;$F40+($G40*$I40)),"➤",""),"")</f>
        <v/>
      </c>
      <c r="AP40" s="76" t="str">
        <f aca="false">IF($I40&gt;0%,IF(AND(AP$16&gt;=$F40,AP$16&lt;$F40+($G40*$I40)),"➤",""),"")</f>
        <v/>
      </c>
      <c r="AQ40" s="76" t="str">
        <f aca="false">IF($I40&gt;0%,IF(AND(AQ$16&gt;=$F40,AQ$16&lt;$F40+($G40*$I40)),"➤",""),"")</f>
        <v/>
      </c>
      <c r="AR40" s="76" t="str">
        <f aca="false">IF($I40&gt;0%,IF(AND(AR$16&gt;=$F40,AR$16&lt;$F40+($G40*$I40)),"➤",""),"")</f>
        <v/>
      </c>
      <c r="AS40" s="76" t="str">
        <f aca="false">IF($I40&gt;0%,IF(AND(AS$16&gt;=$F40,AS$16&lt;$F40+($G40*$I40)),"➤",""),"")</f>
        <v/>
      </c>
      <c r="AT40" s="76" t="str">
        <f aca="false">IF($I40&gt;0%,IF(AND(AT$16&gt;=$F40,AT$16&lt;$F40+($G40*$I40)),"➤",""),"")</f>
        <v/>
      </c>
      <c r="AU40" s="76" t="str">
        <f aca="false">IF($I40&gt;0%,IF(AND(AU$16&gt;=$F40,AU$16&lt;$F40+($G40*$I40)),"➤",""),"")</f>
        <v/>
      </c>
      <c r="AV40" s="76" t="str">
        <f aca="false">IF($I40&gt;0%,IF(AND(AV$16&gt;=$F40,AV$16&lt;$F40+($G40*$I40)),"➤",""),"")</f>
        <v/>
      </c>
      <c r="AW40" s="76" t="str">
        <f aca="false">IF($I40&gt;0%,IF(AND(AW$16&gt;=$F40,AW$16&lt;$F40+($G40*$I40)),"➤",""),"")</f>
        <v/>
      </c>
      <c r="AX40" s="76" t="str">
        <f aca="false">IF($I40&gt;0%,IF(AND(AX$16&gt;=$F40,AX$16&lt;$F40+($G40*$I40)),"➤",""),"")</f>
        <v/>
      </c>
      <c r="AY40" s="76" t="str">
        <f aca="false">IF($I40&gt;0%,IF(AND(AY$16&gt;=$F40,AY$16&lt;$F40+($G40*$I40)),"➤",""),"")</f>
        <v/>
      </c>
      <c r="AZ40" s="76" t="str">
        <f aca="false">IF($I40&gt;0%,IF(AND(AZ$16&gt;=$F40,AZ$16&lt;$F40+($G40*$I40)),"➤",""),"")</f>
        <v/>
      </c>
      <c r="BA40" s="76" t="str">
        <f aca="false">IF($I40&gt;0%,IF(AND(BA$16&gt;=$F40,BA$16&lt;$F40+($G40*$I40)),"➤",""),"")</f>
        <v/>
      </c>
      <c r="BB40" s="76" t="str">
        <f aca="false">IF($I40&gt;0%,IF(AND(BB$16&gt;=$F40,BB$16&lt;$F40+($G40*$I40)),"➤",""),"")</f>
        <v/>
      </c>
      <c r="BC40" s="76" t="str">
        <f aca="false">IF($I40&gt;0%,IF(AND(BC$16&gt;=$F40,BC$16&lt;$F40+($G40*$I40)),"➤",""),"")</f>
        <v/>
      </c>
      <c r="BD40" s="76" t="str">
        <f aca="false">IF($I40&gt;0%,IF(AND(BD$16&gt;=$F40,BD$16&lt;$F40+($G40*$I40)),"➤",""),"")</f>
        <v/>
      </c>
      <c r="BE40" s="76" t="str">
        <f aca="false">IF($I40&gt;0%,IF(AND(BE$16&gt;=$F40,BE$16&lt;$F40+($G40*$I40)),"➤",""),"")</f>
        <v/>
      </c>
      <c r="BF40" s="76" t="str">
        <f aca="false">IF($I40&gt;0%,IF(AND(BF$16&gt;=$F40,BF$16&lt;$F40+($G40*$I40)),"➤",""),"")</f>
        <v/>
      </c>
      <c r="BG40" s="76" t="str">
        <f aca="false">IF($I40&gt;0%,IF(AND(BG$16&gt;=$F40,BG$16&lt;$F40+($G40*$I40)),"➤",""),"")</f>
        <v/>
      </c>
      <c r="BH40" s="76" t="str">
        <f aca="false">IF($I40&gt;0%,IF(AND(BH$16&gt;=$F40,BH$16&lt;$F40+($G40*$I40)),"➤",""),"")</f>
        <v/>
      </c>
      <c r="BI40" s="76" t="str">
        <f aca="false">IF($I40&gt;0%,IF(AND(BI$16&gt;=$F40,BI$16&lt;$F40+($G40*$I40)),"➤",""),"")</f>
        <v/>
      </c>
      <c r="BJ40" s="76" t="str">
        <f aca="false">IF($I40&gt;0%,IF(AND(BJ$16&gt;=$F40,BJ$16&lt;$F40+($G40*$I40)),"➤",""),"")</f>
        <v/>
      </c>
      <c r="BK40" s="76" t="str">
        <f aca="false">IF($I40&gt;0%,IF(AND(BK$16&gt;=$F40,BK$16&lt;$F40+($G40*$I40)),"➤",""),"")</f>
        <v/>
      </c>
      <c r="BL40" s="76" t="str">
        <f aca="false">IF($I40&gt;0%,IF(AND(BL$16&gt;=$F40,BL$16&lt;$F40+($G40*$I40)),"➤",""),"")</f>
        <v/>
      </c>
      <c r="BM40" s="76" t="str">
        <f aca="false">IF($I40&gt;0%,IF(AND(BM$16&gt;=$F40,BM$16&lt;$F40+($G40*$I40)),"➤",""),"")</f>
        <v/>
      </c>
      <c r="BN40" s="76" t="str">
        <f aca="false">IF($I40&gt;0%,IF(AND(BN$16&gt;=$F40,BN$16&lt;$F40+($G40*$I40)),"➤",""),"")</f>
        <v/>
      </c>
      <c r="BO40" s="76" t="str">
        <f aca="false">IF($I40&gt;0%,IF(AND(BO$16&gt;=$F40,BO$16&lt;$F40+($G40*$I40)),"➤",""),"")</f>
        <v/>
      </c>
      <c r="BP40" s="76" t="str">
        <f aca="false">IF($I40&gt;0%,IF(AND(BP$16&gt;=$F40,BP$16&lt;$F40+($G40*$I40)),"➤",""),"")</f>
        <v/>
      </c>
      <c r="BQ40" s="76" t="str">
        <f aca="false">IF($I40&gt;0%,IF(AND(BQ$16&gt;=$F40,BQ$16&lt;$F40+($G40*$I40)),"➤",""),"")</f>
        <v/>
      </c>
      <c r="BR40" s="76" t="str">
        <f aca="false">IF($I40&gt;0%,IF(AND(BR$16&gt;=$F40,BR$16&lt;$F40+($G40*$I40)),"➤",""),"")</f>
        <v/>
      </c>
      <c r="BS40" s="76" t="str">
        <f aca="false">IF($I40&gt;0%,IF(AND(BS$16&gt;=$F40,BS$16&lt;$F40+($G40*$I40)),"➤",""),"")</f>
        <v/>
      </c>
      <c r="BT40" s="76" t="str">
        <f aca="false">IF($I40&gt;0%,IF(AND(BT$16&gt;=$F40,BT$16&lt;$F40+($G40*$I40)),"➤",""),"")</f>
        <v/>
      </c>
      <c r="BU40" s="76" t="str">
        <f aca="false">IF($I40&gt;0%,IF(AND(BU$16&gt;=$F40,BU$16&lt;$F40+($G40*$I40)),"➤",""),"")</f>
        <v/>
      </c>
      <c r="BV40" s="76" t="str">
        <f aca="false">IF($I40&gt;0%,IF(AND(BV$16&gt;=$F40,BV$16&lt;$F40+($G40*$I40)),"➤",""),"")</f>
        <v/>
      </c>
      <c r="BW40" s="76" t="str">
        <f aca="false">IF($I40&gt;0%,IF(AND(BW$16&gt;=$F40,BW$16&lt;$F40+($G40*$I40)),"➤",""),"")</f>
        <v/>
      </c>
      <c r="BX40" s="76" t="str">
        <f aca="false">IF($I40&gt;0%,IF(AND(BX$16&gt;=$F40,BX$16&lt;$F40+($G40*$I40)),"➤",""),"")</f>
        <v/>
      </c>
      <c r="BY40" s="76" t="str">
        <f aca="false">IF($I40&gt;0%,IF(AND(BY$16&gt;=$F40,BY$16&lt;$F40+($G40*$I40)),"➤",""),"")</f>
        <v/>
      </c>
      <c r="BZ40" s="76" t="str">
        <f aca="false">IF($I40&gt;0%,IF(AND(BZ$16&gt;=$F40,BZ$16&lt;$F40+($G40*$I40)),"➤",""),"")</f>
        <v/>
      </c>
      <c r="CA40" s="76" t="str">
        <f aca="false">IF($I40&gt;0%,IF(AND(CA$16&gt;=$F40,CA$16&lt;$F40+($G40*$I40)),"➤",""),"")</f>
        <v/>
      </c>
      <c r="CB40" s="76" t="str">
        <f aca="false">IF($I40&gt;0%,IF(AND(CB$16&gt;=$F40,CB$16&lt;$F40+($G40*$I40)),"➤",""),"")</f>
        <v/>
      </c>
      <c r="CC40" s="76" t="str">
        <f aca="false">IF($I40&gt;0%,IF(AND(CC$16&gt;=$F40,CC$16&lt;$F40+($G40*$I40)),"➤",""),"")</f>
        <v/>
      </c>
      <c r="CD40" s="76" t="str">
        <f aca="false">IF($I40&gt;0%,IF(AND(CD$16&gt;=$F40,CD$16&lt;$F40+($G40*$I40)),"➤",""),"")</f>
        <v/>
      </c>
      <c r="CE40" s="76" t="str">
        <f aca="false">IF($I40&gt;0%,IF(AND(CE$16&gt;=$F40,CE$16&lt;$F40+($G40*$I40)),"➤",""),"")</f>
        <v/>
      </c>
      <c r="CF40" s="76" t="str">
        <f aca="false">IF($I40&gt;0%,IF(AND(CF$16&gt;=$F40,CF$16&lt;$F40+($G40*$I40)),"➤",""),"")</f>
        <v/>
      </c>
      <c r="CG40" s="76" t="str">
        <f aca="false">IF($I40&gt;0%,IF(AND(CG$16&gt;=$F40,CG$16&lt;$F40+($G40*$I40)),"➤",""),"")</f>
        <v/>
      </c>
      <c r="CH40" s="76" t="str">
        <f aca="false">IF($I40&gt;0%,IF(AND(CH$16&gt;=$F40,CH$16&lt;$F40+($G40*$I40)),"➤",""),"")</f>
        <v/>
      </c>
      <c r="CI40" s="76" t="str">
        <f aca="false">IF($I40&gt;0%,IF(AND(CI$16&gt;=$F40,CI$16&lt;$F40+($G40*$I40)),"➤",""),"")</f>
        <v/>
      </c>
      <c r="CJ40" s="76" t="str">
        <f aca="false">IF($I40&gt;0%,IF(AND(CJ$16&gt;=$F40,CJ$16&lt;$F40+($G40*$I40)),"➤",""),"")</f>
        <v/>
      </c>
      <c r="CK40" s="76" t="str">
        <f aca="false">IF($I40&gt;0%,IF(AND(CK$16&gt;=$F40,CK$16&lt;$F40+($G40*$I40)),"➤",""),"")</f>
        <v/>
      </c>
      <c r="CL40" s="76" t="str">
        <f aca="false">IF($I40&gt;0%,IF(AND(CL$16&gt;=$F40,CL$16&lt;$F40+($G40*$I40)),"➤",""),"")</f>
        <v/>
      </c>
      <c r="CM40" s="76" t="str">
        <f aca="false">IF($I40&gt;0%,IF(AND(CM$16&gt;=$F40,CM$16&lt;$F40+($G40*$I40)),"➤",""),"")</f>
        <v/>
      </c>
      <c r="CN40" s="76" t="str">
        <f aca="false">IF($I40&gt;0%,IF(AND(CN$16&gt;=$F40,CN$16&lt;$F40+($G40*$I40)),"➤",""),"")</f>
        <v/>
      </c>
      <c r="CO40" s="76" t="str">
        <f aca="false">IF($I40&gt;0%,IF(AND(CO$16&gt;=$F40,CO$16&lt;$F40+($G40*$I40)),"➤",""),"")</f>
        <v/>
      </c>
      <c r="CP40" s="76" t="str">
        <f aca="false">IF($I40&gt;0%,IF(AND(CP$16&gt;=$F40,CP$16&lt;$F40+($G40*$I40)),"➤",""),"")</f>
        <v/>
      </c>
      <c r="CQ40" s="76" t="str">
        <f aca="false">IF($I40&gt;0%,IF(AND(CQ$16&gt;=$F40,CQ$16&lt;$F40+($G40*$I40)),"➤",""),"")</f>
        <v/>
      </c>
      <c r="CR40" s="76" t="str">
        <f aca="false">IF($I40&gt;0%,IF(AND(CR$16&gt;=$F40,CR$16&lt;$F40+($G40*$I40)),"➤",""),"")</f>
        <v/>
      </c>
      <c r="CS40" s="76" t="str">
        <f aca="false">IF($I40&gt;0%,IF(AND(CS$16&gt;=$F40,CS$16&lt;$F40+($G40*$I40)),"➤",""),"")</f>
        <v/>
      </c>
      <c r="CT40" s="76" t="str">
        <f aca="false">IF($I40&gt;0%,IF(AND(CT$16&gt;=$F40,CT$16&lt;$F40+($G40*$I40)),"➤",""),"")</f>
        <v/>
      </c>
      <c r="CU40" s="76" t="str">
        <f aca="false">IF($I40&gt;0%,IF(AND(CU$16&gt;=$F40,CU$16&lt;$F40+($G40*$I40)),"➤",""),"")</f>
        <v/>
      </c>
      <c r="CV40" s="76" t="str">
        <f aca="false">IF($I40&gt;0%,IF(AND(CV$16&gt;=$F40,CV$16&lt;$F40+($G40*$I40)),"➤",""),"")</f>
        <v/>
      </c>
      <c r="CW40" s="76" t="str">
        <f aca="false">IF($I40&gt;0%,IF(AND(CW$16&gt;=$F40,CW$16&lt;$F40+($G40*$I40)),"➤",""),"")</f>
        <v/>
      </c>
      <c r="CX40" s="76" t="str">
        <f aca="false">IF($I40&gt;0%,IF(AND(CX$16&gt;=$F40,CX$16&lt;$F40+($G40*$I40)),"➤",""),"")</f>
        <v/>
      </c>
      <c r="CY40" s="76" t="str">
        <f aca="false">IF($I40&gt;0%,IF(AND(CY$16&gt;=$F40,CY$16&lt;$F40+($G40*$I40)),"➤",""),"")</f>
        <v/>
      </c>
      <c r="CZ40" s="76" t="str">
        <f aca="false">IF($I40&gt;0%,IF(AND(CZ$16&gt;=$F40,CZ$16&lt;$F40+($G40*$I40)),"➤",""),"")</f>
        <v/>
      </c>
      <c r="DA40" s="76" t="str">
        <f aca="false">IF($I40&gt;0%,IF(AND(DA$16&gt;=$F40,DA$16&lt;$F40+($G40*$I40)),"➤",""),"")</f>
        <v/>
      </c>
      <c r="DB40" s="76" t="str">
        <f aca="false">IF($I40&gt;0%,IF(AND(DB$16&gt;=$F40,DB$16&lt;$F40+($G40*$I40)),"➤",""),"")</f>
        <v/>
      </c>
      <c r="DC40" s="76" t="str">
        <f aca="false">IF($I40&gt;0%,IF(AND(DC$16&gt;=$F40,DC$16&lt;$F40+($G40*$I40)),"➤",""),"")</f>
        <v/>
      </c>
      <c r="DD40" s="76" t="str">
        <f aca="false">IF($I40&gt;0%,IF(AND(DD$16&gt;=$F40,DD$16&lt;$F40+($G40*$I40)),"➤",""),"")</f>
        <v/>
      </c>
      <c r="DE40" s="76" t="str">
        <f aca="false">IF($I40&gt;0%,IF(AND(DE$16&gt;=$F40,DE$16&lt;$F40+($G40*$I40)),"➤",""),"")</f>
        <v/>
      </c>
      <c r="DF40" s="76" t="str">
        <f aca="false">IF($I40&gt;0%,IF(AND(DF$16&gt;=$F40,DF$16&lt;$F40+($G40*$I40)),"➤",""),"")</f>
        <v/>
      </c>
      <c r="DG40" s="76" t="str">
        <f aca="false">IF($I40&gt;0%,IF(AND(DG$16&gt;=$F40,DG$16&lt;$F40+($G40*$I40)),"➤",""),"")</f>
        <v/>
      </c>
      <c r="DH40" s="76" t="str">
        <f aca="false">IF($I40&gt;0%,IF(AND(DH$16&gt;=$F40,DH$16&lt;$F40+($G40*$I40)),"➤",""),"")</f>
        <v/>
      </c>
      <c r="DI40" s="76" t="str">
        <f aca="false">IF($I40&gt;0%,IF(AND(DI$16&gt;=$F40,DI$16&lt;$F40+($G40*$I40)),"➤",""),"")</f>
        <v/>
      </c>
      <c r="DJ40" s="76" t="str">
        <f aca="false">IF($I40&gt;0%,IF(AND(DJ$16&gt;=$F40,DJ$16&lt;$F40+($G40*$I40)),"➤",""),"")</f>
        <v/>
      </c>
      <c r="DK40" s="76" t="str">
        <f aca="false">IF($I40&gt;0%,IF(AND(DK$16&gt;=$F40,DK$16&lt;$F40+($G40*$I40)),"➤",""),"")</f>
        <v/>
      </c>
      <c r="DL40" s="76" t="str">
        <f aca="false">IF($I40&gt;0%,IF(AND(DL$16&gt;=$F40,DL$16&lt;$F40+($G40*$I40)),"➤",""),"")</f>
        <v/>
      </c>
      <c r="DM40" s="76" t="str">
        <f aca="false">IF($I40&gt;0%,IF(AND(DM$16&gt;=$F40,DM$16&lt;$F40+($G40*$I40)),"➤",""),"")</f>
        <v/>
      </c>
      <c r="DN40" s="76" t="str">
        <f aca="false">IF($I40&gt;0%,IF(AND(DN$16&gt;=$F40,DN$16&lt;$F40+($G40*$I40)),"➤",""),"")</f>
        <v/>
      </c>
      <c r="DO40" s="76" t="str">
        <f aca="false">IF($I40&gt;0%,IF(AND(DO$16&gt;=$F40,DO$16&lt;$F40+($G40*$I40)),"➤",""),"")</f>
        <v/>
      </c>
      <c r="DP40" s="76" t="str">
        <f aca="false">IF($I40&gt;0%,IF(AND(DP$16&gt;=$F40,DP$16&lt;$F40+($G40*$I40)),"➤",""),"")</f>
        <v/>
      </c>
      <c r="DQ40" s="76" t="str">
        <f aca="false">IF($I40&gt;0%,IF(AND(DQ$16&gt;=$F40,DQ$16&lt;$F40+($G40*$I40)),"➤",""),"")</f>
        <v/>
      </c>
      <c r="DR40" s="76" t="str">
        <f aca="false">IF($I40&gt;0%,IF(AND(DR$16&gt;=$F40,DR$16&lt;$F40+($G40*$I40)),"➤",""),"")</f>
        <v/>
      </c>
      <c r="DS40" s="76" t="str">
        <f aca="false">IF($I40&gt;0%,IF(AND(DS$16&gt;=$F40,DS$16&lt;$F40+($G40*$I40)),"➤",""),"")</f>
        <v/>
      </c>
      <c r="DT40" s="76" t="str">
        <f aca="false">IF($I40&gt;0%,IF(AND(DT$16&gt;=$F40,DT$16&lt;$F40+($G40*$I40)),"➤",""),"")</f>
        <v/>
      </c>
      <c r="DU40" s="76" t="str">
        <f aca="false">IF($I40&gt;0%,IF(AND(DU$16&gt;=$F40,DU$16&lt;$F40+($G40*$I40)),"➤",""),"")</f>
        <v/>
      </c>
      <c r="DV40" s="76" t="str">
        <f aca="false">IF($I40&gt;0%,IF(AND(DV$16&gt;=$F40,DV$16&lt;$F40+($G40*$I40)),"➤",""),"")</f>
        <v/>
      </c>
      <c r="DW40" s="76" t="str">
        <f aca="false">IF($I40&gt;0%,IF(AND(DW$16&gt;=$F40,DW$16&lt;$F40+($G40*$I40)),"➤",""),"")</f>
        <v/>
      </c>
      <c r="DX40" s="76" t="str">
        <f aca="false">IF($I40&gt;0%,IF(AND(DX$16&gt;=$F40,DX$16&lt;$F40+($G40*$I40)),"➤",""),"")</f>
        <v/>
      </c>
      <c r="DY40" s="76" t="str">
        <f aca="false">IF($I40&gt;0%,IF(AND(DY$16&gt;=$F40,DY$16&lt;$F40+($G40*$I40)),"➤",""),"")</f>
        <v/>
      </c>
      <c r="DZ40" s="76" t="str">
        <f aca="false">IF($I40&gt;0%,IF(AND(DZ$16&gt;=$F40,DZ$16&lt;$F40+($G40*$I40)),"➤",""),"")</f>
        <v/>
      </c>
      <c r="EA40" s="76" t="str">
        <f aca="false">IF($I40&gt;0%,IF(AND(EA$16&gt;=$F40,EA$16&lt;$F40+($G40*$I40)),"➤",""),"")</f>
        <v/>
      </c>
      <c r="EB40" s="76" t="str">
        <f aca="false">IF($I40&gt;0%,IF(AND(EB$16&gt;=$F40,EB$16&lt;$F40+($G40*$I40)),"➤",""),"")</f>
        <v/>
      </c>
      <c r="EC40" s="76" t="str">
        <f aca="false">IF($I40&gt;0%,IF(AND(EC$16&gt;=$F40,EC$16&lt;$F40+($G40*$I40)),"➤",""),"")</f>
        <v/>
      </c>
      <c r="ED40" s="76" t="str">
        <f aca="false">IF($I40&gt;0%,IF(AND(ED$16&gt;=$F40,ED$16&lt;$F40+($G40*$I40)),"➤",""),"")</f>
        <v/>
      </c>
      <c r="EE40" s="76" t="str">
        <f aca="false">IF($I40&gt;0%,IF(AND(EE$16&gt;=$F40,EE$16&lt;$F40+($G40*$I40)),"➤",""),"")</f>
        <v/>
      </c>
      <c r="EF40" s="76" t="str">
        <f aca="false">IF($I40&gt;0%,IF(AND(EF$16&gt;=$F40,EF$16&lt;$F40+($G40*$I40)),"➤",""),"")</f>
        <v/>
      </c>
      <c r="EG40" s="76" t="str">
        <f aca="false">IF($I40&gt;0%,IF(AND(EG$16&gt;=$F40,EG$16&lt;$F40+($G40*$I40)),"➤",""),"")</f>
        <v/>
      </c>
      <c r="EH40" s="76" t="str">
        <f aca="false">IF($I40&gt;0%,IF(AND(EH$16&gt;=$F40,EH$16&lt;$F40+($G40*$I40)),"➤",""),"")</f>
        <v/>
      </c>
      <c r="EI40" s="76" t="str">
        <f aca="false">IF($I40&gt;0%,IF(AND(EI$16&gt;=$F40,EI$16&lt;$F40+($G40*$I40)),"➤",""),"")</f>
        <v/>
      </c>
      <c r="EJ40" s="76" t="str">
        <f aca="false">IF($I40&gt;0%,IF(AND(EJ$16&gt;=$F40,EJ$16&lt;$F40+($G40*$I40)),"➤",""),"")</f>
        <v/>
      </c>
      <c r="EK40" s="76" t="str">
        <f aca="false">IF($I40&gt;0%,IF(AND(EK$16&gt;=$F40,EK$16&lt;$F40+($G40*$I40)),"➤",""),"")</f>
        <v/>
      </c>
      <c r="EL40" s="76" t="str">
        <f aca="false">IF($I40&gt;0%,IF(AND(EL$16&gt;=$F40,EL$16&lt;$F40+($G40*$I40)),"➤",""),"")</f>
        <v/>
      </c>
      <c r="EM40" s="76" t="str">
        <f aca="false">IF($I40&gt;0%,IF(AND(EM$16&gt;=$F40,EM$16&lt;$F40+($G40*$I40)),"➤",""),"")</f>
        <v/>
      </c>
      <c r="EN40" s="76" t="str">
        <f aca="false">IF($I40&gt;0%,IF(AND(EN$16&gt;=$F40,EN$16&lt;$F40+($G40*$I40)),"➤",""),"")</f>
        <v/>
      </c>
      <c r="EO40" s="76" t="str">
        <f aca="false">IF($I40&gt;0%,IF(AND(EO$16&gt;=$F40,EO$16&lt;$F40+($G40*$I40)),"➤",""),"")</f>
        <v/>
      </c>
      <c r="EP40" s="76" t="str">
        <f aca="false">IF($I40&gt;0%,IF(AND(EP$16&gt;=$F40,EP$16&lt;$F40+($G40*$I40)),"➤",""),"")</f>
        <v/>
      </c>
      <c r="EQ40" s="76" t="str">
        <f aca="false">IF($I40&gt;0%,IF(AND(EQ$16&gt;=$F40,EQ$16&lt;$F40+($G40*$I40)),"➤",""),"")</f>
        <v/>
      </c>
      <c r="ER40" s="76" t="str">
        <f aca="false">IF($I40&gt;0%,IF(AND(ER$16&gt;=$F40,ER$16&lt;$F40+($G40*$I40)),"➤",""),"")</f>
        <v/>
      </c>
      <c r="ES40" s="76" t="str">
        <f aca="false">IF($I40&gt;0%,IF(AND(ES$16&gt;=$F40,ES$16&lt;$F40+($G40*$I40)),"➤",""),"")</f>
        <v/>
      </c>
      <c r="ET40" s="76" t="str">
        <f aca="false">IF($I40&gt;0%,IF(AND(ET$16&gt;=$F40,ET$16&lt;$F40+($G40*$I40)),"➤",""),"")</f>
        <v/>
      </c>
      <c r="EU40" s="76" t="str">
        <f aca="false">IF($I40&gt;0%,IF(AND(EU$16&gt;=$F40,EU$16&lt;$F40+($G40*$I40)),"➤",""),"")</f>
        <v/>
      </c>
      <c r="EV40" s="76" t="str">
        <f aca="false">IF($I40&gt;0%,IF(AND(EV$16&gt;=$F40,EV$16&lt;$F40+($G40*$I40)),"➤",""),"")</f>
        <v/>
      </c>
      <c r="EW40" s="76" t="str">
        <f aca="false">IF($I40&gt;0%,IF(AND(EW$16&gt;=$F40,EW$16&lt;$F40+($G40*$I40)),"➤",""),"")</f>
        <v/>
      </c>
      <c r="EX40" s="76" t="str">
        <f aca="false">IF($I40&gt;0%,IF(AND(EX$16&gt;=$F40,EX$16&lt;$F40+($G40*$I40)),"➤",""),"")</f>
        <v/>
      </c>
      <c r="EY40" s="76" t="str">
        <f aca="false">IF($I40&gt;0%,IF(AND(EY$16&gt;=$F40,EY$16&lt;$F40+($G40*$I40)),"➤",""),"")</f>
        <v/>
      </c>
      <c r="EZ40" s="76" t="str">
        <f aca="false">IF($I40&gt;0%,IF(AND(EZ$16&gt;=$F40,EZ$16&lt;$F40+($G40*$I40)),"➤",""),"")</f>
        <v/>
      </c>
      <c r="FA40" s="76" t="str">
        <f aca="false">IF($I40&gt;0%,IF(AND(FA$16&gt;=$F40,FA$16&lt;$F40+($G40*$I40)),"➤",""),"")</f>
        <v/>
      </c>
      <c r="FB40" s="76" t="str">
        <f aca="false">IF($I40&gt;0%,IF(AND(FB$16&gt;=$F40,FB$16&lt;$F40+($G40*$I40)),"➤",""),"")</f>
        <v/>
      </c>
      <c r="FC40" s="76" t="str">
        <f aca="false">IF($I40&gt;0%,IF(AND(FC$16&gt;=$F40,FC$16&lt;$F40+($G40*$I40)),"➤",""),"")</f>
        <v/>
      </c>
      <c r="FD40" s="76" t="str">
        <f aca="false">IF($I40&gt;0%,IF(AND(FD$16&gt;=$F40,FD$16&lt;$F40+($G40*$I40)),"➤",""),"")</f>
        <v/>
      </c>
      <c r="FE40" s="76" t="str">
        <f aca="false">IF($I40&gt;0%,IF(AND(FE$16&gt;=$F40,FE$16&lt;$F40+($G40*$I40)),"➤",""),"")</f>
        <v/>
      </c>
      <c r="FF40" s="76" t="str">
        <f aca="false">IF($I40&gt;0%,IF(AND(FF$16&gt;=$F40,FF$16&lt;$F40+($G40*$I40)),"➤",""),"")</f>
        <v/>
      </c>
      <c r="FG40" s="76" t="str">
        <f aca="false">IF($I40&gt;0%,IF(AND(FG$16&gt;=$F40,FG$16&lt;$F40+($G40*$I40)),"➤",""),"")</f>
        <v/>
      </c>
      <c r="FH40" s="76" t="str">
        <f aca="false">IF($I40&gt;0%,IF(AND(FH$16&gt;=$F40,FH$16&lt;$F40+($G40*$I40)),"➤",""),"")</f>
        <v/>
      </c>
      <c r="FI40" s="76" t="str">
        <f aca="false">IF($I40&gt;0%,IF(AND(FI$16&gt;=$F40,FI$16&lt;$F40+($G40*$I40)),"➤",""),"")</f>
        <v/>
      </c>
      <c r="FJ40" s="76" t="str">
        <f aca="false">IF($I40&gt;0%,IF(AND(FJ$16&gt;=$F40,FJ$16&lt;$F40+($G40*$I40)),"➤",""),"")</f>
        <v/>
      </c>
      <c r="FK40" s="76" t="str">
        <f aca="false">IF($I40&gt;0%,IF(AND(FK$16&gt;=$F40,FK$16&lt;$F40+($G40*$I40)),"➤",""),"")</f>
        <v/>
      </c>
      <c r="FL40" s="76" t="str">
        <f aca="false">IF($I40&gt;0%,IF(AND(FL$16&gt;=$F40,FL$16&lt;$F40+($G40*$I40)),"➤",""),"")</f>
        <v/>
      </c>
      <c r="FM40" s="76" t="str">
        <f aca="false">IF($I40&gt;0%,IF(AND(FM$16&gt;=$F40,FM$16&lt;$F40+($G40*$I40)),"➤",""),"")</f>
        <v/>
      </c>
      <c r="FN40" s="76" t="str">
        <f aca="false">IF($I40&gt;0%,IF(AND(FN$16&gt;=$F40,FN$16&lt;$F40+($G40*$I40)),"➤",""),"")</f>
        <v/>
      </c>
      <c r="FO40" s="76" t="str">
        <f aca="false">IF($I40&gt;0%,IF(AND(FO$16&gt;=$F40,FO$16&lt;$F40+($G40*$I40)),"➤",""),"")</f>
        <v/>
      </c>
      <c r="FP40" s="76" t="str">
        <f aca="false">IF($I40&gt;0%,IF(AND(FP$16&gt;=$F40,FP$16&lt;$F40+($G40*$I40)),"➤",""),"")</f>
        <v/>
      </c>
      <c r="FQ40" s="76" t="str">
        <f aca="false">IF($I40&gt;0%,IF(AND(FQ$16&gt;=$F40,FQ$16&lt;$F40+($G40*$I40)),"➤",""),"")</f>
        <v/>
      </c>
      <c r="FR40" s="76" t="str">
        <f aca="false">IF($I40&gt;0%,IF(AND(FR$16&gt;=$F40,FR$16&lt;$F40+($G40*$I40)),"➤",""),"")</f>
        <v/>
      </c>
      <c r="FS40" s="76" t="str">
        <f aca="false">IF($I40&gt;0%,IF(AND(FS$16&gt;=$F40,FS$16&lt;$F40+($G40*$I40)),"➤",""),"")</f>
        <v/>
      </c>
      <c r="FT40" s="76" t="str">
        <f aca="false">IF($I40&gt;0%,IF(AND(FT$16&gt;=$F40,FT$16&lt;$F40+($G40*$I40)),"➤",""),"")</f>
        <v/>
      </c>
      <c r="FU40" s="76" t="str">
        <f aca="false">IF($I40&gt;0%,IF(AND(FU$16&gt;=$F40,FU$16&lt;$F40+($G40*$I40)),"➤",""),"")</f>
        <v/>
      </c>
      <c r="FV40" s="76" t="str">
        <f aca="false">IF($I40&gt;0%,IF(AND(FV$16&gt;=$F40,FV$16&lt;$F40+($G40*$I40)),"➤",""),"")</f>
        <v/>
      </c>
      <c r="FW40" s="76" t="str">
        <f aca="false">IF($I40&gt;0%,IF(AND(FW$16&gt;=$F40,FW$16&lt;$F40+($G40*$I40)),"➤",""),"")</f>
        <v/>
      </c>
      <c r="FX40" s="76" t="str">
        <f aca="false">IF($I40&gt;0%,IF(AND(FX$16&gt;=$F40,FX$16&lt;$F40+($G40*$I40)),"➤",""),"")</f>
        <v/>
      </c>
      <c r="FY40" s="76" t="str">
        <f aca="false">IF($I40&gt;0%,IF(AND(FY$16&gt;=$F40,FY$16&lt;$F40+($G40*$I40)),"➤",""),"")</f>
        <v/>
      </c>
      <c r="FZ40" s="76" t="str">
        <f aca="false">IF($I40&gt;0%,IF(AND(FZ$16&gt;=$F40,FZ$16&lt;$F40+($G40*$I40)),"➤",""),"")</f>
        <v/>
      </c>
      <c r="GA40" s="76" t="str">
        <f aca="false">IF($I40&gt;0%,IF(AND(GA$16&gt;=$F40,GA$16&lt;$F40+($G40*$I40)),"➤",""),"")</f>
        <v/>
      </c>
      <c r="GB40" s="76" t="str">
        <f aca="false">IF($I40&gt;0%,IF(AND(GB$16&gt;=$F40,GB$16&lt;$F40+($G40*$I40)),"➤",""),"")</f>
        <v/>
      </c>
      <c r="GC40" s="76" t="str">
        <f aca="false">IF($I40&gt;0%,IF(AND(GC$16&gt;=$F40,GC$16&lt;$F40+($G40*$I40)),"➤",""),"")</f>
        <v/>
      </c>
      <c r="GD40" s="76" t="str">
        <f aca="false">IF($I40&gt;0%,IF(AND(GD$16&gt;=$F40,GD$16&lt;$F40+($G40*$I40)),"➤",""),"")</f>
        <v/>
      </c>
      <c r="GE40" s="76" t="str">
        <f aca="false">IF($I40&gt;0%,IF(AND(GE$16&gt;=$F40,GE$16&lt;$F40+($G40*$I40)),"➤",""),"")</f>
        <v/>
      </c>
      <c r="GF40" s="76" t="str">
        <f aca="false">IF($I40&gt;0%,IF(AND(GF$16&gt;=$F40,GF$16&lt;$F40+($G40*$I40)),"➤",""),"")</f>
        <v/>
      </c>
      <c r="GG40" s="76" t="str">
        <f aca="false">IF($I40&gt;0%,IF(AND(GG$16&gt;=$F40,GG$16&lt;$F40+($G40*$I40)),"➤",""),"")</f>
        <v/>
      </c>
      <c r="GH40" s="76" t="str">
        <f aca="false">IF($I40&gt;0%,IF(AND(GH$16&gt;=$F40,GH$16&lt;$F40+($G40*$I40)),"➤",""),"")</f>
        <v/>
      </c>
      <c r="GI40" s="76" t="str">
        <f aca="false">IF($I40&gt;0%,IF(AND(GI$16&gt;=$F40,GI$16&lt;$F40+($G40*$I40)),"➤",""),"")</f>
        <v/>
      </c>
      <c r="GJ40" s="76" t="str">
        <f aca="false">IF($I40&gt;0%,IF(AND(GJ$16&gt;=$F40,GJ$16&lt;$F40+($G40*$I40)),"➤",""),"")</f>
        <v/>
      </c>
      <c r="GK40" s="76" t="str">
        <f aca="false">IF($I40&gt;0%,IF(AND(GK$16&gt;=$F40,GK$16&lt;$F40+($G40*$I40)),"➤",""),"")</f>
        <v/>
      </c>
      <c r="GL40" s="76" t="str">
        <f aca="false">IF($I40&gt;0%,IF(AND(GL$16&gt;=$F40,GL$16&lt;$F40+($G40*$I40)),"➤",""),"")</f>
        <v/>
      </c>
      <c r="GM40" s="76" t="str">
        <f aca="false">IF($I40&gt;0%,IF(AND(GM$16&gt;=$F40,GM$16&lt;$F40+($G40*$I40)),"➤",""),"")</f>
        <v/>
      </c>
      <c r="GN40" s="76" t="str">
        <f aca="false">IF($I40&gt;0%,IF(AND(GN$16&gt;=$F40,GN$16&lt;$F40+($G40*$I40)),"➤",""),"")</f>
        <v/>
      </c>
      <c r="GO40" s="76" t="str">
        <f aca="false">IF($I40&gt;0%,IF(AND(GO$16&gt;=$F40,GO$16&lt;$F40+($G40*$I40)),"➤",""),"")</f>
        <v/>
      </c>
      <c r="GP40" s="76" t="str">
        <f aca="false">IF($I40&gt;0%,IF(AND(GP$16&gt;=$F40,GP$16&lt;$F40+($G40*$I40)),"➤",""),"")</f>
        <v/>
      </c>
      <c r="GQ40" s="76" t="str">
        <f aca="false">IF($I40&gt;0%,IF(AND(GQ$16&gt;=$F40,GQ$16&lt;$F40+($G40*$I40)),"➤",""),"")</f>
        <v/>
      </c>
      <c r="GR40" s="76" t="str">
        <f aca="false">IF($I40&gt;0%,IF(AND(GR$16&gt;=$F40,GR$16&lt;$F40+($G40*$I40)),"➤",""),"")</f>
        <v/>
      </c>
      <c r="GS40" s="76" t="str">
        <f aca="false">IF($I40&gt;0%,IF(AND(GS$16&gt;=$F40,GS$16&lt;$F40+($G40*$I40)),"➤",""),"")</f>
        <v/>
      </c>
      <c r="GT40" s="76" t="str">
        <f aca="false">IF($I40&gt;0%,IF(AND(GT$16&gt;=$F40,GT$16&lt;$F40+($G40*$I40)),"➤",""),"")</f>
        <v/>
      </c>
      <c r="GU40" s="76" t="str">
        <f aca="false">IF($I40&gt;0%,IF(AND(GU$16&gt;=$F40,GU$16&lt;$F40+($G40*$I40)),"➤",""),"")</f>
        <v/>
      </c>
      <c r="GV40" s="76" t="str">
        <f aca="false">IF($I40&gt;0%,IF(AND(GV$16&gt;=$F40,GV$16&lt;$F40+($G40*$I40)),"➤",""),"")</f>
        <v/>
      </c>
      <c r="GW40" s="76" t="str">
        <f aca="false">IF($I40&gt;0%,IF(AND(GW$16&gt;=$F40,GW$16&lt;$F40+($G40*$I40)),"➤",""),"")</f>
        <v/>
      </c>
      <c r="GX40" s="76" t="str">
        <f aca="false">IF($I40&gt;0%,IF(AND(GX$16&gt;=$F40,GX$16&lt;$F40+($G40*$I40)),"➤",""),"")</f>
        <v/>
      </c>
      <c r="GY40" s="76" t="str">
        <f aca="false">IF($I40&gt;0%,IF(AND(GY$16&gt;=$F40,GY$16&lt;$F40+($G40*$I40)),"➤",""),"")</f>
        <v/>
      </c>
      <c r="GZ40" s="76" t="str">
        <f aca="false">IF($I40&gt;0%,IF(AND(GZ$16&gt;=$F40,GZ$16&lt;$F40+($G40*$I40)),"➤",""),"")</f>
        <v/>
      </c>
      <c r="HA40" s="76" t="str">
        <f aca="false">IF($I40&gt;0%,IF(AND(HA$16&gt;=$F40,HA$16&lt;$F40+($G40*$I40)),"➤",""),"")</f>
        <v/>
      </c>
      <c r="HB40" s="76" t="str">
        <f aca="false">IF($I40&gt;0%,IF(AND(HB$16&gt;=$F40,HB$16&lt;$F40+($G40*$I40)),"➤",""),"")</f>
        <v/>
      </c>
      <c r="HC40" s="76" t="str">
        <f aca="false">IF($I40&gt;0%,IF(AND(HC$16&gt;=$F40,HC$16&lt;$F40+($G40*$I40)),"➤",""),"")</f>
        <v/>
      </c>
      <c r="HD40" s="76" t="str">
        <f aca="false">IF($I40&gt;0%,IF(AND(HD$16&gt;=$F40,HD$16&lt;$F40+($G40*$I40)),"➤",""),"")</f>
        <v/>
      </c>
      <c r="HE40" s="76" t="str">
        <f aca="false">IF($I40&gt;0%,IF(AND(HE$16&gt;=$F40,HE$16&lt;$F40+($G40*$I40)),"➤",""),"")</f>
        <v/>
      </c>
      <c r="HF40" s="76" t="str">
        <f aca="false">IF($I40&gt;0%,IF(AND(HF$16&gt;=$F40,HF$16&lt;$F40+($G40*$I40)),"➤",""),"")</f>
        <v/>
      </c>
      <c r="HG40" s="76" t="str">
        <f aca="false">IF($I40&gt;0%,IF(AND(HG$16&gt;=$F40,HG$16&lt;$F40+($G40*$I40)),"➤",""),"")</f>
        <v/>
      </c>
      <c r="HH40" s="76" t="str">
        <f aca="false">IF($I40&gt;0%,IF(AND(HH$16&gt;=$F40,HH$16&lt;$F40+($G40*$I40)),"➤",""),"")</f>
        <v/>
      </c>
      <c r="HI40" s="76" t="str">
        <f aca="false">IF($I40&gt;0%,IF(AND(HI$16&gt;=$F40,HI$16&lt;$F40+($G40*$I40)),"➤",""),"")</f>
        <v/>
      </c>
      <c r="HJ40" s="76" t="str">
        <f aca="false">IF($I40&gt;0%,IF(AND(HJ$16&gt;=$F40,HJ$16&lt;$F40+($G40*$I40)),"➤",""),"")</f>
        <v/>
      </c>
      <c r="HK40" s="76" t="str">
        <f aca="false">IF($I40&gt;0%,IF(AND(HK$16&gt;=$F40,HK$16&lt;$F40+($G40*$I40)),"➤",""),"")</f>
        <v/>
      </c>
      <c r="HL40" s="76" t="str">
        <f aca="false">IF($I40&gt;0%,IF(AND(HL$16&gt;=$F40,HL$16&lt;$F40+($G40*$I40)),"➤",""),"")</f>
        <v/>
      </c>
      <c r="HM40" s="76" t="str">
        <f aca="false">IF($I40&gt;0%,IF(AND(HM$16&gt;=$F40,HM$16&lt;$F40+($G40*$I40)),"➤",""),"")</f>
        <v/>
      </c>
      <c r="HN40" s="76" t="str">
        <f aca="false">IF($I40&gt;0%,IF(AND(HN$16&gt;=$F40,HN$16&lt;$F40+($G40*$I40)),"➤",""),"")</f>
        <v/>
      </c>
      <c r="HO40" s="76" t="str">
        <f aca="false">IF($I40&gt;0%,IF(AND(HO$16&gt;=$F40,HO$16&lt;$F40+($G40*$I40)),"➤",""),"")</f>
        <v/>
      </c>
      <c r="HP40" s="76" t="str">
        <f aca="false">IF($I40&gt;0%,IF(AND(HP$16&gt;=$F40,HP$16&lt;$F40+($G40*$I40)),"➤",""),"")</f>
        <v/>
      </c>
      <c r="HQ40" s="76" t="str">
        <f aca="false">IF($I40&gt;0%,IF(AND(HQ$16&gt;=$F40,HQ$16&lt;$F40+($G40*$I40)),"➤",""),"")</f>
        <v/>
      </c>
      <c r="HR40" s="76" t="str">
        <f aca="false">IF($I40&gt;0%,IF(AND(HR$16&gt;=$F40,HR$16&lt;$F40+($G40*$I40)),"➤",""),"")</f>
        <v/>
      </c>
      <c r="HS40" s="76" t="str">
        <f aca="false">IF($I40&gt;0%,IF(AND(HS$16&gt;=$F40,HS$16&lt;$F40+($G40*$I40)),"➤",""),"")</f>
        <v/>
      </c>
      <c r="HT40" s="76" t="str">
        <f aca="false">IF($I40&gt;0%,IF(AND(HT$16&gt;=$F40,HT$16&lt;$F40+($G40*$I40)),"➤",""),"")</f>
        <v/>
      </c>
      <c r="HU40" s="76" t="str">
        <f aca="false">IF($I40&gt;0%,IF(AND(HU$16&gt;=$F40,HU$16&lt;$F40+($G40*$I40)),"➤",""),"")</f>
        <v/>
      </c>
      <c r="HV40" s="76" t="str">
        <f aca="false">IF($I40&gt;0%,IF(AND(HV$16&gt;=$F40,HV$16&lt;$F40+($G40*$I40)),"➤",""),"")</f>
        <v/>
      </c>
      <c r="HW40" s="76" t="str">
        <f aca="false">IF($I40&gt;0%,IF(AND(HW$16&gt;=$F40,HW$16&lt;$F40+($G40*$I40)),"➤",""),"")</f>
        <v/>
      </c>
      <c r="HX40" s="76" t="str">
        <f aca="false">IF($I40&gt;0%,IF(AND(HX$16&gt;=$F40,HX$16&lt;$F40+($G40*$I40)),"➤",""),"")</f>
        <v/>
      </c>
      <c r="HY40" s="76" t="str">
        <f aca="false">IF($I40&gt;0%,IF(AND(HY$16&gt;=$F40,HY$16&lt;$F40+($G40*$I40)),"➤",""),"")</f>
        <v/>
      </c>
      <c r="HZ40" s="76" t="str">
        <f aca="false">IF($I40&gt;0%,IF(AND(HZ$16&gt;=$F40,HZ$16&lt;$F40+($G40*$I40)),"➤",""),"")</f>
        <v/>
      </c>
      <c r="IA40" s="76" t="str">
        <f aca="false">IF($I40&gt;0%,IF(AND(IA$16&gt;=$F40,IA$16&lt;$F40+($G40*$I40)),"➤",""),"")</f>
        <v/>
      </c>
      <c r="IB40" s="76" t="str">
        <f aca="false">IF($I40&gt;0%,IF(AND(IB$16&gt;=$F40,IB$16&lt;$F40+($G40*$I40)),"➤",""),"")</f>
        <v/>
      </c>
      <c r="IC40" s="76" t="str">
        <f aca="false">IF($I40&gt;0%,IF(AND(IC$16&gt;=$F40,IC$16&lt;$F40+($G40*$I40)),"➤",""),"")</f>
        <v/>
      </c>
      <c r="ID40" s="76" t="str">
        <f aca="false">IF($I40&gt;0%,IF(AND(ID$16&gt;=$F40,ID$16&lt;$F40+($G40*$I40)),"➤",""),"")</f>
        <v/>
      </c>
      <c r="IE40" s="76" t="str">
        <f aca="false">IF($I40&gt;0%,IF(AND(IE$16&gt;=$F40,IE$16&lt;$F40+($G40*$I40)),"➤",""),"")</f>
        <v/>
      </c>
      <c r="IF40" s="76" t="str">
        <f aca="false">IF($I40&gt;0%,IF(AND(IF$16&gt;=$F40,IF$16&lt;$F40+($G40*$I40)),"➤",""),"")</f>
        <v/>
      </c>
      <c r="IG40" s="76" t="str">
        <f aca="false">IF($I40&gt;0%,IF(AND(IG$16&gt;=$F40,IG$16&lt;$F40+($G40*$I40)),"➤",""),"")</f>
        <v/>
      </c>
      <c r="IH40" s="76" t="str">
        <f aca="false">IF($I40&gt;0%,IF(AND(IH$16&gt;=$F40,IH$16&lt;$F40+($G40*$I40)),"➤",""),"")</f>
        <v/>
      </c>
      <c r="II40" s="76" t="str">
        <f aca="false">IF($I40&gt;0%,IF(AND(II$16&gt;=$F40,II$16&lt;$F40+($G40*$I40)),"➤",""),"")</f>
        <v/>
      </c>
      <c r="IJ40" s="76" t="str">
        <f aca="false">IF($I40&gt;0%,IF(AND(IJ$16&gt;=$F40,IJ$16&lt;$F40+($G40*$I40)),"➤",""),"")</f>
        <v/>
      </c>
      <c r="IK40" s="76" t="str">
        <f aca="false">IF($I40&gt;0%,IF(AND(IK$16&gt;=$F40,IK$16&lt;$F40+($G40*$I40)),"➤",""),"")</f>
        <v/>
      </c>
      <c r="IL40" s="76" t="str">
        <f aca="false">IF($I40&gt;0%,IF(AND(IL$16&gt;=$F40,IL$16&lt;$F40+($G40*$I40)),"➤",""),"")</f>
        <v/>
      </c>
      <c r="IM40" s="76" t="str">
        <f aca="false">IF($I40&gt;0%,IF(AND(IM$16&gt;=$F40,IM$16&lt;$F40+($G40*$I40)),"➤",""),"")</f>
        <v/>
      </c>
      <c r="IN40" s="76" t="str">
        <f aca="false">IF($I40&gt;0%,IF(AND(IN$16&gt;=$F40,IN$16&lt;$F40+($G40*$I40)),"➤",""),"")</f>
        <v/>
      </c>
      <c r="IO40" s="76" t="str">
        <f aca="false">IF($I40&gt;0%,IF(AND(IO$16&gt;=$F40,IO$16&lt;$F40+($G40*$I40)),"➤",""),"")</f>
        <v/>
      </c>
      <c r="IP40" s="76" t="str">
        <f aca="false">IF($I40&gt;0%,IF(AND(IP$16&gt;=$F40,IP$16&lt;$F40+($G40*$I40)),"➤",""),"")</f>
        <v/>
      </c>
      <c r="IQ40" s="76" t="str">
        <f aca="false">IF($I40&gt;0%,IF(AND(IQ$16&gt;=$F40,IQ$16&lt;$F40+($G40*$I40)),"➤",""),"")</f>
        <v/>
      </c>
      <c r="IR40" s="76" t="str">
        <f aca="false">IF($I40&gt;0%,IF(AND(IR$16&gt;=$F40,IR$16&lt;$F40+($G40*$I40)),"➤",""),"")</f>
        <v/>
      </c>
      <c r="IS40" s="76" t="str">
        <f aca="false">IF($I40&gt;0%,IF(AND(IS$16&gt;=$F40,IS$16&lt;$F40+($G40*$I40)),"➤",""),"")</f>
        <v/>
      </c>
      <c r="IT40" s="76" t="str">
        <f aca="false">IF($I40&gt;0%,IF(AND(IT$16&gt;=$F40,IT$16&lt;$F40+($G40*$I40)),"➤",""),"")</f>
        <v/>
      </c>
      <c r="IU40" s="76" t="str">
        <f aca="false">IF($I40&gt;0%,IF(AND(IU$16&gt;=$F40,IU$16&lt;$F40+($G40*$I40)),"➤",""),"")</f>
        <v/>
      </c>
      <c r="IV40" s="76" t="str">
        <f aca="false">IF($I40&gt;0%,IF(AND(IV$16&gt;=$F40,IV$16&lt;$F40+($G40*$I40)),"➤",""),"")</f>
        <v/>
      </c>
      <c r="IW40" s="76" t="str">
        <f aca="false">IF($I40&gt;0%,IF(AND(IW$16&gt;=$F40,IW$16&lt;$F40+($G40*$I40)),"➤",""),"")</f>
        <v/>
      </c>
      <c r="IX40" s="76" t="str">
        <f aca="false">IF($I40&gt;0%,IF(AND(IX$16&gt;=$F40,IX$16&lt;$F40+($G40*$I40)),"➤",""),"")</f>
        <v/>
      </c>
      <c r="IY40" s="76" t="str">
        <f aca="false">IF($I40&gt;0%,IF(AND(IY$16&gt;=$F40,IY$16&lt;$F40+($G40*$I40)),"➤",""),"")</f>
        <v/>
      </c>
      <c r="IZ40" s="76" t="str">
        <f aca="false">IF($I40&gt;0%,IF(AND(IZ$16&gt;=$F40,IZ$16&lt;$F40+($G40*$I40)),"➤",""),"")</f>
        <v/>
      </c>
      <c r="JA40" s="76" t="str">
        <f aca="false">IF($I40&gt;0%,IF(AND(JA$16&gt;=$F40,JA$16&lt;$F40+($G40*$I40)),"➤",""),"")</f>
        <v/>
      </c>
      <c r="JB40" s="76" t="str">
        <f aca="false">IF($I40&gt;0%,IF(AND(JB$16&gt;=$F40,JB$16&lt;$F40+($G40*$I40)),"➤",""),"")</f>
        <v/>
      </c>
      <c r="JC40" s="76" t="str">
        <f aca="false">IF($I40&gt;0%,IF(AND(JC$16&gt;=$F40,JC$16&lt;$F40+($G40*$I40)),"➤",""),"")</f>
        <v/>
      </c>
      <c r="JD40" s="76" t="str">
        <f aca="false">IF($I40&gt;0%,IF(AND(JD$16&gt;=$F40,JD$16&lt;$F40+($G40*$I40)),"➤",""),"")</f>
        <v/>
      </c>
      <c r="JE40" s="76" t="str">
        <f aca="false">IF($I40&gt;0%,IF(AND(JE$16&gt;=$F40,JE$16&lt;$F40+($G40*$I40)),"➤",""),"")</f>
        <v/>
      </c>
      <c r="JF40" s="76" t="str">
        <f aca="false">IF($I40&gt;0%,IF(AND(JF$16&gt;=$F40,JF$16&lt;$F40+($G40*$I40)),"➤",""),"")</f>
        <v/>
      </c>
      <c r="JG40" s="76" t="str">
        <f aca="false">IF($I40&gt;0%,IF(AND(JG$16&gt;=$F40,JG$16&lt;$F40+($G40*$I40)),"➤",""),"")</f>
        <v/>
      </c>
      <c r="JH40" s="76" t="str">
        <f aca="false">IF($I40&gt;0%,IF(AND(JH$16&gt;=$F40,JH$16&lt;$F40+($G40*$I40)),"➤",""),"")</f>
        <v/>
      </c>
      <c r="JI40" s="76" t="str">
        <f aca="false">IF($I40&gt;0%,IF(AND(JI$16&gt;=$F40,JI$16&lt;$F40+($G40*$I40)),"➤",""),"")</f>
        <v/>
      </c>
      <c r="JJ40" s="76" t="str">
        <f aca="false">IF($I40&gt;0%,IF(AND(JJ$16&gt;=$F40,JJ$16&lt;$F40+($G40*$I40)),"➤",""),"")</f>
        <v/>
      </c>
      <c r="JK40" s="76" t="str">
        <f aca="false">IF($I40&gt;0%,IF(AND(JK$16&gt;=$F40,JK$16&lt;$F40+($G40*$I40)),"➤",""),"")</f>
        <v/>
      </c>
      <c r="JL40" s="76" t="str">
        <f aca="false">IF($I40&gt;0%,IF(AND(JL$16&gt;=$F40,JL$16&lt;$F40+($G40*$I40)),"➤",""),"")</f>
        <v/>
      </c>
      <c r="JM40" s="76" t="str">
        <f aca="false">IF($I40&gt;0%,IF(AND(JM$16&gt;=$F40,JM$16&lt;$F40+($G40*$I40)),"➤",""),"")</f>
        <v/>
      </c>
      <c r="JN40" s="76" t="str">
        <f aca="false">IF($I40&gt;0%,IF(AND(JN$16&gt;=$F40,JN$16&lt;$F40+($G40*$I40)),"➤",""),"")</f>
        <v/>
      </c>
      <c r="JO40" s="76" t="str">
        <f aca="false">IF($I40&gt;0%,IF(AND(JO$16&gt;=$F40,JO$16&lt;$F40+($G40*$I40)),"➤",""),"")</f>
        <v/>
      </c>
      <c r="JP40" s="76" t="str">
        <f aca="false">IF($I40&gt;0%,IF(AND(JP$16&gt;=$F40,JP$16&lt;$F40+($G40*$I40)),"➤",""),"")</f>
        <v/>
      </c>
      <c r="JQ40" s="76" t="str">
        <f aca="false">IF($I40&gt;0%,IF(AND(JQ$16&gt;=$F40,JQ$16&lt;$F40+($G40*$I40)),"➤",""),"")</f>
        <v/>
      </c>
      <c r="JR40" s="76" t="str">
        <f aca="false">IF($I40&gt;0%,IF(AND(JR$16&gt;=$F40,JR$16&lt;$F40+($G40*$I40)),"➤",""),"")</f>
        <v/>
      </c>
      <c r="JS40" s="76" t="str">
        <f aca="false">IF($I40&gt;0%,IF(AND(JS$16&gt;=$F40,JS$16&lt;$F40+($G40*$I40)),"➤",""),"")</f>
        <v/>
      </c>
      <c r="JT40" s="76" t="str">
        <f aca="false">IF($I40&gt;0%,IF(AND(JT$16&gt;=$F40,JT$16&lt;$F40+($G40*$I40)),"➤",""),"")</f>
        <v/>
      </c>
      <c r="JU40" s="76" t="str">
        <f aca="false">IF($I40&gt;0%,IF(AND(JU$16&gt;=$F40,JU$16&lt;$F40+($G40*$I40)),"➤",""),"")</f>
        <v/>
      </c>
      <c r="JV40" s="76" t="str">
        <f aca="false">IF($I40&gt;0%,IF(AND(JV$16&gt;=$F40,JV$16&lt;$F40+($G40*$I40)),"➤",""),"")</f>
        <v/>
      </c>
      <c r="JW40" s="76" t="str">
        <f aca="false">IF($I40&gt;0%,IF(AND(JW$16&gt;=$F40,JW$16&lt;$F40+($G40*$I40)),"➤",""),"")</f>
        <v/>
      </c>
      <c r="JX40" s="76" t="str">
        <f aca="false">IF($I40&gt;0%,IF(AND(JX$16&gt;=$F40,JX$16&lt;$F40+($G40*$I40)),"➤",""),"")</f>
        <v/>
      </c>
      <c r="JY40" s="76" t="str">
        <f aca="false">IF($I40&gt;0%,IF(AND(JY$16&gt;=$F40,JY$16&lt;$F40+($G40*$I40)),"➤",""),"")</f>
        <v/>
      </c>
      <c r="JZ40" s="76" t="str">
        <f aca="false">IF($I40&gt;0%,IF(AND(JZ$16&gt;=$F40,JZ$16&lt;$F40+($G40*$I40)),"➤",""),"")</f>
        <v/>
      </c>
      <c r="KA40" s="76" t="str">
        <f aca="false">IF($I40&gt;0%,IF(AND(KA$16&gt;=$F40,KA$16&lt;$F40+($G40*$I40)),"➤",""),"")</f>
        <v/>
      </c>
      <c r="KB40" s="76" t="str">
        <f aca="false">IF($I40&gt;0%,IF(AND(KB$16&gt;=$F40,KB$16&lt;$F40+($G40*$I40)),"➤",""),"")</f>
        <v/>
      </c>
      <c r="KC40" s="76" t="str">
        <f aca="false">IF($I40&gt;0%,IF(AND(KC$16&gt;=$F40,KC$16&lt;$F40+($G40*$I40)),"➤",""),"")</f>
        <v/>
      </c>
      <c r="KD40" s="76" t="str">
        <f aca="false">IF($I40&gt;0%,IF(AND(KD$16&gt;=$F40,KD$16&lt;$F40+($G40*$I40)),"➤",""),"")</f>
        <v/>
      </c>
      <c r="KE40" s="76" t="str">
        <f aca="false">IF($I40&gt;0%,IF(AND(KE$16&gt;=$F40,KE$16&lt;$F40+($G40*$I40)),"➤",""),"")</f>
        <v/>
      </c>
      <c r="KF40" s="76" t="str">
        <f aca="false">IF($I40&gt;0%,IF(AND(KF$16&gt;=$F40,KF$16&lt;$F40+($G40*$I40)),"➤",""),"")</f>
        <v/>
      </c>
      <c r="KG40" s="76" t="str">
        <f aca="false">IF($I40&gt;0%,IF(AND(KG$16&gt;=$F40,KG$16&lt;$F40+($G40*$I40)),"➤",""),"")</f>
        <v/>
      </c>
      <c r="KH40" s="76" t="str">
        <f aca="false">IF($I40&gt;0%,IF(AND(KH$16&gt;=$F40,KH$16&lt;$F40+($G40*$I40)),"➤",""),"")</f>
        <v/>
      </c>
      <c r="KI40" s="76" t="str">
        <f aca="false">IF($I40&gt;0%,IF(AND(KI$16&gt;=$F40,KI$16&lt;$F40+($G40*$I40)),"➤",""),"")</f>
        <v/>
      </c>
      <c r="KJ40" s="76" t="str">
        <f aca="false">IF($I40&gt;0%,IF(AND(KJ$16&gt;=$F40,KJ$16&lt;$F40+($G40*$I40)),"➤",""),"")</f>
        <v/>
      </c>
      <c r="KK40" s="76" t="str">
        <f aca="false">IF($I40&gt;0%,IF(AND(KK$16&gt;=$F40,KK$16&lt;$F40+($G40*$I40)),"➤",""),"")</f>
        <v/>
      </c>
      <c r="KL40" s="76" t="str">
        <f aca="false">IF($I40&gt;0%,IF(AND(KL$16&gt;=$F40,KL$16&lt;$F40+($G40*$I40)),"➤",""),"")</f>
        <v/>
      </c>
      <c r="KM40" s="76" t="str">
        <f aca="false">IF($I40&gt;0%,IF(AND(KM$16&gt;=$F40,KM$16&lt;$F40+($G40*$I40)),"➤",""),"")</f>
        <v/>
      </c>
      <c r="KN40" s="76" t="str">
        <f aca="false">IF($I40&gt;0%,IF(AND(KN$16&gt;=$F40,KN$16&lt;$F40+($G40*$I40)),"➤",""),"")</f>
        <v/>
      </c>
      <c r="KO40" s="76" t="str">
        <f aca="false">IF($I40&gt;0%,IF(AND(KO$16&gt;=$F40,KO$16&lt;$F40+($G40*$I40)),"➤",""),"")</f>
        <v/>
      </c>
      <c r="KP40" s="76" t="str">
        <f aca="false">IF($I40&gt;0%,IF(AND(KP$16&gt;=$F40,KP$16&lt;$F40+($G40*$I40)),"➤",""),"")</f>
        <v/>
      </c>
      <c r="KQ40" s="76" t="str">
        <f aca="false">IF($I40&gt;0%,IF(AND(KQ$16&gt;=$F40,KQ$16&lt;$F40+($G40*$I40)),"➤",""),"")</f>
        <v/>
      </c>
      <c r="KR40" s="76" t="str">
        <f aca="false">IF($I40&gt;0%,IF(AND(KR$16&gt;=$F40,KR$16&lt;$F40+($G40*$I40)),"➤",""),"")</f>
        <v/>
      </c>
      <c r="KS40" s="76" t="str">
        <f aca="false">IF($I40&gt;0%,IF(AND(KS$16&gt;=$F40,KS$16&lt;$F40+($G40*$I40)),"➤",""),"")</f>
        <v/>
      </c>
      <c r="KT40" s="76" t="str">
        <f aca="false">IF($I40&gt;0%,IF(AND(KT$16&gt;=$F40,KT$16&lt;$F40+($G40*$I40)),"➤",""),"")</f>
        <v/>
      </c>
      <c r="KU40" s="76" t="str">
        <f aca="false">IF($I40&gt;0%,IF(AND(KU$16&gt;=$F40,KU$16&lt;$F40+($G40*$I40)),"➤",""),"")</f>
        <v/>
      </c>
      <c r="KV40" s="76" t="str">
        <f aca="false">IF($I40&gt;0%,IF(AND(KV$16&gt;=$F40,KV$16&lt;$F40+($G40*$I40)),"➤",""),"")</f>
        <v/>
      </c>
      <c r="KW40" s="76" t="str">
        <f aca="false">IF($I40&gt;0%,IF(AND(KW$16&gt;=$F40,KW$16&lt;$F40+($G40*$I40)),"➤",""),"")</f>
        <v/>
      </c>
      <c r="KX40" s="76" t="str">
        <f aca="false">IF($I40&gt;0%,IF(AND(KX$16&gt;=$F40,KX$16&lt;$F40+($G40*$I40)),"➤",""),"")</f>
        <v/>
      </c>
      <c r="KY40" s="76" t="str">
        <f aca="false">IF($I40&gt;0%,IF(AND(KY$16&gt;=$F40,KY$16&lt;$F40+($G40*$I40)),"➤",""),"")</f>
        <v/>
      </c>
      <c r="KZ40" s="76" t="str">
        <f aca="false">IF($I40&gt;0%,IF(AND(KZ$16&gt;=$F40,KZ$16&lt;$F40+($G40*$I40)),"➤",""),"")</f>
        <v/>
      </c>
      <c r="LA40" s="76" t="str">
        <f aca="false">IF($I40&gt;0%,IF(AND(LA$16&gt;=$F40,LA$16&lt;$F40+($G40*$I40)),"➤",""),"")</f>
        <v/>
      </c>
      <c r="LB40" s="76" t="str">
        <f aca="false">IF($I40&gt;0%,IF(AND(LB$16&gt;=$F40,LB$16&lt;$F40+($G40*$I40)),"➤",""),"")</f>
        <v/>
      </c>
      <c r="LC40" s="76" t="str">
        <f aca="false">IF($I40&gt;0%,IF(AND(LC$16&gt;=$F40,LC$16&lt;$F40+($G40*$I40)),"➤",""),"")</f>
        <v/>
      </c>
      <c r="LD40" s="76" t="str">
        <f aca="false">IF($I40&gt;0%,IF(AND(LD$16&gt;=$F40,LD$16&lt;$F40+($G40*$I40)),"➤",""),"")</f>
        <v/>
      </c>
      <c r="LE40" s="76" t="str">
        <f aca="false">IF($I40&gt;0%,IF(AND(LE$16&gt;=$F40,LE$16&lt;$F40+($G40*$I40)),"➤",""),"")</f>
        <v/>
      </c>
      <c r="LF40" s="76" t="str">
        <f aca="false">IF($I40&gt;0%,IF(AND(LF$16&gt;=$F40,LF$16&lt;$F40+($G40*$I40)),"➤",""),"")</f>
        <v/>
      </c>
      <c r="LG40" s="76" t="str">
        <f aca="false">IF($I40&gt;0%,IF(AND(LG$16&gt;=$F40,LG$16&lt;$F40+($G40*$I40)),"➤",""),"")</f>
        <v/>
      </c>
      <c r="LH40" s="76" t="str">
        <f aca="false">IF($I40&gt;0%,IF(AND(LH$16&gt;=$F40,LH$16&lt;$F40+($G40*$I40)),"➤",""),"")</f>
        <v/>
      </c>
      <c r="LI40" s="76" t="str">
        <f aca="false">IF($I40&gt;0%,IF(AND(LI$16&gt;=$F40,LI$16&lt;$F40+($G40*$I40)),"➤",""),"")</f>
        <v/>
      </c>
      <c r="LJ40" s="76" t="str">
        <f aca="false">IF($I40&gt;0%,IF(AND(LJ$16&gt;=$F40,LJ$16&lt;$F40+($G40*$I40)),"➤",""),"")</f>
        <v/>
      </c>
      <c r="LK40" s="76" t="str">
        <f aca="false">IF($I40&gt;0%,IF(AND(LK$16&gt;=$F40,LK$16&lt;$F40+($G40*$I40)),"➤",""),"")</f>
        <v/>
      </c>
      <c r="LL40" s="76" t="str">
        <f aca="false">IF($I40&gt;0%,IF(AND(LL$16&gt;=$F40,LL$16&lt;$F40+($G40*$I40)),"➤",""),"")</f>
        <v/>
      </c>
      <c r="LM40" s="76" t="str">
        <f aca="false">IF($I40&gt;0%,IF(AND(LM$16&gt;=$F40,LM$16&lt;$F40+($G40*$I40)),"➤",""),"")</f>
        <v/>
      </c>
      <c r="LN40" s="76" t="str">
        <f aca="false">IF($I40&gt;0%,IF(AND(LN$16&gt;=$F40,LN$16&lt;$F40+($G40*$I40)),"➤",""),"")</f>
        <v/>
      </c>
      <c r="LO40" s="76" t="str">
        <f aca="false">IF($I40&gt;0%,IF(AND(LO$16&gt;=$F40,LO$16&lt;$F40+($G40*$I40)),"➤",""),"")</f>
        <v/>
      </c>
      <c r="LP40" s="76" t="str">
        <f aca="false">IF($I40&gt;0%,IF(AND(LP$16&gt;=$F40,LP$16&lt;$F40+($G40*$I40)),"➤",""),"")</f>
        <v/>
      </c>
      <c r="LQ40" s="76" t="str">
        <f aca="false">IF($I40&gt;0%,IF(AND(LQ$16&gt;=$F40,LQ$16&lt;$F40+($G40*$I40)),"➤",""),"")</f>
        <v/>
      </c>
      <c r="LR40" s="76" t="str">
        <f aca="false">IF($I40&gt;0%,IF(AND(LR$16&gt;=$F40,LR$16&lt;$F40+($G40*$I40)),"➤",""),"")</f>
        <v/>
      </c>
      <c r="LS40" s="76" t="str">
        <f aca="false">IF($I40&gt;0%,IF(AND(LS$16&gt;=$F40,LS$16&lt;$F40+($G40*$I40)),"➤",""),"")</f>
        <v/>
      </c>
      <c r="LT40" s="76" t="str">
        <f aca="false">IF($I40&gt;0%,IF(AND(LT$16&gt;=$F40,LT$16&lt;$F40+($G40*$I40)),"➤",""),"")</f>
        <v/>
      </c>
      <c r="LU40" s="76" t="str">
        <f aca="false">IF($I40&gt;0%,IF(AND(LU$16&gt;=$F40,LU$16&lt;$F40+($G40*$I40)),"➤",""),"")</f>
        <v/>
      </c>
      <c r="LV40" s="76" t="str">
        <f aca="false">IF($I40&gt;0%,IF(AND(LV$16&gt;=$F40,LV$16&lt;$F40+($G40*$I40)),"➤",""),"")</f>
        <v/>
      </c>
      <c r="LW40" s="76" t="str">
        <f aca="false">IF($I40&gt;0%,IF(AND(LW$16&gt;=$F40,LW$16&lt;$F40+($G40*$I40)),"➤",""),"")</f>
        <v/>
      </c>
      <c r="LX40" s="76" t="str">
        <f aca="false">IF($I40&gt;0%,IF(AND(LX$16&gt;=$F40,LX$16&lt;$F40+($G40*$I40)),"➤",""),"")</f>
        <v/>
      </c>
      <c r="LY40" s="76" t="str">
        <f aca="false">IF($I40&gt;0%,IF(AND(LY$16&gt;=$F40,LY$16&lt;$F40+($G40*$I40)),"➤",""),"")</f>
        <v/>
      </c>
      <c r="LZ40" s="76" t="str">
        <f aca="false">IF($I40&gt;0%,IF(AND(LZ$16&gt;=$F40,LZ$16&lt;$F40+($G40*$I40)),"➤",""),"")</f>
        <v/>
      </c>
      <c r="MA40" s="76" t="str">
        <f aca="false">IF($I40&gt;0%,IF(AND(MA$16&gt;=$F40,MA$16&lt;$F40+($G40*$I40)),"➤",""),"")</f>
        <v/>
      </c>
      <c r="MB40" s="76" t="str">
        <f aca="false">IF($I40&gt;0%,IF(AND(MB$16&gt;=$F40,MB$16&lt;$F40+($G40*$I40)),"➤",""),"")</f>
        <v/>
      </c>
      <c r="MC40" s="76" t="str">
        <f aca="false">IF($I40&gt;0%,IF(AND(MC$16&gt;=$F40,MC$16&lt;$F40+($G40*$I40)),"➤",""),"")</f>
        <v/>
      </c>
      <c r="MD40" s="76" t="str">
        <f aca="false">IF($I40&gt;0%,IF(AND(MD$16&gt;=$F40,MD$16&lt;$F40+($G40*$I40)),"➤",""),"")</f>
        <v/>
      </c>
      <c r="ME40" s="76" t="str">
        <f aca="false">IF($I40&gt;0%,IF(AND(ME$16&gt;=$F40,ME$16&lt;$F40+($G40*$I40)),"➤",""),"")</f>
        <v/>
      </c>
      <c r="MF40" s="76" t="str">
        <f aca="false">IF($I40&gt;0%,IF(AND(MF$16&gt;=$F40,MF$16&lt;$F40+($G40*$I40)),"➤",""),"")</f>
        <v/>
      </c>
      <c r="MG40" s="76" t="str">
        <f aca="false">IF($I40&gt;0%,IF(AND(MG$16&gt;=$F40,MG$16&lt;$F40+($G40*$I40)),"➤",""),"")</f>
        <v/>
      </c>
      <c r="MH40" s="76" t="str">
        <f aca="false">IF($I40&gt;0%,IF(AND(MH$16&gt;=$F40,MH$16&lt;$F40+($G40*$I40)),"➤",""),"")</f>
        <v/>
      </c>
      <c r="MI40" s="76" t="str">
        <f aca="false">IF($I40&gt;0%,IF(AND(MI$16&gt;=$F40,MI$16&lt;$F40+($G40*$I40)),"➤",""),"")</f>
        <v/>
      </c>
      <c r="MJ40" s="76" t="str">
        <f aca="false">IF($I40&gt;0%,IF(AND(MJ$16&gt;=$F40,MJ$16&lt;$F40+($G40*$I40)),"➤",""),"")</f>
        <v/>
      </c>
      <c r="MK40" s="76" t="str">
        <f aca="false">IF($I40&gt;0%,IF(AND(MK$16&gt;=$F40,MK$16&lt;$F40+($G40*$I40)),"➤",""),"")</f>
        <v/>
      </c>
      <c r="ML40" s="76" t="str">
        <f aca="false">IF($I40&gt;0%,IF(AND(ML$16&gt;=$F40,ML$16&lt;$F40+($G40*$I40)),"➤",""),"")</f>
        <v/>
      </c>
      <c r="MM40" s="76" t="str">
        <f aca="false">IF($I40&gt;0%,IF(AND(MM$16&gt;=$F40,MM$16&lt;$F40+($G40*$I40)),"➤",""),"")</f>
        <v/>
      </c>
      <c r="MN40" s="76" t="str">
        <f aca="false">IF($I40&gt;0%,IF(AND(MN$16&gt;=$F40,MN$16&lt;$F40+($G40*$I40)),"➤",""),"")</f>
        <v/>
      </c>
      <c r="MO40" s="76" t="str">
        <f aca="false">IF($I40&gt;0%,IF(AND(MO$16&gt;=$F40,MO$16&lt;$F40+($G40*$I40)),"➤",""),"")</f>
        <v/>
      </c>
      <c r="MP40" s="76" t="str">
        <f aca="false">IF($I40&gt;0%,IF(AND(MP$16&gt;=$F40,MP$16&lt;$F40+($G40*$I40)),"➤",""),"")</f>
        <v/>
      </c>
      <c r="MQ40" s="76" t="str">
        <f aca="false">IF($I40&gt;0%,IF(AND(MQ$16&gt;=$F40,MQ$16&lt;$F40+($G40*$I40)),"➤",""),"")</f>
        <v/>
      </c>
      <c r="MR40" s="76" t="str">
        <f aca="false">IF($I40&gt;0%,IF(AND(MR$16&gt;=$F40,MR$16&lt;$F40+($G40*$I40)),"➤",""),"")</f>
        <v/>
      </c>
      <c r="MS40" s="76" t="str">
        <f aca="false">IF($I40&gt;0%,IF(AND(MS$16&gt;=$F40,MS$16&lt;$F40+($G40*$I40)),"➤",""),"")</f>
        <v/>
      </c>
      <c r="MT40" s="76" t="str">
        <f aca="false">IF($I40&gt;0%,IF(AND(MT$16&gt;=$F40,MT$16&lt;$F40+($G40*$I40)),"➤",""),"")</f>
        <v/>
      </c>
      <c r="MU40" s="76" t="str">
        <f aca="false">IF($I40&gt;0%,IF(AND(MU$16&gt;=$F40,MU$16&lt;$F40+($G40*$I40)),"➤",""),"")</f>
        <v/>
      </c>
      <c r="MV40" s="76" t="str">
        <f aca="false">IF($I40&gt;0%,IF(AND(MV$16&gt;=$F40,MV$16&lt;$F40+($G40*$I40)),"➤",""),"")</f>
        <v/>
      </c>
      <c r="MW40" s="76" t="str">
        <f aca="false">IF($I40&gt;0%,IF(AND(MW$16&gt;=$F40,MW$16&lt;$F40+($G40*$I40)),"➤",""),"")</f>
        <v/>
      </c>
      <c r="MX40" s="76" t="str">
        <f aca="false">IF($I40&gt;0%,IF(AND(MX$16&gt;=$F40,MX$16&lt;$F40+($G40*$I40)),"➤",""),"")</f>
        <v/>
      </c>
      <c r="MY40" s="76" t="str">
        <f aca="false">IF($I40&gt;0%,IF(AND(MY$16&gt;=$F40,MY$16&lt;$F40+($G40*$I40)),"➤",""),"")</f>
        <v/>
      </c>
      <c r="MZ40" s="76" t="str">
        <f aca="false">IF($I40&gt;0%,IF(AND(MZ$16&gt;=$F40,MZ$16&lt;$F40+($G40*$I40)),"➤",""),"")</f>
        <v/>
      </c>
      <c r="NA40" s="76" t="str">
        <f aca="false">IF($I40&gt;0%,IF(AND(NA$16&gt;=$F40,NA$16&lt;$F40+($G40*$I40)),"➤",""),"")</f>
        <v/>
      </c>
      <c r="NB40" s="76" t="str">
        <f aca="false">IF($I40&gt;0%,IF(AND(NB$16&gt;=$F40,NB$16&lt;$F40+($G40*$I40)),"➤",""),"")</f>
        <v/>
      </c>
      <c r="NC40" s="76" t="str">
        <f aca="false">IF($I40&gt;0%,IF(AND(NC$16&gt;=$F40,NC$16&lt;$F40+($G40*$I40)),"➤",""),"")</f>
        <v/>
      </c>
      <c r="ND40" s="76" t="str">
        <f aca="false">IF($I40&gt;0%,IF(AND(ND$16&gt;=$F40,ND$16&lt;$F40+($G40*$I40)),"➤",""),"")</f>
        <v/>
      </c>
      <c r="NE40" s="76" t="str">
        <f aca="false">IF($I40&gt;0%,IF(AND(NE$16&gt;=$F40,NE$16&lt;$F40+($G40*$I40)),"➤",""),"")</f>
        <v/>
      </c>
      <c r="NF40" s="76" t="str">
        <f aca="false">IF($I40&gt;0%,IF(AND(NF$16&gt;=$F40,NF$16&lt;$F40+($G40*$I40)),"➤",""),"")</f>
        <v/>
      </c>
      <c r="NG40" s="76" t="str">
        <f aca="false">IF($I40&gt;0%,IF(AND(NG$16&gt;=$F40,NG$16&lt;$F40+($G40*$I40)),"➤",""),"")</f>
        <v/>
      </c>
      <c r="NH40" s="76" t="str">
        <f aca="false">IF($I40&gt;0%,IF(AND(NH$16&gt;=$F40,NH$16&lt;$F40+($G40*$I40)),"➤",""),"")</f>
        <v/>
      </c>
      <c r="NI40" s="76" t="str">
        <f aca="false">IF($I40&gt;0%,IF(AND(NI$16&gt;=$F40,NI$16&lt;$F40+($G40*$I40)),"➤",""),"")</f>
        <v/>
      </c>
      <c r="NJ40" s="76" t="str">
        <f aca="false">IF($I40&gt;0%,IF(AND(NJ$16&gt;=$F40,NJ$16&lt;$F40+($G40*$I40)),"➤",""),"")</f>
        <v/>
      </c>
      <c r="NK40" s="76" t="str">
        <f aca="false">IF($I40&gt;0%,IF(AND(NK$16&gt;=$F40,NK$16&lt;$F40+($G40*$I40)),"➤",""),"")</f>
        <v/>
      </c>
      <c r="NL40" s="76" t="str">
        <f aca="false">IF($I40&gt;0%,IF(AND(NL$16&gt;=$F40,NL$16&lt;$F40+($G40*$I40)),"➤",""),"")</f>
        <v/>
      </c>
      <c r="NM40" s="76" t="str">
        <f aca="false">IF($I40&gt;0%,IF(AND(NM$16&gt;=$F40,NM$16&lt;$F40+($G40*$I40)),"➤",""),"")</f>
        <v/>
      </c>
      <c r="NN40" s="76" t="str">
        <f aca="false">IF($I40&gt;0%,IF(AND(NN$16&gt;=$F40,NN$16&lt;$F40+($G40*$I40)),"➤",""),"")</f>
        <v/>
      </c>
      <c r="NO40" s="76" t="str">
        <f aca="false">IF($I40&gt;0%,IF(AND(NO$16&gt;=$F40,NO$16&lt;$F40+($G40*$I40)),"➤",""),"")</f>
        <v/>
      </c>
      <c r="NP40" s="76" t="str">
        <f aca="false">IF($I40&gt;0%,IF(AND(NP$16&gt;=$F40,NP$16&lt;$F40+($G40*$I40)),"➤",""),"")</f>
        <v/>
      </c>
      <c r="NQ40" s="76" t="str">
        <f aca="false">IF($I40&gt;0%,IF(AND(NQ$16&gt;=$F40,NQ$16&lt;$F40+($G40*$I40)),"➤",""),"")</f>
        <v/>
      </c>
      <c r="NR40" s="76" t="str">
        <f aca="false">IF($I40&gt;0%,IF(AND(NR$16&gt;=$F40,NR$16&lt;$F40+($G40*$I40)),"➤",""),"")</f>
        <v/>
      </c>
      <c r="NS40" s="76" t="str">
        <f aca="false">IF($I40&gt;0%,IF(AND(NS$16&gt;=$F40,NS$16&lt;$F40+($G40*$I40)),"➤",""),"")</f>
        <v/>
      </c>
      <c r="NT40" s="76" t="str">
        <f aca="false">IF($I40&gt;0%,IF(AND(NT$16&gt;=$F40,NT$16&lt;$F40+($G40*$I40)),"➤",""),"")</f>
        <v/>
      </c>
      <c r="NU40" s="76" t="str">
        <f aca="false">IF($I40&gt;0%,IF(AND(NU$16&gt;=$F40,NU$16&lt;$F40+($G40*$I40)),"➤",""),"")</f>
        <v/>
      </c>
      <c r="NV40" s="76" t="str">
        <f aca="false">IF($I40&gt;0%,IF(AND(NV$16&gt;=$F40,NV$16&lt;$F40+($G40*$I40)),"➤",""),"")</f>
        <v/>
      </c>
      <c r="NW40" s="76" t="str">
        <f aca="false">IF($I40&gt;0%,IF(AND(NW$16&gt;=$F40,NW$16&lt;$F40+($G40*$I40)),"➤",""),"")</f>
        <v/>
      </c>
      <c r="NX40" s="76" t="str">
        <f aca="false">IF($I40&gt;0%,IF(AND(NX$16&gt;=$F40,NX$16&lt;$F40+($G40*$I40)),"➤",""),"")</f>
        <v/>
      </c>
      <c r="NY40" s="76" t="str">
        <f aca="false">IF($I40&gt;0%,IF(AND(NY$16&gt;=$F40,NY$16&lt;$F40+($G40*$I40)),"➤",""),"")</f>
        <v/>
      </c>
      <c r="NZ40" s="76" t="str">
        <f aca="false">IF($I40&gt;0%,IF(AND(NZ$16&gt;=$F40,NZ$16&lt;$F40+($G40*$I40)),"➤",""),"")</f>
        <v/>
      </c>
      <c r="OA40" s="76" t="str">
        <f aca="false">IF($I40&gt;0%,IF(AND(OA$16&gt;=$F40,OA$16&lt;$F40+($G40*$I40)),"➤",""),"")</f>
        <v/>
      </c>
      <c r="OB40" s="76" t="str">
        <f aca="false">IF($I40&gt;0%,IF(AND(OB$16&gt;=$F40,OB$16&lt;$F40+($G40*$I40)),"➤",""),"")</f>
        <v/>
      </c>
      <c r="OC40" s="76" t="str">
        <f aca="false">IF($I40&gt;0%,IF(AND(OC$16&gt;=$F40,OC$16&lt;$F40+($G40*$I40)),"➤",""),"")</f>
        <v/>
      </c>
      <c r="OD40" s="76" t="str">
        <f aca="false">IF($I40&gt;0%,IF(AND(OD$16&gt;=$F40,OD$16&lt;$F40+($G40*$I40)),"➤",""),"")</f>
        <v/>
      </c>
      <c r="OE40" s="76" t="str">
        <f aca="false">IF($I40&gt;0%,IF(AND(OE$16&gt;=$F40,OE$16&lt;$F40+($G40*$I40)),"➤",""),"")</f>
        <v/>
      </c>
      <c r="OF40" s="76" t="str">
        <f aca="false">IF($I40&gt;0%,IF(AND(OF$16&gt;=$F40,OF$16&lt;$F40+($G40*$I40)),"➤",""),"")</f>
        <v/>
      </c>
      <c r="OG40" s="76" t="str">
        <f aca="false">IF($I40&gt;0%,IF(AND(OG$16&gt;=$F40,OG$16&lt;$F40+($G40*$I40)),"➤",""),"")</f>
        <v/>
      </c>
      <c r="OH40" s="76" t="str">
        <f aca="false">IF($I40&gt;0%,IF(AND(OH$16&gt;=$F40,OH$16&lt;$F40+($G40*$I40)),"➤",""),"")</f>
        <v/>
      </c>
      <c r="OI40" s="76" t="str">
        <f aca="false">IF($I40&gt;0%,IF(AND(OI$16&gt;=$F40,OI$16&lt;$F40+($G40*$I40)),"➤",""),"")</f>
        <v/>
      </c>
      <c r="OJ40" s="76" t="str">
        <f aca="false">IF($I40&gt;0%,IF(AND(OJ$16&gt;=$F40,OJ$16&lt;$F40+($G40*$I40)),"➤",""),"")</f>
        <v/>
      </c>
      <c r="OK40" s="76" t="str">
        <f aca="false">IF($I40&gt;0%,IF(AND(OK$16&gt;=$F40,OK$16&lt;$F40+($G40*$I40)),"➤",""),"")</f>
        <v/>
      </c>
      <c r="OL40" s="76" t="str">
        <f aca="false">IF($I40&gt;0%,IF(AND(OL$16&gt;=$F40,OL$16&lt;$F40+($G40*$I40)),"➤",""),"")</f>
        <v/>
      </c>
      <c r="OM40" s="76" t="str">
        <f aca="false">IF($I40&gt;0%,IF(AND(OM$16&gt;=$F40,OM$16&lt;$F40+($G40*$I40)),"➤",""),"")</f>
        <v/>
      </c>
      <c r="ON40" s="76" t="str">
        <f aca="false">IF($I40&gt;0%,IF(AND(ON$16&gt;=$F40,ON$16&lt;$F40+($G40*$I40)),"➤",""),"")</f>
        <v/>
      </c>
      <c r="OO40" s="76" t="str">
        <f aca="false">IF($I40&gt;0%,IF(AND(OO$16&gt;=$F40,OO$16&lt;$F40+($G40*$I40)),"➤",""),"")</f>
        <v/>
      </c>
      <c r="OP40" s="76" t="str">
        <f aca="false">IF($I40&gt;0%,IF(AND(OP$16&gt;=$F40,OP$16&lt;$F40+($G40*$I40)),"➤",""),"")</f>
        <v/>
      </c>
      <c r="OQ40" s="76" t="str">
        <f aca="false">IF($I40&gt;0%,IF(AND(OQ$16&gt;=$F40,OQ$16&lt;$F40+($G40*$I40)),"➤",""),"")</f>
        <v/>
      </c>
      <c r="OR40" s="76" t="str">
        <f aca="false">IF($I40&gt;0%,IF(AND(OR$16&gt;=$F40,OR$16&lt;$F40+($G40*$I40)),"➤",""),"")</f>
        <v/>
      </c>
      <c r="OS40" s="76" t="str">
        <f aca="false">IF($I40&gt;0%,IF(AND(OS$16&gt;=$F40,OS$16&lt;$F40+($G40*$I40)),"➤",""),"")</f>
        <v/>
      </c>
      <c r="OT40" s="76" t="str">
        <f aca="false">IF($I40&gt;0%,IF(AND(OT$16&gt;=$F40,OT$16&lt;$F40+($G40*$I40)),"➤",""),"")</f>
        <v/>
      </c>
      <c r="OU40" s="76" t="str">
        <f aca="false">IF($I40&gt;0%,IF(AND(OU$16&gt;=$F40,OU$16&lt;$F40+($G40*$I40)),"➤",""),"")</f>
        <v/>
      </c>
      <c r="OV40" s="76" t="str">
        <f aca="false">IF($I40&gt;0%,IF(AND(OV$16&gt;=$F40,OV$16&lt;$F40+($G40*$I40)),"➤",""),"")</f>
        <v/>
      </c>
      <c r="OW40" s="76" t="str">
        <f aca="false">IF($I40&gt;0%,IF(AND(OW$16&gt;=$F40,OW$16&lt;$F40+($G40*$I40)),"➤",""),"")</f>
        <v/>
      </c>
      <c r="OX40" s="76" t="str">
        <f aca="false">IF($I40&gt;0%,IF(AND(OX$16&gt;=$F40,OX$16&lt;$F40+($G40*$I40)),"➤",""),"")</f>
        <v/>
      </c>
      <c r="OY40" s="76" t="str">
        <f aca="false">IF($I40&gt;0%,IF(AND(OY$16&gt;=$F40,OY$16&lt;$F40+($G40*$I40)),"➤",""),"")</f>
        <v/>
      </c>
      <c r="OZ40" s="76" t="str">
        <f aca="false">IF($I40&gt;0%,IF(AND(OZ$16&gt;=$F40,OZ$16&lt;$F40+($G40*$I40)),"➤",""),"")</f>
        <v/>
      </c>
      <c r="PA40" s="76" t="str">
        <f aca="false">IF($I40&gt;0%,IF(AND(PA$16&gt;=$F40,PA$16&lt;$F40+($G40*$I40)),"➤",""),"")</f>
        <v/>
      </c>
      <c r="PB40" s="76" t="str">
        <f aca="false">IF($I40&gt;0%,IF(AND(PB$16&gt;=$F40,PB$16&lt;$F40+($G40*$I40)),"➤",""),"")</f>
        <v/>
      </c>
      <c r="PC40" s="76" t="str">
        <f aca="false">IF($I40&gt;0%,IF(AND(PC$16&gt;=$F40,PC$16&lt;$F40+($G40*$I40)),"➤",""),"")</f>
        <v/>
      </c>
      <c r="PD40" s="76" t="str">
        <f aca="false">IF($I40&gt;0%,IF(AND(PD$16&gt;=$F40,PD$16&lt;$F40+($G40*$I40)),"➤",""),"")</f>
        <v/>
      </c>
      <c r="PE40" s="76" t="str">
        <f aca="false">IF($I40&gt;0%,IF(AND(PE$16&gt;=$F40,PE$16&lt;$F40+($G40*$I40)),"➤",""),"")</f>
        <v/>
      </c>
      <c r="PF40" s="76" t="str">
        <f aca="false">IF($I40&gt;0%,IF(AND(PF$16&gt;=$F40,PF$16&lt;$F40+($G40*$I40)),"➤",""),"")</f>
        <v/>
      </c>
      <c r="PG40" s="76" t="str">
        <f aca="false">IF($I40&gt;0%,IF(AND(PG$16&gt;=$F40,PG$16&lt;$F40+($G40*$I40)),"➤",""),"")</f>
        <v/>
      </c>
      <c r="PH40" s="76" t="str">
        <f aca="false">IF($I40&gt;0%,IF(AND(PH$16&gt;=$F40,PH$16&lt;$F40+($G40*$I40)),"➤",""),"")</f>
        <v/>
      </c>
      <c r="PI40" s="76" t="str">
        <f aca="false">IF($I40&gt;0%,IF(AND(PI$16&gt;=$F40,PI$16&lt;$F40+($G40*$I40)),"➤",""),"")</f>
        <v/>
      </c>
      <c r="PJ40" s="76" t="str">
        <f aca="false">IF($I40&gt;0%,IF(AND(PJ$16&gt;=$F40,PJ$16&lt;$F40+($G40*$I40)),"➤",""),"")</f>
        <v/>
      </c>
      <c r="PK40" s="76" t="str">
        <f aca="false">IF($I40&gt;0%,IF(AND(PK$16&gt;=$F40,PK$16&lt;$F40+($G40*$I40)),"➤",""),"")</f>
        <v/>
      </c>
      <c r="PL40" s="76" t="str">
        <f aca="false">IF($I40&gt;0%,IF(AND(PL$16&gt;=$F40,PL$16&lt;$F40+($G40*$I40)),"➤",""),"")</f>
        <v/>
      </c>
      <c r="PM40" s="76" t="str">
        <f aca="false">IF($I40&gt;0%,IF(AND(PM$16&gt;=$F40,PM$16&lt;$F40+($G40*$I40)),"➤",""),"")</f>
        <v/>
      </c>
      <c r="PN40" s="76" t="str">
        <f aca="false">IF($I40&gt;0%,IF(AND(PN$16&gt;=$F40,PN$16&lt;$F40+($G40*$I40)),"➤",""),"")</f>
        <v/>
      </c>
      <c r="PO40" s="76" t="str">
        <f aca="false">IF($I40&gt;0%,IF(AND(PO$16&gt;=$F40,PO$16&lt;$F40+($G40*$I40)),"➤",""),"")</f>
        <v/>
      </c>
      <c r="PP40" s="76" t="str">
        <f aca="false">IF($I40&gt;0%,IF(AND(PP$16&gt;=$F40,PP$16&lt;$F40+($G40*$I40)),"➤",""),"")</f>
        <v/>
      </c>
      <c r="PQ40" s="76" t="str">
        <f aca="false">IF($I40&gt;0%,IF(AND(PQ$16&gt;=$F40,PQ$16&lt;$F40+($G40*$I40)),"➤",""),"")</f>
        <v/>
      </c>
      <c r="PR40" s="76" t="str">
        <f aca="false">IF($I40&gt;0%,IF(AND(PR$16&gt;=$F40,PR$16&lt;$F40+($G40*$I40)),"➤",""),"")</f>
        <v/>
      </c>
      <c r="PS40" s="76" t="str">
        <f aca="false">IF($I40&gt;0%,IF(AND(PS$16&gt;=$F40,PS$16&lt;$F40+($G40*$I40)),"➤",""),"")</f>
        <v/>
      </c>
      <c r="PT40" s="76" t="str">
        <f aca="false">IF($I40&gt;0%,IF(AND(PT$16&gt;=$F40,PT$16&lt;$F40+($G40*$I40)),"➤",""),"")</f>
        <v/>
      </c>
      <c r="PU40" s="76" t="str">
        <f aca="false">IF($I40&gt;0%,IF(AND(PU$16&gt;=$F40,PU$16&lt;$F40+($G40*$I40)),"➤",""),"")</f>
        <v/>
      </c>
      <c r="PV40" s="76" t="str">
        <f aca="false">IF($I40&gt;0%,IF(AND(PV$16&gt;=$F40,PV$16&lt;$F40+($G40*$I40)),"➤",""),"")</f>
        <v/>
      </c>
      <c r="PW40" s="76" t="str">
        <f aca="false">IF($I40&gt;0%,IF(AND(PW$16&gt;=$F40,PW$16&lt;$F40+($G40*$I40)),"➤",""),"")</f>
        <v/>
      </c>
      <c r="PX40" s="76" t="str">
        <f aca="false">IF($I40&gt;0%,IF(AND(PX$16&gt;=$F40,PX$16&lt;$F40+($G40*$I40)),"➤",""),"")</f>
        <v/>
      </c>
      <c r="PY40" s="76" t="str">
        <f aca="false">IF($I40&gt;0%,IF(AND(PY$16&gt;=$F40,PY$16&lt;$F40+($G40*$I40)),"➤",""),"")</f>
        <v/>
      </c>
      <c r="PZ40" s="76" t="str">
        <f aca="false">IF($I40&gt;0%,IF(AND(PZ$16&gt;=$F40,PZ$16&lt;$F40+($G40*$I40)),"➤",""),"")</f>
        <v/>
      </c>
      <c r="QA40" s="76" t="str">
        <f aca="false">IF($I40&gt;0%,IF(AND(QA$16&gt;=$F40,QA$16&lt;$F40+($G40*$I40)),"➤",""),"")</f>
        <v/>
      </c>
      <c r="QB40" s="76" t="str">
        <f aca="false">IF($I40&gt;0%,IF(AND(QB$16&gt;=$F40,QB$16&lt;$F40+($G40*$I40)),"➤",""),"")</f>
        <v/>
      </c>
      <c r="QC40" s="76" t="str">
        <f aca="false">IF($I40&gt;0%,IF(AND(QC$16&gt;=$F40,QC$16&lt;$F40+($G40*$I40)),"➤",""),"")</f>
        <v/>
      </c>
      <c r="QD40" s="76" t="str">
        <f aca="false">IF($I40&gt;0%,IF(AND(QD$16&gt;=$F40,QD$16&lt;$F40+($G40*$I40)),"➤",""),"")</f>
        <v/>
      </c>
      <c r="QE40" s="76" t="str">
        <f aca="false">IF($I40&gt;0%,IF(AND(QE$16&gt;=$F40,QE$16&lt;$F40+($G40*$I40)),"➤",""),"")</f>
        <v/>
      </c>
      <c r="QF40" s="76" t="str">
        <f aca="false">IF($I40&gt;0%,IF(AND(QF$16&gt;=$F40,QF$16&lt;$F40+($G40*$I40)),"➤",""),"")</f>
        <v/>
      </c>
      <c r="QG40" s="76" t="str">
        <f aca="false">IF($I40&gt;0%,IF(AND(QG$16&gt;=$F40,QG$16&lt;$F40+($G40*$I40)),"➤",""),"")</f>
        <v/>
      </c>
      <c r="QH40" s="76" t="str">
        <f aca="false">IF($I40&gt;0%,IF(AND(QH$16&gt;=$F40,QH$16&lt;$F40+($G40*$I40)),"➤",""),"")</f>
        <v/>
      </c>
      <c r="QI40" s="76" t="str">
        <f aca="false">IF($I40&gt;0%,IF(AND(QI$16&gt;=$F40,QI$16&lt;$F40+($G40*$I40)),"➤",""),"")</f>
        <v/>
      </c>
      <c r="QJ40" s="76" t="str">
        <f aca="false">IF($I40&gt;0%,IF(AND(QJ$16&gt;=$F40,QJ$16&lt;$F40+($G40*$I40)),"➤",""),"")</f>
        <v/>
      </c>
      <c r="QK40" s="76" t="str">
        <f aca="false">IF($I40&gt;0%,IF(AND(QK$16&gt;=$F40,QK$16&lt;$F40+($G40*$I40)),"➤",""),"")</f>
        <v/>
      </c>
      <c r="QL40" s="76" t="str">
        <f aca="false">IF($I40&gt;0%,IF(AND(QL$16&gt;=$F40,QL$16&lt;$F40+($G40*$I40)),"➤",""),"")</f>
        <v/>
      </c>
      <c r="QM40" s="76" t="str">
        <f aca="false">IF($I40&gt;0%,IF(AND(QM$16&gt;=$F40,QM$16&lt;$F40+($G40*$I40)),"➤",""),"")</f>
        <v/>
      </c>
      <c r="QN40" s="76" t="str">
        <f aca="false">IF($I40&gt;0%,IF(AND(QN$16&gt;=$F40,QN$16&lt;$F40+($G40*$I40)),"➤",""),"")</f>
        <v/>
      </c>
      <c r="QO40" s="76" t="str">
        <f aca="false">IF($I40&gt;0%,IF(AND(QO$16&gt;=$F40,QO$16&lt;$F40+($G40*$I40)),"➤",""),"")</f>
        <v/>
      </c>
      <c r="QP40" s="76" t="str">
        <f aca="false">IF($I40&gt;0%,IF(AND(QP$16&gt;=$F40,QP$16&lt;$F40+($G40*$I40)),"➤",""),"")</f>
        <v/>
      </c>
      <c r="QQ40" s="76" t="str">
        <f aca="false">IF($I40&gt;0%,IF(AND(QQ$16&gt;=$F40,QQ$16&lt;$F40+($G40*$I40)),"➤",""),"")</f>
        <v/>
      </c>
      <c r="QR40" s="76" t="str">
        <f aca="false">IF($I40&gt;0%,IF(AND(QR$16&gt;=$F40,QR$16&lt;$F40+($G40*$I40)),"➤",""),"")</f>
        <v/>
      </c>
      <c r="QS40" s="76" t="str">
        <f aca="false">IF($I40&gt;0%,IF(AND(QS$16&gt;=$F40,QS$16&lt;$F40+($G40*$I40)),"➤",""),"")</f>
        <v/>
      </c>
      <c r="QT40" s="76" t="str">
        <f aca="false">IF($I40&gt;0%,IF(AND(QT$16&gt;=$F40,QT$16&lt;$F40+($G40*$I40)),"➤",""),"")</f>
        <v/>
      </c>
      <c r="QU40" s="76" t="str">
        <f aca="false">IF($I40&gt;0%,IF(AND(QU$16&gt;=$F40,QU$16&lt;$F40+($G40*$I40)),"➤",""),"")</f>
        <v/>
      </c>
      <c r="QV40" s="76" t="str">
        <f aca="false">IF($I40&gt;0%,IF(AND(QV$16&gt;=$F40,QV$16&lt;$F40+($G40*$I40)),"➤",""),"")</f>
        <v/>
      </c>
      <c r="QW40" s="76" t="str">
        <f aca="false">IF($I40&gt;0%,IF(AND(QW$16&gt;=$F40,QW$16&lt;$F40+($G40*$I40)),"➤",""),"")</f>
        <v/>
      </c>
      <c r="QX40" s="76" t="str">
        <f aca="false">IF($I40&gt;0%,IF(AND(QX$16&gt;=$F40,QX$16&lt;$F40+($G40*$I40)),"➤",""),"")</f>
        <v/>
      </c>
      <c r="QY40" s="76" t="str">
        <f aca="false">IF($I40&gt;0%,IF(AND(QY$16&gt;=$F40,QY$16&lt;$F40+($G40*$I40)),"➤",""),"")</f>
        <v/>
      </c>
      <c r="QZ40" s="76" t="str">
        <f aca="false">IF($I40&gt;0%,IF(AND(QZ$16&gt;=$F40,QZ$16&lt;$F40+($G40*$I40)),"➤",""),"")</f>
        <v/>
      </c>
      <c r="RA40" s="76" t="str">
        <f aca="false">IF($I40&gt;0%,IF(AND(RA$16&gt;=$F40,RA$16&lt;$F40+($G40*$I40)),"➤",""),"")</f>
        <v/>
      </c>
      <c r="RB40" s="76" t="str">
        <f aca="false">IF($I40&gt;0%,IF(AND(RB$16&gt;=$F40,RB$16&lt;$F40+($G40*$I40)),"➤",""),"")</f>
        <v/>
      </c>
      <c r="RC40" s="76" t="str">
        <f aca="false">IF($I40&gt;0%,IF(AND(RC$16&gt;=$F40,RC$16&lt;$F40+($G40*$I40)),"➤",""),"")</f>
        <v/>
      </c>
      <c r="RD40" s="76" t="str">
        <f aca="false">IF($I40&gt;0%,IF(AND(RD$16&gt;=$F40,RD$16&lt;$F40+($G40*$I40)),"➤",""),"")</f>
        <v/>
      </c>
      <c r="RE40" s="76" t="str">
        <f aca="false">IF($I40&gt;0%,IF(AND(RE$16&gt;=$F40,RE$16&lt;$F40+($G40*$I40)),"➤",""),"")</f>
        <v/>
      </c>
      <c r="RF40" s="76" t="str">
        <f aca="false">IF($I40&gt;0%,IF(AND(RF$16&gt;=$F40,RF$16&lt;$F40+($G40*$I40)),"➤",""),"")</f>
        <v/>
      </c>
      <c r="RG40" s="76" t="str">
        <f aca="false">IF($I40&gt;0%,IF(AND(RG$16&gt;=$F40,RG$16&lt;$F40+($G40*$I40)),"➤",""),"")</f>
        <v/>
      </c>
      <c r="RH40" s="76" t="str">
        <f aca="false">IF($I40&gt;0%,IF(AND(RH$16&gt;=$F40,RH$16&lt;$F40+($G40*$I40)),"➤",""),"")</f>
        <v/>
      </c>
      <c r="RI40" s="76" t="str">
        <f aca="false">IF($I40&gt;0%,IF(AND(RI$16&gt;=$F40,RI$16&lt;$F40+($G40*$I40)),"➤",""),"")</f>
        <v/>
      </c>
      <c r="RJ40" s="76" t="str">
        <f aca="false">IF($I40&gt;0%,IF(AND(RJ$16&gt;=$F40,RJ$16&lt;$F40+($G40*$I40)),"➤",""),"")</f>
        <v/>
      </c>
      <c r="RK40" s="76" t="str">
        <f aca="false">IF($I40&gt;0%,IF(AND(RK$16&gt;=$F40,RK$16&lt;$F40+($G40*$I40)),"➤",""),"")</f>
        <v/>
      </c>
      <c r="RL40" s="76" t="str">
        <f aca="false">IF($I40&gt;0%,IF(AND(RL$16&gt;=$F40,RL$16&lt;$F40+($G40*$I40)),"➤",""),"")</f>
        <v/>
      </c>
      <c r="RM40" s="76" t="str">
        <f aca="false">IF($I40&gt;0%,IF(AND(RM$16&gt;=$F40,RM$16&lt;$F40+($G40*$I40)),"➤",""),"")</f>
        <v/>
      </c>
      <c r="RN40" s="76" t="str">
        <f aca="false">IF($I40&gt;0%,IF(AND(RN$16&gt;=$F40,RN$16&lt;$F40+($G40*$I40)),"➤",""),"")</f>
        <v/>
      </c>
      <c r="RO40" s="76" t="str">
        <f aca="false">IF($I40&gt;0%,IF(AND(RO$16&gt;=$F40,RO$16&lt;$F40+($G40*$I40)),"➤",""),"")</f>
        <v/>
      </c>
      <c r="RP40" s="76" t="str">
        <f aca="false">IF($I40&gt;0%,IF(AND(RP$16&gt;=$F40,RP$16&lt;$F40+($G40*$I40)),"➤",""),"")</f>
        <v/>
      </c>
      <c r="RQ40" s="76" t="str">
        <f aca="false">IF($I40&gt;0%,IF(AND(RQ$16&gt;=$F40,RQ$16&lt;$F40+($G40*$I40)),"➤",""),"")</f>
        <v/>
      </c>
      <c r="RR40" s="76" t="str">
        <f aca="false">IF($I40&gt;0%,IF(AND(RR$16&gt;=$F40,RR$16&lt;$F40+($G40*$I40)),"➤",""),"")</f>
        <v/>
      </c>
      <c r="RS40" s="76" t="str">
        <f aca="false">IF($I40&gt;0%,IF(AND(RS$16&gt;=$F40,RS$16&lt;$F40+($G40*$I40)),"➤",""),"")</f>
        <v/>
      </c>
      <c r="RT40" s="76" t="str">
        <f aca="false">IF($I40&gt;0%,IF(AND(RT$16&gt;=$F40,RT$16&lt;$F40+($G40*$I40)),"➤",""),"")</f>
        <v/>
      </c>
      <c r="RU40" s="76" t="str">
        <f aca="false">IF($I40&gt;0%,IF(AND(RU$16&gt;=$F40,RU$16&lt;$F40+($G40*$I40)),"➤",""),"")</f>
        <v/>
      </c>
      <c r="RV40" s="76" t="str">
        <f aca="false">IF($I40&gt;0%,IF(AND(RV$16&gt;=$F40,RV$16&lt;$F40+($G40*$I40)),"➤",""),"")</f>
        <v/>
      </c>
      <c r="RW40" s="76" t="str">
        <f aca="false">IF($I40&gt;0%,IF(AND(RW$16&gt;=$F40,RW$16&lt;$F40+($G40*$I40)),"➤",""),"")</f>
        <v/>
      </c>
      <c r="RX40" s="76" t="str">
        <f aca="false">IF($I40&gt;0%,IF(AND(RX$16&gt;=$F40,RX$16&lt;$F40+($G40*$I40)),"➤",""),"")</f>
        <v/>
      </c>
      <c r="RY40" s="76" t="str">
        <f aca="false">IF($I40&gt;0%,IF(AND(RY$16&gt;=$F40,RY$16&lt;$F40+($G40*$I40)),"➤",""),"")</f>
        <v/>
      </c>
      <c r="RZ40" s="76" t="str">
        <f aca="false">IF($I40&gt;0%,IF(AND(RZ$16&gt;=$F40,RZ$16&lt;$F40+($G40*$I40)),"➤",""),"")</f>
        <v/>
      </c>
      <c r="SA40" s="76" t="str">
        <f aca="false">IF($I40&gt;0%,IF(AND(SA$16&gt;=$F40,SA$16&lt;$F40+($G40*$I40)),"➤",""),"")</f>
        <v/>
      </c>
      <c r="SB40" s="76" t="str">
        <f aca="false">IF($I40&gt;0%,IF(AND(SB$16&gt;=$F40,SB$16&lt;$F40+($G40*$I40)),"➤",""),"")</f>
        <v/>
      </c>
      <c r="SC40" s="76" t="str">
        <f aca="false">IF($I40&gt;0%,IF(AND(SC$16&gt;=$F40,SC$16&lt;$F40+($G40*$I40)),"➤",""),"")</f>
        <v/>
      </c>
      <c r="SD40" s="76" t="str">
        <f aca="false">IF($I40&gt;0%,IF(AND(SD$16&gt;=$F40,SD$16&lt;$F40+($G40*$I40)),"➤",""),"")</f>
        <v/>
      </c>
      <c r="SE40" s="76" t="str">
        <f aca="false">IF($I40&gt;0%,IF(AND(SE$16&gt;=$F40,SE$16&lt;$F40+($G40*$I40)),"➤",""),"")</f>
        <v/>
      </c>
      <c r="SF40" s="76" t="str">
        <f aca="false">IF($I40&gt;0%,IF(AND(SF$16&gt;=$F40,SF$16&lt;$F40+($G40*$I40)),"➤",""),"")</f>
        <v/>
      </c>
      <c r="SG40" s="76" t="str">
        <f aca="false">IF($I40&gt;0%,IF(AND(SG$16&gt;=$F40,SG$16&lt;$F40+($G40*$I40)),"➤",""),"")</f>
        <v/>
      </c>
      <c r="SH40" s="76" t="str">
        <f aca="false">IF($I40&gt;0%,IF(AND(SH$16&gt;=$F40,SH$16&lt;$F40+($G40*$I40)),"➤",""),"")</f>
        <v/>
      </c>
      <c r="SI40" s="76" t="str">
        <f aca="false">IF($I40&gt;0%,IF(AND(SI$16&gt;=$F40,SI$16&lt;$F40+($G40*$I40)),"➤",""),"")</f>
        <v/>
      </c>
      <c r="SJ40" s="76" t="str">
        <f aca="false">IF($I40&gt;0%,IF(AND(SJ$16&gt;=$F40,SJ$16&lt;$F40+($G40*$I40)),"➤",""),"")</f>
        <v/>
      </c>
      <c r="SK40" s="76" t="str">
        <f aca="false">IF($I40&gt;0%,IF(AND(SK$16&gt;=$F40,SK$16&lt;$F40+($G40*$I40)),"➤",""),"")</f>
        <v/>
      </c>
      <c r="SL40" s="76" t="str">
        <f aca="false">IF($I40&gt;0%,IF(AND(SL$16&gt;=$F40,SL$16&lt;$F40+($G40*$I40)),"➤",""),"")</f>
        <v/>
      </c>
      <c r="SM40" s="76" t="str">
        <f aca="false">IF($I40&gt;0%,IF(AND(SM$16&gt;=$F40,SM$16&lt;$F40+($G40*$I40)),"➤",""),"")</f>
        <v/>
      </c>
      <c r="SN40" s="76" t="str">
        <f aca="false">IF($I40&gt;0%,IF(AND(SN$16&gt;=$F40,SN$16&lt;$F40+($G40*$I40)),"➤",""),"")</f>
        <v/>
      </c>
      <c r="SO40" s="76" t="str">
        <f aca="false">IF($I40&gt;0%,IF(AND(SO$16&gt;=$F40,SO$16&lt;$F40+($G40*$I40)),"➤",""),"")</f>
        <v/>
      </c>
      <c r="SP40" s="76" t="str">
        <f aca="false">IF($I40&gt;0%,IF(AND(SP$16&gt;=$F40,SP$16&lt;$F40+($G40*$I40)),"➤",""),"")</f>
        <v/>
      </c>
      <c r="SQ40" s="76" t="str">
        <f aca="false">IF($I40&gt;0%,IF(AND(SQ$16&gt;=$F40,SQ$16&lt;$F40+($G40*$I40)),"➤",""),"")</f>
        <v/>
      </c>
      <c r="SR40" s="76" t="str">
        <f aca="false">IF($I40&gt;0%,IF(AND(SR$16&gt;=$F40,SR$16&lt;$F40+($G40*$I40)),"➤",""),"")</f>
        <v/>
      </c>
      <c r="SS40" s="76" t="str">
        <f aca="false">IF($I40&gt;0%,IF(AND(SS$16&gt;=$F40,SS$16&lt;$F40+($G40*$I40)),"➤",""),"")</f>
        <v/>
      </c>
      <c r="ST40" s="76" t="str">
        <f aca="false">IF($I40&gt;0%,IF(AND(ST$16&gt;=$F40,ST$16&lt;$F40+($G40*$I40)),"➤",""),"")</f>
        <v/>
      </c>
      <c r="SU40" s="76" t="str">
        <f aca="false">IF($I40&gt;0%,IF(AND(SU$16&gt;=$F40,SU$16&lt;$F40+($G40*$I40)),"➤",""),"")</f>
        <v/>
      </c>
      <c r="SV40" s="76" t="str">
        <f aca="false">IF($I40&gt;0%,IF(AND(SV$16&gt;=$F40,SV$16&lt;$F40+($G40*$I40)),"➤",""),"")</f>
        <v/>
      </c>
      <c r="SW40" s="77" t="str">
        <f aca="false">IF($I40&gt;0%,IF(AND(SW$16&gt;=$F40,SW$16&lt;$F40+($G40*$I40)),"➤",""),"")</f>
        <v/>
      </c>
    </row>
    <row r="41" customFormat="false" ht="14.25" hidden="false" customHeight="false" outlineLevel="1" collapsed="false">
      <c r="C41" s="10"/>
      <c r="D41" s="99"/>
      <c r="E41" s="100"/>
      <c r="F41" s="101" t="n">
        <v>44161</v>
      </c>
      <c r="G41" s="102" t="n">
        <v>6</v>
      </c>
      <c r="H41" s="103" t="n">
        <f aca="false">(F41+G41)-1</f>
        <v>44166</v>
      </c>
      <c r="I41" s="104" t="n">
        <v>0</v>
      </c>
      <c r="J41" s="105"/>
      <c r="K41" s="106"/>
      <c r="L41" s="75" t="str">
        <f aca="false">IF($I41&gt;0%,IF(AND(L$16&gt;=$F41,L$16&lt;$F41+($G41*$I41)),"➤",""),"")</f>
        <v/>
      </c>
      <c r="M41" s="76" t="str">
        <f aca="false">IF($I41&gt;0%,IF(AND(M$16&gt;=$F41,M$16&lt;$F41+($G41*$I41)),"➤",""),"")</f>
        <v/>
      </c>
      <c r="N41" s="76" t="str">
        <f aca="false">IF($I41&gt;0%,IF(AND(N$16&gt;=$F41,N$16&lt;$F41+($G41*$I41)),"➤",""),"")</f>
        <v/>
      </c>
      <c r="O41" s="76" t="str">
        <f aca="false">IF($I41&gt;0%,IF(AND(O$16&gt;=$F41,O$16&lt;$F41+($G41*$I41)),"➤",""),"")</f>
        <v/>
      </c>
      <c r="P41" s="76" t="str">
        <f aca="false">IF($I41&gt;0%,IF(AND(P$16&gt;=$F41,P$16&lt;$F41+($G41*$I41)),"➤",""),"")</f>
        <v/>
      </c>
      <c r="Q41" s="76" t="str">
        <f aca="false">IF($I41&gt;0%,IF(AND(Q$16&gt;=$F41,Q$16&lt;$F41+($G41*$I41)),"➤",""),"")</f>
        <v/>
      </c>
      <c r="R41" s="76" t="str">
        <f aca="false">IF($I41&gt;0%,IF(AND(R$16&gt;=$F41,R$16&lt;$F41+($G41*$I41)),"➤",""),"")</f>
        <v/>
      </c>
      <c r="S41" s="76" t="str">
        <f aca="false">IF($I41&gt;0%,IF(AND(S$16&gt;=$F41,S$16&lt;$F41+($G41*$I41)),"➤",""),"")</f>
        <v/>
      </c>
      <c r="T41" s="76" t="str">
        <f aca="false">IF($I41&gt;0%,IF(AND(T$16&gt;=$F41,T$16&lt;$F41+($G41*$I41)),"➤",""),"")</f>
        <v/>
      </c>
      <c r="U41" s="76" t="str">
        <f aca="false">IF($I41&gt;0%,IF(AND(U$16&gt;=$F41,U$16&lt;$F41+($G41*$I41)),"➤",""),"")</f>
        <v/>
      </c>
      <c r="V41" s="76" t="str">
        <f aca="false">IF($I41&gt;0%,IF(AND(V$16&gt;=$F41,V$16&lt;$F41+($G41*$I41)),"➤",""),"")</f>
        <v/>
      </c>
      <c r="W41" s="76" t="str">
        <f aca="false">IF($I41&gt;0%,IF(AND(W$16&gt;=$F41,W$16&lt;$F41+($G41*$I41)),"➤",""),"")</f>
        <v/>
      </c>
      <c r="X41" s="76" t="str">
        <f aca="false">IF($I41&gt;0%,IF(AND(X$16&gt;=$F41,X$16&lt;$F41+($G41*$I41)),"➤",""),"")</f>
        <v/>
      </c>
      <c r="Y41" s="76" t="str">
        <f aca="false">IF($I41&gt;0%,IF(AND(Y$16&gt;=$F41,Y$16&lt;$F41+($G41*$I41)),"➤",""),"")</f>
        <v/>
      </c>
      <c r="Z41" s="76" t="str">
        <f aca="false">IF($I41&gt;0%,IF(AND(Z$16&gt;=$F41,Z$16&lt;$F41+($G41*$I41)),"➤",""),"")</f>
        <v/>
      </c>
      <c r="AA41" s="76" t="str">
        <f aca="false">IF($I41&gt;0%,IF(AND(AA$16&gt;=$F41,AA$16&lt;$F41+($G41*$I41)),"➤",""),"")</f>
        <v/>
      </c>
      <c r="AB41" s="76" t="str">
        <f aca="false">IF($I41&gt;0%,IF(AND(AB$16&gt;=$F41,AB$16&lt;$F41+($G41*$I41)),"➤",""),"")</f>
        <v/>
      </c>
      <c r="AC41" s="76" t="str">
        <f aca="false">IF($I41&gt;0%,IF(AND(AC$16&gt;=$F41,AC$16&lt;$F41+($G41*$I41)),"➤",""),"")</f>
        <v/>
      </c>
      <c r="AD41" s="76" t="str">
        <f aca="false">IF($I41&gt;0%,IF(AND(AD$16&gt;=$F41,AD$16&lt;$F41+($G41*$I41)),"➤",""),"")</f>
        <v/>
      </c>
      <c r="AE41" s="76" t="str">
        <f aca="false">IF($I41&gt;0%,IF(AND(AE$16&gt;=$F41,AE$16&lt;$F41+($G41*$I41)),"➤",""),"")</f>
        <v/>
      </c>
      <c r="AF41" s="76" t="str">
        <f aca="false">IF($I41&gt;0%,IF(AND(AF$16&gt;=$F41,AF$16&lt;$F41+($G41*$I41)),"➤",""),"")</f>
        <v/>
      </c>
      <c r="AG41" s="76" t="str">
        <f aca="false">IF($I41&gt;0%,IF(AND(AG$16&gt;=$F41,AG$16&lt;$F41+($G41*$I41)),"➤",""),"")</f>
        <v/>
      </c>
      <c r="AH41" s="76" t="str">
        <f aca="false">IF($I41&gt;0%,IF(AND(AH$16&gt;=$F41,AH$16&lt;$F41+($G41*$I41)),"➤",""),"")</f>
        <v/>
      </c>
      <c r="AI41" s="76" t="str">
        <f aca="false">IF($I41&gt;0%,IF(AND(AI$16&gt;=$F41,AI$16&lt;$F41+($G41*$I41)),"➤",""),"")</f>
        <v/>
      </c>
      <c r="AJ41" s="76" t="str">
        <f aca="false">IF($I41&gt;0%,IF(AND(AJ$16&gt;=$F41,AJ$16&lt;$F41+($G41*$I41)),"➤",""),"")</f>
        <v/>
      </c>
      <c r="AK41" s="76" t="str">
        <f aca="false">IF($I41&gt;0%,IF(AND(AK$16&gt;=$F41,AK$16&lt;$F41+($G41*$I41)),"➤",""),"")</f>
        <v/>
      </c>
      <c r="AL41" s="76" t="str">
        <f aca="false">IF($I41&gt;0%,IF(AND(AL$16&gt;=$F41,AL$16&lt;$F41+($G41*$I41)),"➤",""),"")</f>
        <v/>
      </c>
      <c r="AM41" s="76" t="str">
        <f aca="false">IF($I41&gt;0%,IF(AND(AM$16&gt;=$F41,AM$16&lt;$F41+($G41*$I41)),"➤",""),"")</f>
        <v/>
      </c>
      <c r="AN41" s="76" t="str">
        <f aca="false">IF($I41&gt;0%,IF(AND(AN$16&gt;=$F41,AN$16&lt;$F41+($G41*$I41)),"➤",""),"")</f>
        <v/>
      </c>
      <c r="AO41" s="76" t="str">
        <f aca="false">IF($I41&gt;0%,IF(AND(AO$16&gt;=$F41,AO$16&lt;$F41+($G41*$I41)),"➤",""),"")</f>
        <v/>
      </c>
      <c r="AP41" s="76" t="str">
        <f aca="false">IF($I41&gt;0%,IF(AND(AP$16&gt;=$F41,AP$16&lt;$F41+($G41*$I41)),"➤",""),"")</f>
        <v/>
      </c>
      <c r="AQ41" s="76" t="str">
        <f aca="false">IF($I41&gt;0%,IF(AND(AQ$16&gt;=$F41,AQ$16&lt;$F41+($G41*$I41)),"➤",""),"")</f>
        <v/>
      </c>
      <c r="AR41" s="76" t="str">
        <f aca="false">IF($I41&gt;0%,IF(AND(AR$16&gt;=$F41,AR$16&lt;$F41+($G41*$I41)),"➤",""),"")</f>
        <v/>
      </c>
      <c r="AS41" s="76" t="str">
        <f aca="false">IF($I41&gt;0%,IF(AND(AS$16&gt;=$F41,AS$16&lt;$F41+($G41*$I41)),"➤",""),"")</f>
        <v/>
      </c>
      <c r="AT41" s="76" t="str">
        <f aca="false">IF($I41&gt;0%,IF(AND(AT$16&gt;=$F41,AT$16&lt;$F41+($G41*$I41)),"➤",""),"")</f>
        <v/>
      </c>
      <c r="AU41" s="76" t="str">
        <f aca="false">IF($I41&gt;0%,IF(AND(AU$16&gt;=$F41,AU$16&lt;$F41+($G41*$I41)),"➤",""),"")</f>
        <v/>
      </c>
      <c r="AV41" s="76" t="str">
        <f aca="false">IF($I41&gt;0%,IF(AND(AV$16&gt;=$F41,AV$16&lt;$F41+($G41*$I41)),"➤",""),"")</f>
        <v/>
      </c>
      <c r="AW41" s="76" t="str">
        <f aca="false">IF($I41&gt;0%,IF(AND(AW$16&gt;=$F41,AW$16&lt;$F41+($G41*$I41)),"➤",""),"")</f>
        <v/>
      </c>
      <c r="AX41" s="76" t="str">
        <f aca="false">IF($I41&gt;0%,IF(AND(AX$16&gt;=$F41,AX$16&lt;$F41+($G41*$I41)),"➤",""),"")</f>
        <v/>
      </c>
      <c r="AY41" s="76" t="str">
        <f aca="false">IF($I41&gt;0%,IF(AND(AY$16&gt;=$F41,AY$16&lt;$F41+($G41*$I41)),"➤",""),"")</f>
        <v/>
      </c>
      <c r="AZ41" s="76" t="str">
        <f aca="false">IF($I41&gt;0%,IF(AND(AZ$16&gt;=$F41,AZ$16&lt;$F41+($G41*$I41)),"➤",""),"")</f>
        <v/>
      </c>
      <c r="BA41" s="76" t="str">
        <f aca="false">IF($I41&gt;0%,IF(AND(BA$16&gt;=$F41,BA$16&lt;$F41+($G41*$I41)),"➤",""),"")</f>
        <v/>
      </c>
      <c r="BB41" s="76" t="str">
        <f aca="false">IF($I41&gt;0%,IF(AND(BB$16&gt;=$F41,BB$16&lt;$F41+($G41*$I41)),"➤",""),"")</f>
        <v/>
      </c>
      <c r="BC41" s="76" t="str">
        <f aca="false">IF($I41&gt;0%,IF(AND(BC$16&gt;=$F41,BC$16&lt;$F41+($G41*$I41)),"➤",""),"")</f>
        <v/>
      </c>
      <c r="BD41" s="76" t="str">
        <f aca="false">IF($I41&gt;0%,IF(AND(BD$16&gt;=$F41,BD$16&lt;$F41+($G41*$I41)),"➤",""),"")</f>
        <v/>
      </c>
      <c r="BE41" s="76" t="str">
        <f aca="false">IF($I41&gt;0%,IF(AND(BE$16&gt;=$F41,BE$16&lt;$F41+($G41*$I41)),"➤",""),"")</f>
        <v/>
      </c>
      <c r="BF41" s="76" t="str">
        <f aca="false">IF($I41&gt;0%,IF(AND(BF$16&gt;=$F41,BF$16&lt;$F41+($G41*$I41)),"➤",""),"")</f>
        <v/>
      </c>
      <c r="BG41" s="76" t="str">
        <f aca="false">IF($I41&gt;0%,IF(AND(BG$16&gt;=$F41,BG$16&lt;$F41+($G41*$I41)),"➤",""),"")</f>
        <v/>
      </c>
      <c r="BH41" s="76" t="str">
        <f aca="false">IF($I41&gt;0%,IF(AND(BH$16&gt;=$F41,BH$16&lt;$F41+($G41*$I41)),"➤",""),"")</f>
        <v/>
      </c>
      <c r="BI41" s="76" t="str">
        <f aca="false">IF($I41&gt;0%,IF(AND(BI$16&gt;=$F41,BI$16&lt;$F41+($G41*$I41)),"➤",""),"")</f>
        <v/>
      </c>
      <c r="BJ41" s="76" t="str">
        <f aca="false">IF($I41&gt;0%,IF(AND(BJ$16&gt;=$F41,BJ$16&lt;$F41+($G41*$I41)),"➤",""),"")</f>
        <v/>
      </c>
      <c r="BK41" s="76" t="str">
        <f aca="false">IF($I41&gt;0%,IF(AND(BK$16&gt;=$F41,BK$16&lt;$F41+($G41*$I41)),"➤",""),"")</f>
        <v/>
      </c>
      <c r="BL41" s="76" t="str">
        <f aca="false">IF($I41&gt;0%,IF(AND(BL$16&gt;=$F41,BL$16&lt;$F41+($G41*$I41)),"➤",""),"")</f>
        <v/>
      </c>
      <c r="BM41" s="76" t="str">
        <f aca="false">IF($I41&gt;0%,IF(AND(BM$16&gt;=$F41,BM$16&lt;$F41+($G41*$I41)),"➤",""),"")</f>
        <v/>
      </c>
      <c r="BN41" s="76" t="str">
        <f aca="false">IF($I41&gt;0%,IF(AND(BN$16&gt;=$F41,BN$16&lt;$F41+($G41*$I41)),"➤",""),"")</f>
        <v/>
      </c>
      <c r="BO41" s="76" t="str">
        <f aca="false">IF($I41&gt;0%,IF(AND(BO$16&gt;=$F41,BO$16&lt;$F41+($G41*$I41)),"➤",""),"")</f>
        <v/>
      </c>
      <c r="BP41" s="76" t="str">
        <f aca="false">IF($I41&gt;0%,IF(AND(BP$16&gt;=$F41,BP$16&lt;$F41+($G41*$I41)),"➤",""),"")</f>
        <v/>
      </c>
      <c r="BQ41" s="76" t="str">
        <f aca="false">IF($I41&gt;0%,IF(AND(BQ$16&gt;=$F41,BQ$16&lt;$F41+($G41*$I41)),"➤",""),"")</f>
        <v/>
      </c>
      <c r="BR41" s="76" t="str">
        <f aca="false">IF($I41&gt;0%,IF(AND(BR$16&gt;=$F41,BR$16&lt;$F41+($G41*$I41)),"➤",""),"")</f>
        <v/>
      </c>
      <c r="BS41" s="76" t="str">
        <f aca="false">IF($I41&gt;0%,IF(AND(BS$16&gt;=$F41,BS$16&lt;$F41+($G41*$I41)),"➤",""),"")</f>
        <v/>
      </c>
      <c r="BT41" s="76" t="str">
        <f aca="false">IF($I41&gt;0%,IF(AND(BT$16&gt;=$F41,BT$16&lt;$F41+($G41*$I41)),"➤",""),"")</f>
        <v/>
      </c>
      <c r="BU41" s="76" t="str">
        <f aca="false">IF($I41&gt;0%,IF(AND(BU$16&gt;=$F41,BU$16&lt;$F41+($G41*$I41)),"➤",""),"")</f>
        <v/>
      </c>
      <c r="BV41" s="76" t="str">
        <f aca="false">IF($I41&gt;0%,IF(AND(BV$16&gt;=$F41,BV$16&lt;$F41+($G41*$I41)),"➤",""),"")</f>
        <v/>
      </c>
      <c r="BW41" s="76" t="str">
        <f aca="false">IF($I41&gt;0%,IF(AND(BW$16&gt;=$F41,BW$16&lt;$F41+($G41*$I41)),"➤",""),"")</f>
        <v/>
      </c>
      <c r="BX41" s="76" t="str">
        <f aca="false">IF($I41&gt;0%,IF(AND(BX$16&gt;=$F41,BX$16&lt;$F41+($G41*$I41)),"➤",""),"")</f>
        <v/>
      </c>
      <c r="BY41" s="76" t="str">
        <f aca="false">IF($I41&gt;0%,IF(AND(BY$16&gt;=$F41,BY$16&lt;$F41+($G41*$I41)),"➤",""),"")</f>
        <v/>
      </c>
      <c r="BZ41" s="76" t="str">
        <f aca="false">IF($I41&gt;0%,IF(AND(BZ$16&gt;=$F41,BZ$16&lt;$F41+($G41*$I41)),"➤",""),"")</f>
        <v/>
      </c>
      <c r="CA41" s="76" t="str">
        <f aca="false">IF($I41&gt;0%,IF(AND(CA$16&gt;=$F41,CA$16&lt;$F41+($G41*$I41)),"➤",""),"")</f>
        <v/>
      </c>
      <c r="CB41" s="76" t="str">
        <f aca="false">IF($I41&gt;0%,IF(AND(CB$16&gt;=$F41,CB$16&lt;$F41+($G41*$I41)),"➤",""),"")</f>
        <v/>
      </c>
      <c r="CC41" s="76" t="str">
        <f aca="false">IF($I41&gt;0%,IF(AND(CC$16&gt;=$F41,CC$16&lt;$F41+($G41*$I41)),"➤",""),"")</f>
        <v/>
      </c>
      <c r="CD41" s="76" t="str">
        <f aca="false">IF($I41&gt;0%,IF(AND(CD$16&gt;=$F41,CD$16&lt;$F41+($G41*$I41)),"➤",""),"")</f>
        <v/>
      </c>
      <c r="CE41" s="76" t="str">
        <f aca="false">IF($I41&gt;0%,IF(AND(CE$16&gt;=$F41,CE$16&lt;$F41+($G41*$I41)),"➤",""),"")</f>
        <v/>
      </c>
      <c r="CF41" s="76" t="str">
        <f aca="false">IF($I41&gt;0%,IF(AND(CF$16&gt;=$F41,CF$16&lt;$F41+($G41*$I41)),"➤",""),"")</f>
        <v/>
      </c>
      <c r="CG41" s="76" t="str">
        <f aca="false">IF($I41&gt;0%,IF(AND(CG$16&gt;=$F41,CG$16&lt;$F41+($G41*$I41)),"➤",""),"")</f>
        <v/>
      </c>
      <c r="CH41" s="76" t="str">
        <f aca="false">IF($I41&gt;0%,IF(AND(CH$16&gt;=$F41,CH$16&lt;$F41+($G41*$I41)),"➤",""),"")</f>
        <v/>
      </c>
      <c r="CI41" s="76" t="str">
        <f aca="false">IF($I41&gt;0%,IF(AND(CI$16&gt;=$F41,CI$16&lt;$F41+($G41*$I41)),"➤",""),"")</f>
        <v/>
      </c>
      <c r="CJ41" s="76" t="str">
        <f aca="false">IF($I41&gt;0%,IF(AND(CJ$16&gt;=$F41,CJ$16&lt;$F41+($G41*$I41)),"➤",""),"")</f>
        <v/>
      </c>
      <c r="CK41" s="76" t="str">
        <f aca="false">IF($I41&gt;0%,IF(AND(CK$16&gt;=$F41,CK$16&lt;$F41+($G41*$I41)),"➤",""),"")</f>
        <v/>
      </c>
      <c r="CL41" s="76" t="str">
        <f aca="false">IF($I41&gt;0%,IF(AND(CL$16&gt;=$F41,CL$16&lt;$F41+($G41*$I41)),"➤",""),"")</f>
        <v/>
      </c>
      <c r="CM41" s="76" t="str">
        <f aca="false">IF($I41&gt;0%,IF(AND(CM$16&gt;=$F41,CM$16&lt;$F41+($G41*$I41)),"➤",""),"")</f>
        <v/>
      </c>
      <c r="CN41" s="76" t="str">
        <f aca="false">IF($I41&gt;0%,IF(AND(CN$16&gt;=$F41,CN$16&lt;$F41+($G41*$I41)),"➤",""),"")</f>
        <v/>
      </c>
      <c r="CO41" s="76" t="str">
        <f aca="false">IF($I41&gt;0%,IF(AND(CO$16&gt;=$F41,CO$16&lt;$F41+($G41*$I41)),"➤",""),"")</f>
        <v/>
      </c>
      <c r="CP41" s="76" t="str">
        <f aca="false">IF($I41&gt;0%,IF(AND(CP$16&gt;=$F41,CP$16&lt;$F41+($G41*$I41)),"➤",""),"")</f>
        <v/>
      </c>
      <c r="CQ41" s="76" t="str">
        <f aca="false">IF($I41&gt;0%,IF(AND(CQ$16&gt;=$F41,CQ$16&lt;$F41+($G41*$I41)),"➤",""),"")</f>
        <v/>
      </c>
      <c r="CR41" s="76" t="str">
        <f aca="false">IF($I41&gt;0%,IF(AND(CR$16&gt;=$F41,CR$16&lt;$F41+($G41*$I41)),"➤",""),"")</f>
        <v/>
      </c>
      <c r="CS41" s="76" t="str">
        <f aca="false">IF($I41&gt;0%,IF(AND(CS$16&gt;=$F41,CS$16&lt;$F41+($G41*$I41)),"➤",""),"")</f>
        <v/>
      </c>
      <c r="CT41" s="76" t="str">
        <f aca="false">IF($I41&gt;0%,IF(AND(CT$16&gt;=$F41,CT$16&lt;$F41+($G41*$I41)),"➤",""),"")</f>
        <v/>
      </c>
      <c r="CU41" s="76" t="str">
        <f aca="false">IF($I41&gt;0%,IF(AND(CU$16&gt;=$F41,CU$16&lt;$F41+($G41*$I41)),"➤",""),"")</f>
        <v/>
      </c>
      <c r="CV41" s="76" t="str">
        <f aca="false">IF($I41&gt;0%,IF(AND(CV$16&gt;=$F41,CV$16&lt;$F41+($G41*$I41)),"➤",""),"")</f>
        <v/>
      </c>
      <c r="CW41" s="76" t="str">
        <f aca="false">IF($I41&gt;0%,IF(AND(CW$16&gt;=$F41,CW$16&lt;$F41+($G41*$I41)),"➤",""),"")</f>
        <v/>
      </c>
      <c r="CX41" s="76" t="str">
        <f aca="false">IF($I41&gt;0%,IF(AND(CX$16&gt;=$F41,CX$16&lt;$F41+($G41*$I41)),"➤",""),"")</f>
        <v/>
      </c>
      <c r="CY41" s="76" t="str">
        <f aca="false">IF($I41&gt;0%,IF(AND(CY$16&gt;=$F41,CY$16&lt;$F41+($G41*$I41)),"➤",""),"")</f>
        <v/>
      </c>
      <c r="CZ41" s="76" t="str">
        <f aca="false">IF($I41&gt;0%,IF(AND(CZ$16&gt;=$F41,CZ$16&lt;$F41+($G41*$I41)),"➤",""),"")</f>
        <v/>
      </c>
      <c r="DA41" s="76" t="str">
        <f aca="false">IF($I41&gt;0%,IF(AND(DA$16&gt;=$F41,DA$16&lt;$F41+($G41*$I41)),"➤",""),"")</f>
        <v/>
      </c>
      <c r="DB41" s="76" t="str">
        <f aca="false">IF($I41&gt;0%,IF(AND(DB$16&gt;=$F41,DB$16&lt;$F41+($G41*$I41)),"➤",""),"")</f>
        <v/>
      </c>
      <c r="DC41" s="76" t="str">
        <f aca="false">IF($I41&gt;0%,IF(AND(DC$16&gt;=$F41,DC$16&lt;$F41+($G41*$I41)),"➤",""),"")</f>
        <v/>
      </c>
      <c r="DD41" s="76" t="str">
        <f aca="false">IF($I41&gt;0%,IF(AND(DD$16&gt;=$F41,DD$16&lt;$F41+($G41*$I41)),"➤",""),"")</f>
        <v/>
      </c>
      <c r="DE41" s="76" t="str">
        <f aca="false">IF($I41&gt;0%,IF(AND(DE$16&gt;=$F41,DE$16&lt;$F41+($G41*$I41)),"➤",""),"")</f>
        <v/>
      </c>
      <c r="DF41" s="76" t="str">
        <f aca="false">IF($I41&gt;0%,IF(AND(DF$16&gt;=$F41,DF$16&lt;$F41+($G41*$I41)),"➤",""),"")</f>
        <v/>
      </c>
      <c r="DG41" s="76" t="str">
        <f aca="false">IF($I41&gt;0%,IF(AND(DG$16&gt;=$F41,DG$16&lt;$F41+($G41*$I41)),"➤",""),"")</f>
        <v/>
      </c>
      <c r="DH41" s="76" t="str">
        <f aca="false">IF($I41&gt;0%,IF(AND(DH$16&gt;=$F41,DH$16&lt;$F41+($G41*$I41)),"➤",""),"")</f>
        <v/>
      </c>
      <c r="DI41" s="76" t="str">
        <f aca="false">IF($I41&gt;0%,IF(AND(DI$16&gt;=$F41,DI$16&lt;$F41+($G41*$I41)),"➤",""),"")</f>
        <v/>
      </c>
      <c r="DJ41" s="76" t="str">
        <f aca="false">IF($I41&gt;0%,IF(AND(DJ$16&gt;=$F41,DJ$16&lt;$F41+($G41*$I41)),"➤",""),"")</f>
        <v/>
      </c>
      <c r="DK41" s="76" t="str">
        <f aca="false">IF($I41&gt;0%,IF(AND(DK$16&gt;=$F41,DK$16&lt;$F41+($G41*$I41)),"➤",""),"")</f>
        <v/>
      </c>
      <c r="DL41" s="76" t="str">
        <f aca="false">IF($I41&gt;0%,IF(AND(DL$16&gt;=$F41,DL$16&lt;$F41+($G41*$I41)),"➤",""),"")</f>
        <v/>
      </c>
      <c r="DM41" s="76" t="str">
        <f aca="false">IF($I41&gt;0%,IF(AND(DM$16&gt;=$F41,DM$16&lt;$F41+($G41*$I41)),"➤",""),"")</f>
        <v/>
      </c>
      <c r="DN41" s="76" t="str">
        <f aca="false">IF($I41&gt;0%,IF(AND(DN$16&gt;=$F41,DN$16&lt;$F41+($G41*$I41)),"➤",""),"")</f>
        <v/>
      </c>
      <c r="DO41" s="76" t="str">
        <f aca="false">IF($I41&gt;0%,IF(AND(DO$16&gt;=$F41,DO$16&lt;$F41+($G41*$I41)),"➤",""),"")</f>
        <v/>
      </c>
      <c r="DP41" s="76" t="str">
        <f aca="false">IF($I41&gt;0%,IF(AND(DP$16&gt;=$F41,DP$16&lt;$F41+($G41*$I41)),"➤",""),"")</f>
        <v/>
      </c>
      <c r="DQ41" s="76" t="str">
        <f aca="false">IF($I41&gt;0%,IF(AND(DQ$16&gt;=$F41,DQ$16&lt;$F41+($G41*$I41)),"➤",""),"")</f>
        <v/>
      </c>
      <c r="DR41" s="76" t="str">
        <f aca="false">IF($I41&gt;0%,IF(AND(DR$16&gt;=$F41,DR$16&lt;$F41+($G41*$I41)),"➤",""),"")</f>
        <v/>
      </c>
      <c r="DS41" s="76" t="str">
        <f aca="false">IF($I41&gt;0%,IF(AND(DS$16&gt;=$F41,DS$16&lt;$F41+($G41*$I41)),"➤",""),"")</f>
        <v/>
      </c>
      <c r="DT41" s="76" t="str">
        <f aca="false">IF($I41&gt;0%,IF(AND(DT$16&gt;=$F41,DT$16&lt;$F41+($G41*$I41)),"➤",""),"")</f>
        <v/>
      </c>
      <c r="DU41" s="76" t="str">
        <f aca="false">IF($I41&gt;0%,IF(AND(DU$16&gt;=$F41,DU$16&lt;$F41+($G41*$I41)),"➤",""),"")</f>
        <v/>
      </c>
      <c r="DV41" s="76" t="str">
        <f aca="false">IF($I41&gt;0%,IF(AND(DV$16&gt;=$F41,DV$16&lt;$F41+($G41*$I41)),"➤",""),"")</f>
        <v/>
      </c>
      <c r="DW41" s="76" t="str">
        <f aca="false">IF($I41&gt;0%,IF(AND(DW$16&gt;=$F41,DW$16&lt;$F41+($G41*$I41)),"➤",""),"")</f>
        <v/>
      </c>
      <c r="DX41" s="76" t="str">
        <f aca="false">IF($I41&gt;0%,IF(AND(DX$16&gt;=$F41,DX$16&lt;$F41+($G41*$I41)),"➤",""),"")</f>
        <v/>
      </c>
      <c r="DY41" s="76" t="str">
        <f aca="false">IF($I41&gt;0%,IF(AND(DY$16&gt;=$F41,DY$16&lt;$F41+($G41*$I41)),"➤",""),"")</f>
        <v/>
      </c>
      <c r="DZ41" s="76" t="str">
        <f aca="false">IF($I41&gt;0%,IF(AND(DZ$16&gt;=$F41,DZ$16&lt;$F41+($G41*$I41)),"➤",""),"")</f>
        <v/>
      </c>
      <c r="EA41" s="76" t="str">
        <f aca="false">IF($I41&gt;0%,IF(AND(EA$16&gt;=$F41,EA$16&lt;$F41+($G41*$I41)),"➤",""),"")</f>
        <v/>
      </c>
      <c r="EB41" s="76" t="str">
        <f aca="false">IF($I41&gt;0%,IF(AND(EB$16&gt;=$F41,EB$16&lt;$F41+($G41*$I41)),"➤",""),"")</f>
        <v/>
      </c>
      <c r="EC41" s="76" t="str">
        <f aca="false">IF($I41&gt;0%,IF(AND(EC$16&gt;=$F41,EC$16&lt;$F41+($G41*$I41)),"➤",""),"")</f>
        <v/>
      </c>
      <c r="ED41" s="76" t="str">
        <f aca="false">IF($I41&gt;0%,IF(AND(ED$16&gt;=$F41,ED$16&lt;$F41+($G41*$I41)),"➤",""),"")</f>
        <v/>
      </c>
      <c r="EE41" s="76" t="str">
        <f aca="false">IF($I41&gt;0%,IF(AND(EE$16&gt;=$F41,EE$16&lt;$F41+($G41*$I41)),"➤",""),"")</f>
        <v/>
      </c>
      <c r="EF41" s="76" t="str">
        <f aca="false">IF($I41&gt;0%,IF(AND(EF$16&gt;=$F41,EF$16&lt;$F41+($G41*$I41)),"➤",""),"")</f>
        <v/>
      </c>
      <c r="EG41" s="76" t="str">
        <f aca="false">IF($I41&gt;0%,IF(AND(EG$16&gt;=$F41,EG$16&lt;$F41+($G41*$I41)),"➤",""),"")</f>
        <v/>
      </c>
      <c r="EH41" s="76" t="str">
        <f aca="false">IF($I41&gt;0%,IF(AND(EH$16&gt;=$F41,EH$16&lt;$F41+($G41*$I41)),"➤",""),"")</f>
        <v/>
      </c>
      <c r="EI41" s="76" t="str">
        <f aca="false">IF($I41&gt;0%,IF(AND(EI$16&gt;=$F41,EI$16&lt;$F41+($G41*$I41)),"➤",""),"")</f>
        <v/>
      </c>
      <c r="EJ41" s="76" t="str">
        <f aca="false">IF($I41&gt;0%,IF(AND(EJ$16&gt;=$F41,EJ$16&lt;$F41+($G41*$I41)),"➤",""),"")</f>
        <v/>
      </c>
      <c r="EK41" s="76" t="str">
        <f aca="false">IF($I41&gt;0%,IF(AND(EK$16&gt;=$F41,EK$16&lt;$F41+($G41*$I41)),"➤",""),"")</f>
        <v/>
      </c>
      <c r="EL41" s="76" t="str">
        <f aca="false">IF($I41&gt;0%,IF(AND(EL$16&gt;=$F41,EL$16&lt;$F41+($G41*$I41)),"➤",""),"")</f>
        <v/>
      </c>
      <c r="EM41" s="76" t="str">
        <f aca="false">IF($I41&gt;0%,IF(AND(EM$16&gt;=$F41,EM$16&lt;$F41+($G41*$I41)),"➤",""),"")</f>
        <v/>
      </c>
      <c r="EN41" s="76" t="str">
        <f aca="false">IF($I41&gt;0%,IF(AND(EN$16&gt;=$F41,EN$16&lt;$F41+($G41*$I41)),"➤",""),"")</f>
        <v/>
      </c>
      <c r="EO41" s="76" t="str">
        <f aca="false">IF($I41&gt;0%,IF(AND(EO$16&gt;=$F41,EO$16&lt;$F41+($G41*$I41)),"➤",""),"")</f>
        <v/>
      </c>
      <c r="EP41" s="76" t="str">
        <f aca="false">IF($I41&gt;0%,IF(AND(EP$16&gt;=$F41,EP$16&lt;$F41+($G41*$I41)),"➤",""),"")</f>
        <v/>
      </c>
      <c r="EQ41" s="76" t="str">
        <f aca="false">IF($I41&gt;0%,IF(AND(EQ$16&gt;=$F41,EQ$16&lt;$F41+($G41*$I41)),"➤",""),"")</f>
        <v/>
      </c>
      <c r="ER41" s="76" t="str">
        <f aca="false">IF($I41&gt;0%,IF(AND(ER$16&gt;=$F41,ER$16&lt;$F41+($G41*$I41)),"➤",""),"")</f>
        <v/>
      </c>
      <c r="ES41" s="76" t="str">
        <f aca="false">IF($I41&gt;0%,IF(AND(ES$16&gt;=$F41,ES$16&lt;$F41+($G41*$I41)),"➤",""),"")</f>
        <v/>
      </c>
      <c r="ET41" s="76" t="str">
        <f aca="false">IF($I41&gt;0%,IF(AND(ET$16&gt;=$F41,ET$16&lt;$F41+($G41*$I41)),"➤",""),"")</f>
        <v/>
      </c>
      <c r="EU41" s="76" t="str">
        <f aca="false">IF($I41&gt;0%,IF(AND(EU$16&gt;=$F41,EU$16&lt;$F41+($G41*$I41)),"➤",""),"")</f>
        <v/>
      </c>
      <c r="EV41" s="76" t="str">
        <f aca="false">IF($I41&gt;0%,IF(AND(EV$16&gt;=$F41,EV$16&lt;$F41+($G41*$I41)),"➤",""),"")</f>
        <v/>
      </c>
      <c r="EW41" s="76" t="str">
        <f aca="false">IF($I41&gt;0%,IF(AND(EW$16&gt;=$F41,EW$16&lt;$F41+($G41*$I41)),"➤",""),"")</f>
        <v/>
      </c>
      <c r="EX41" s="76" t="str">
        <f aca="false">IF($I41&gt;0%,IF(AND(EX$16&gt;=$F41,EX$16&lt;$F41+($G41*$I41)),"➤",""),"")</f>
        <v/>
      </c>
      <c r="EY41" s="76" t="str">
        <f aca="false">IF($I41&gt;0%,IF(AND(EY$16&gt;=$F41,EY$16&lt;$F41+($G41*$I41)),"➤",""),"")</f>
        <v/>
      </c>
      <c r="EZ41" s="76" t="str">
        <f aca="false">IF($I41&gt;0%,IF(AND(EZ$16&gt;=$F41,EZ$16&lt;$F41+($G41*$I41)),"➤",""),"")</f>
        <v/>
      </c>
      <c r="FA41" s="76" t="str">
        <f aca="false">IF($I41&gt;0%,IF(AND(FA$16&gt;=$F41,FA$16&lt;$F41+($G41*$I41)),"➤",""),"")</f>
        <v/>
      </c>
      <c r="FB41" s="76" t="str">
        <f aca="false">IF($I41&gt;0%,IF(AND(FB$16&gt;=$F41,FB$16&lt;$F41+($G41*$I41)),"➤",""),"")</f>
        <v/>
      </c>
      <c r="FC41" s="76" t="str">
        <f aca="false">IF($I41&gt;0%,IF(AND(FC$16&gt;=$F41,FC$16&lt;$F41+($G41*$I41)),"➤",""),"")</f>
        <v/>
      </c>
      <c r="FD41" s="76" t="str">
        <f aca="false">IF($I41&gt;0%,IF(AND(FD$16&gt;=$F41,FD$16&lt;$F41+($G41*$I41)),"➤",""),"")</f>
        <v/>
      </c>
      <c r="FE41" s="76" t="str">
        <f aca="false">IF($I41&gt;0%,IF(AND(FE$16&gt;=$F41,FE$16&lt;$F41+($G41*$I41)),"➤",""),"")</f>
        <v/>
      </c>
      <c r="FF41" s="76" t="str">
        <f aca="false">IF($I41&gt;0%,IF(AND(FF$16&gt;=$F41,FF$16&lt;$F41+($G41*$I41)),"➤",""),"")</f>
        <v/>
      </c>
      <c r="FG41" s="76" t="str">
        <f aca="false">IF($I41&gt;0%,IF(AND(FG$16&gt;=$F41,FG$16&lt;$F41+($G41*$I41)),"➤",""),"")</f>
        <v/>
      </c>
      <c r="FH41" s="76" t="str">
        <f aca="false">IF($I41&gt;0%,IF(AND(FH$16&gt;=$F41,FH$16&lt;$F41+($G41*$I41)),"➤",""),"")</f>
        <v/>
      </c>
      <c r="FI41" s="76" t="str">
        <f aca="false">IF($I41&gt;0%,IF(AND(FI$16&gt;=$F41,FI$16&lt;$F41+($G41*$I41)),"➤",""),"")</f>
        <v/>
      </c>
      <c r="FJ41" s="76" t="str">
        <f aca="false">IF($I41&gt;0%,IF(AND(FJ$16&gt;=$F41,FJ$16&lt;$F41+($G41*$I41)),"➤",""),"")</f>
        <v/>
      </c>
      <c r="FK41" s="76" t="str">
        <f aca="false">IF($I41&gt;0%,IF(AND(FK$16&gt;=$F41,FK$16&lt;$F41+($G41*$I41)),"➤",""),"")</f>
        <v/>
      </c>
      <c r="FL41" s="76" t="str">
        <f aca="false">IF($I41&gt;0%,IF(AND(FL$16&gt;=$F41,FL$16&lt;$F41+($G41*$I41)),"➤",""),"")</f>
        <v/>
      </c>
      <c r="FM41" s="76" t="str">
        <f aca="false">IF($I41&gt;0%,IF(AND(FM$16&gt;=$F41,FM$16&lt;$F41+($G41*$I41)),"➤",""),"")</f>
        <v/>
      </c>
      <c r="FN41" s="76" t="str">
        <f aca="false">IF($I41&gt;0%,IF(AND(FN$16&gt;=$F41,FN$16&lt;$F41+($G41*$I41)),"➤",""),"")</f>
        <v/>
      </c>
      <c r="FO41" s="76" t="str">
        <f aca="false">IF($I41&gt;0%,IF(AND(FO$16&gt;=$F41,FO$16&lt;$F41+($G41*$I41)),"➤",""),"")</f>
        <v/>
      </c>
      <c r="FP41" s="76" t="str">
        <f aca="false">IF($I41&gt;0%,IF(AND(FP$16&gt;=$F41,FP$16&lt;$F41+($G41*$I41)),"➤",""),"")</f>
        <v/>
      </c>
      <c r="FQ41" s="76" t="str">
        <f aca="false">IF($I41&gt;0%,IF(AND(FQ$16&gt;=$F41,FQ$16&lt;$F41+($G41*$I41)),"➤",""),"")</f>
        <v/>
      </c>
      <c r="FR41" s="76" t="str">
        <f aca="false">IF($I41&gt;0%,IF(AND(FR$16&gt;=$F41,FR$16&lt;$F41+($G41*$I41)),"➤",""),"")</f>
        <v/>
      </c>
      <c r="FS41" s="76" t="str">
        <f aca="false">IF($I41&gt;0%,IF(AND(FS$16&gt;=$F41,FS$16&lt;$F41+($G41*$I41)),"➤",""),"")</f>
        <v/>
      </c>
      <c r="FT41" s="76" t="str">
        <f aca="false">IF($I41&gt;0%,IF(AND(FT$16&gt;=$F41,FT$16&lt;$F41+($G41*$I41)),"➤",""),"")</f>
        <v/>
      </c>
      <c r="FU41" s="76" t="str">
        <f aca="false">IF($I41&gt;0%,IF(AND(FU$16&gt;=$F41,FU$16&lt;$F41+($G41*$I41)),"➤",""),"")</f>
        <v/>
      </c>
      <c r="FV41" s="76" t="str">
        <f aca="false">IF($I41&gt;0%,IF(AND(FV$16&gt;=$F41,FV$16&lt;$F41+($G41*$I41)),"➤",""),"")</f>
        <v/>
      </c>
      <c r="FW41" s="76" t="str">
        <f aca="false">IF($I41&gt;0%,IF(AND(FW$16&gt;=$F41,FW$16&lt;$F41+($G41*$I41)),"➤",""),"")</f>
        <v/>
      </c>
      <c r="FX41" s="76" t="str">
        <f aca="false">IF($I41&gt;0%,IF(AND(FX$16&gt;=$F41,FX$16&lt;$F41+($G41*$I41)),"➤",""),"")</f>
        <v/>
      </c>
      <c r="FY41" s="76" t="str">
        <f aca="false">IF($I41&gt;0%,IF(AND(FY$16&gt;=$F41,FY$16&lt;$F41+($G41*$I41)),"➤",""),"")</f>
        <v/>
      </c>
      <c r="FZ41" s="76" t="str">
        <f aca="false">IF($I41&gt;0%,IF(AND(FZ$16&gt;=$F41,FZ$16&lt;$F41+($G41*$I41)),"➤",""),"")</f>
        <v/>
      </c>
      <c r="GA41" s="76" t="str">
        <f aca="false">IF($I41&gt;0%,IF(AND(GA$16&gt;=$F41,GA$16&lt;$F41+($G41*$I41)),"➤",""),"")</f>
        <v/>
      </c>
      <c r="GB41" s="76" t="str">
        <f aca="false">IF($I41&gt;0%,IF(AND(GB$16&gt;=$F41,GB$16&lt;$F41+($G41*$I41)),"➤",""),"")</f>
        <v/>
      </c>
      <c r="GC41" s="76" t="str">
        <f aca="false">IF($I41&gt;0%,IF(AND(GC$16&gt;=$F41,GC$16&lt;$F41+($G41*$I41)),"➤",""),"")</f>
        <v/>
      </c>
      <c r="GD41" s="76" t="str">
        <f aca="false">IF($I41&gt;0%,IF(AND(GD$16&gt;=$F41,GD$16&lt;$F41+($G41*$I41)),"➤",""),"")</f>
        <v/>
      </c>
      <c r="GE41" s="76" t="str">
        <f aca="false">IF($I41&gt;0%,IF(AND(GE$16&gt;=$F41,GE$16&lt;$F41+($G41*$I41)),"➤",""),"")</f>
        <v/>
      </c>
      <c r="GF41" s="76" t="str">
        <f aca="false">IF($I41&gt;0%,IF(AND(GF$16&gt;=$F41,GF$16&lt;$F41+($G41*$I41)),"➤",""),"")</f>
        <v/>
      </c>
      <c r="GG41" s="76" t="str">
        <f aca="false">IF($I41&gt;0%,IF(AND(GG$16&gt;=$F41,GG$16&lt;$F41+($G41*$I41)),"➤",""),"")</f>
        <v/>
      </c>
      <c r="GH41" s="76" t="str">
        <f aca="false">IF($I41&gt;0%,IF(AND(GH$16&gt;=$F41,GH$16&lt;$F41+($G41*$I41)),"➤",""),"")</f>
        <v/>
      </c>
      <c r="GI41" s="76" t="str">
        <f aca="false">IF($I41&gt;0%,IF(AND(GI$16&gt;=$F41,GI$16&lt;$F41+($G41*$I41)),"➤",""),"")</f>
        <v/>
      </c>
      <c r="GJ41" s="76" t="str">
        <f aca="false">IF($I41&gt;0%,IF(AND(GJ$16&gt;=$F41,GJ$16&lt;$F41+($G41*$I41)),"➤",""),"")</f>
        <v/>
      </c>
      <c r="GK41" s="76" t="str">
        <f aca="false">IF($I41&gt;0%,IF(AND(GK$16&gt;=$F41,GK$16&lt;$F41+($G41*$I41)),"➤",""),"")</f>
        <v/>
      </c>
      <c r="GL41" s="76" t="str">
        <f aca="false">IF($I41&gt;0%,IF(AND(GL$16&gt;=$F41,GL$16&lt;$F41+($G41*$I41)),"➤",""),"")</f>
        <v/>
      </c>
      <c r="GM41" s="76" t="str">
        <f aca="false">IF($I41&gt;0%,IF(AND(GM$16&gt;=$F41,GM$16&lt;$F41+($G41*$I41)),"➤",""),"")</f>
        <v/>
      </c>
      <c r="GN41" s="76" t="str">
        <f aca="false">IF($I41&gt;0%,IF(AND(GN$16&gt;=$F41,GN$16&lt;$F41+($G41*$I41)),"➤",""),"")</f>
        <v/>
      </c>
      <c r="GO41" s="76" t="str">
        <f aca="false">IF($I41&gt;0%,IF(AND(GO$16&gt;=$F41,GO$16&lt;$F41+($G41*$I41)),"➤",""),"")</f>
        <v/>
      </c>
      <c r="GP41" s="76" t="str">
        <f aca="false">IF($I41&gt;0%,IF(AND(GP$16&gt;=$F41,GP$16&lt;$F41+($G41*$I41)),"➤",""),"")</f>
        <v/>
      </c>
      <c r="GQ41" s="76" t="str">
        <f aca="false">IF($I41&gt;0%,IF(AND(GQ$16&gt;=$F41,GQ$16&lt;$F41+($G41*$I41)),"➤",""),"")</f>
        <v/>
      </c>
      <c r="GR41" s="76" t="str">
        <f aca="false">IF($I41&gt;0%,IF(AND(GR$16&gt;=$F41,GR$16&lt;$F41+($G41*$I41)),"➤",""),"")</f>
        <v/>
      </c>
      <c r="GS41" s="76" t="str">
        <f aca="false">IF($I41&gt;0%,IF(AND(GS$16&gt;=$F41,GS$16&lt;$F41+($G41*$I41)),"➤",""),"")</f>
        <v/>
      </c>
      <c r="GT41" s="76" t="str">
        <f aca="false">IF($I41&gt;0%,IF(AND(GT$16&gt;=$F41,GT$16&lt;$F41+($G41*$I41)),"➤",""),"")</f>
        <v/>
      </c>
      <c r="GU41" s="76" t="str">
        <f aca="false">IF($I41&gt;0%,IF(AND(GU$16&gt;=$F41,GU$16&lt;$F41+($G41*$I41)),"➤",""),"")</f>
        <v/>
      </c>
      <c r="GV41" s="76" t="str">
        <f aca="false">IF($I41&gt;0%,IF(AND(GV$16&gt;=$F41,GV$16&lt;$F41+($G41*$I41)),"➤",""),"")</f>
        <v/>
      </c>
      <c r="GW41" s="76" t="str">
        <f aca="false">IF($I41&gt;0%,IF(AND(GW$16&gt;=$F41,GW$16&lt;$F41+($G41*$I41)),"➤",""),"")</f>
        <v/>
      </c>
      <c r="GX41" s="76" t="str">
        <f aca="false">IF($I41&gt;0%,IF(AND(GX$16&gt;=$F41,GX$16&lt;$F41+($G41*$I41)),"➤",""),"")</f>
        <v/>
      </c>
      <c r="GY41" s="76" t="str">
        <f aca="false">IF($I41&gt;0%,IF(AND(GY$16&gt;=$F41,GY$16&lt;$F41+($G41*$I41)),"➤",""),"")</f>
        <v/>
      </c>
      <c r="GZ41" s="76" t="str">
        <f aca="false">IF($I41&gt;0%,IF(AND(GZ$16&gt;=$F41,GZ$16&lt;$F41+($G41*$I41)),"➤",""),"")</f>
        <v/>
      </c>
      <c r="HA41" s="76" t="str">
        <f aca="false">IF($I41&gt;0%,IF(AND(HA$16&gt;=$F41,HA$16&lt;$F41+($G41*$I41)),"➤",""),"")</f>
        <v/>
      </c>
      <c r="HB41" s="76" t="str">
        <f aca="false">IF($I41&gt;0%,IF(AND(HB$16&gt;=$F41,HB$16&lt;$F41+($G41*$I41)),"➤",""),"")</f>
        <v/>
      </c>
      <c r="HC41" s="76" t="str">
        <f aca="false">IF($I41&gt;0%,IF(AND(HC$16&gt;=$F41,HC$16&lt;$F41+($G41*$I41)),"➤",""),"")</f>
        <v/>
      </c>
      <c r="HD41" s="76" t="str">
        <f aca="false">IF($I41&gt;0%,IF(AND(HD$16&gt;=$F41,HD$16&lt;$F41+($G41*$I41)),"➤",""),"")</f>
        <v/>
      </c>
      <c r="HE41" s="76" t="str">
        <f aca="false">IF($I41&gt;0%,IF(AND(HE$16&gt;=$F41,HE$16&lt;$F41+($G41*$I41)),"➤",""),"")</f>
        <v/>
      </c>
      <c r="HF41" s="76" t="str">
        <f aca="false">IF($I41&gt;0%,IF(AND(HF$16&gt;=$F41,HF$16&lt;$F41+($G41*$I41)),"➤",""),"")</f>
        <v/>
      </c>
      <c r="HG41" s="76" t="str">
        <f aca="false">IF($I41&gt;0%,IF(AND(HG$16&gt;=$F41,HG$16&lt;$F41+($G41*$I41)),"➤",""),"")</f>
        <v/>
      </c>
      <c r="HH41" s="76" t="str">
        <f aca="false">IF($I41&gt;0%,IF(AND(HH$16&gt;=$F41,HH$16&lt;$F41+($G41*$I41)),"➤",""),"")</f>
        <v/>
      </c>
      <c r="HI41" s="76" t="str">
        <f aca="false">IF($I41&gt;0%,IF(AND(HI$16&gt;=$F41,HI$16&lt;$F41+($G41*$I41)),"➤",""),"")</f>
        <v/>
      </c>
      <c r="HJ41" s="76" t="str">
        <f aca="false">IF($I41&gt;0%,IF(AND(HJ$16&gt;=$F41,HJ$16&lt;$F41+($G41*$I41)),"➤",""),"")</f>
        <v/>
      </c>
      <c r="HK41" s="76" t="str">
        <f aca="false">IF($I41&gt;0%,IF(AND(HK$16&gt;=$F41,HK$16&lt;$F41+($G41*$I41)),"➤",""),"")</f>
        <v/>
      </c>
      <c r="HL41" s="76" t="str">
        <f aca="false">IF($I41&gt;0%,IF(AND(HL$16&gt;=$F41,HL$16&lt;$F41+($G41*$I41)),"➤",""),"")</f>
        <v/>
      </c>
      <c r="HM41" s="76" t="str">
        <f aca="false">IF($I41&gt;0%,IF(AND(HM$16&gt;=$F41,HM$16&lt;$F41+($G41*$I41)),"➤",""),"")</f>
        <v/>
      </c>
      <c r="HN41" s="76" t="str">
        <f aca="false">IF($I41&gt;0%,IF(AND(HN$16&gt;=$F41,HN$16&lt;$F41+($G41*$I41)),"➤",""),"")</f>
        <v/>
      </c>
      <c r="HO41" s="76" t="str">
        <f aca="false">IF($I41&gt;0%,IF(AND(HO$16&gt;=$F41,HO$16&lt;$F41+($G41*$I41)),"➤",""),"")</f>
        <v/>
      </c>
      <c r="HP41" s="76" t="str">
        <f aca="false">IF($I41&gt;0%,IF(AND(HP$16&gt;=$F41,HP$16&lt;$F41+($G41*$I41)),"➤",""),"")</f>
        <v/>
      </c>
      <c r="HQ41" s="76" t="str">
        <f aca="false">IF($I41&gt;0%,IF(AND(HQ$16&gt;=$F41,HQ$16&lt;$F41+($G41*$I41)),"➤",""),"")</f>
        <v/>
      </c>
      <c r="HR41" s="76" t="str">
        <f aca="false">IF($I41&gt;0%,IF(AND(HR$16&gt;=$F41,HR$16&lt;$F41+($G41*$I41)),"➤",""),"")</f>
        <v/>
      </c>
      <c r="HS41" s="76" t="str">
        <f aca="false">IF($I41&gt;0%,IF(AND(HS$16&gt;=$F41,HS$16&lt;$F41+($G41*$I41)),"➤",""),"")</f>
        <v/>
      </c>
      <c r="HT41" s="76" t="str">
        <f aca="false">IF($I41&gt;0%,IF(AND(HT$16&gt;=$F41,HT$16&lt;$F41+($G41*$I41)),"➤",""),"")</f>
        <v/>
      </c>
      <c r="HU41" s="76" t="str">
        <f aca="false">IF($I41&gt;0%,IF(AND(HU$16&gt;=$F41,HU$16&lt;$F41+($G41*$I41)),"➤",""),"")</f>
        <v/>
      </c>
      <c r="HV41" s="76" t="str">
        <f aca="false">IF($I41&gt;0%,IF(AND(HV$16&gt;=$F41,HV$16&lt;$F41+($G41*$I41)),"➤",""),"")</f>
        <v/>
      </c>
      <c r="HW41" s="76" t="str">
        <f aca="false">IF($I41&gt;0%,IF(AND(HW$16&gt;=$F41,HW$16&lt;$F41+($G41*$I41)),"➤",""),"")</f>
        <v/>
      </c>
      <c r="HX41" s="76" t="str">
        <f aca="false">IF($I41&gt;0%,IF(AND(HX$16&gt;=$F41,HX$16&lt;$F41+($G41*$I41)),"➤",""),"")</f>
        <v/>
      </c>
      <c r="HY41" s="76" t="str">
        <f aca="false">IF($I41&gt;0%,IF(AND(HY$16&gt;=$F41,HY$16&lt;$F41+($G41*$I41)),"➤",""),"")</f>
        <v/>
      </c>
      <c r="HZ41" s="76" t="str">
        <f aca="false">IF($I41&gt;0%,IF(AND(HZ$16&gt;=$F41,HZ$16&lt;$F41+($G41*$I41)),"➤",""),"")</f>
        <v/>
      </c>
      <c r="IA41" s="76" t="str">
        <f aca="false">IF($I41&gt;0%,IF(AND(IA$16&gt;=$F41,IA$16&lt;$F41+($G41*$I41)),"➤",""),"")</f>
        <v/>
      </c>
      <c r="IB41" s="76" t="str">
        <f aca="false">IF($I41&gt;0%,IF(AND(IB$16&gt;=$F41,IB$16&lt;$F41+($G41*$I41)),"➤",""),"")</f>
        <v/>
      </c>
      <c r="IC41" s="76" t="str">
        <f aca="false">IF($I41&gt;0%,IF(AND(IC$16&gt;=$F41,IC$16&lt;$F41+($G41*$I41)),"➤",""),"")</f>
        <v/>
      </c>
      <c r="ID41" s="76" t="str">
        <f aca="false">IF($I41&gt;0%,IF(AND(ID$16&gt;=$F41,ID$16&lt;$F41+($G41*$I41)),"➤",""),"")</f>
        <v/>
      </c>
      <c r="IE41" s="76" t="str">
        <f aca="false">IF($I41&gt;0%,IF(AND(IE$16&gt;=$F41,IE$16&lt;$F41+($G41*$I41)),"➤",""),"")</f>
        <v/>
      </c>
      <c r="IF41" s="76" t="str">
        <f aca="false">IF($I41&gt;0%,IF(AND(IF$16&gt;=$F41,IF$16&lt;$F41+($G41*$I41)),"➤",""),"")</f>
        <v/>
      </c>
      <c r="IG41" s="76" t="str">
        <f aca="false">IF($I41&gt;0%,IF(AND(IG$16&gt;=$F41,IG$16&lt;$F41+($G41*$I41)),"➤",""),"")</f>
        <v/>
      </c>
      <c r="IH41" s="76" t="str">
        <f aca="false">IF($I41&gt;0%,IF(AND(IH$16&gt;=$F41,IH$16&lt;$F41+($G41*$I41)),"➤",""),"")</f>
        <v/>
      </c>
      <c r="II41" s="76" t="str">
        <f aca="false">IF($I41&gt;0%,IF(AND(II$16&gt;=$F41,II$16&lt;$F41+($G41*$I41)),"➤",""),"")</f>
        <v/>
      </c>
      <c r="IJ41" s="76" t="str">
        <f aca="false">IF($I41&gt;0%,IF(AND(IJ$16&gt;=$F41,IJ$16&lt;$F41+($G41*$I41)),"➤",""),"")</f>
        <v/>
      </c>
      <c r="IK41" s="76" t="str">
        <f aca="false">IF($I41&gt;0%,IF(AND(IK$16&gt;=$F41,IK$16&lt;$F41+($G41*$I41)),"➤",""),"")</f>
        <v/>
      </c>
      <c r="IL41" s="76" t="str">
        <f aca="false">IF($I41&gt;0%,IF(AND(IL$16&gt;=$F41,IL$16&lt;$F41+($G41*$I41)),"➤",""),"")</f>
        <v/>
      </c>
      <c r="IM41" s="76" t="str">
        <f aca="false">IF($I41&gt;0%,IF(AND(IM$16&gt;=$F41,IM$16&lt;$F41+($G41*$I41)),"➤",""),"")</f>
        <v/>
      </c>
      <c r="IN41" s="76" t="str">
        <f aca="false">IF($I41&gt;0%,IF(AND(IN$16&gt;=$F41,IN$16&lt;$F41+($G41*$I41)),"➤",""),"")</f>
        <v/>
      </c>
      <c r="IO41" s="76" t="str">
        <f aca="false">IF($I41&gt;0%,IF(AND(IO$16&gt;=$F41,IO$16&lt;$F41+($G41*$I41)),"➤",""),"")</f>
        <v/>
      </c>
      <c r="IP41" s="76" t="str">
        <f aca="false">IF($I41&gt;0%,IF(AND(IP$16&gt;=$F41,IP$16&lt;$F41+($G41*$I41)),"➤",""),"")</f>
        <v/>
      </c>
      <c r="IQ41" s="76" t="str">
        <f aca="false">IF($I41&gt;0%,IF(AND(IQ$16&gt;=$F41,IQ$16&lt;$F41+($G41*$I41)),"➤",""),"")</f>
        <v/>
      </c>
      <c r="IR41" s="76" t="str">
        <f aca="false">IF($I41&gt;0%,IF(AND(IR$16&gt;=$F41,IR$16&lt;$F41+($G41*$I41)),"➤",""),"")</f>
        <v/>
      </c>
      <c r="IS41" s="76" t="str">
        <f aca="false">IF($I41&gt;0%,IF(AND(IS$16&gt;=$F41,IS$16&lt;$F41+($G41*$I41)),"➤",""),"")</f>
        <v/>
      </c>
      <c r="IT41" s="76" t="str">
        <f aca="false">IF($I41&gt;0%,IF(AND(IT$16&gt;=$F41,IT$16&lt;$F41+($G41*$I41)),"➤",""),"")</f>
        <v/>
      </c>
      <c r="IU41" s="76" t="str">
        <f aca="false">IF($I41&gt;0%,IF(AND(IU$16&gt;=$F41,IU$16&lt;$F41+($G41*$I41)),"➤",""),"")</f>
        <v/>
      </c>
      <c r="IV41" s="76" t="str">
        <f aca="false">IF($I41&gt;0%,IF(AND(IV$16&gt;=$F41,IV$16&lt;$F41+($G41*$I41)),"➤",""),"")</f>
        <v/>
      </c>
      <c r="IW41" s="76" t="str">
        <f aca="false">IF($I41&gt;0%,IF(AND(IW$16&gt;=$F41,IW$16&lt;$F41+($G41*$I41)),"➤",""),"")</f>
        <v/>
      </c>
      <c r="IX41" s="76" t="str">
        <f aca="false">IF($I41&gt;0%,IF(AND(IX$16&gt;=$F41,IX$16&lt;$F41+($G41*$I41)),"➤",""),"")</f>
        <v/>
      </c>
      <c r="IY41" s="76" t="str">
        <f aca="false">IF($I41&gt;0%,IF(AND(IY$16&gt;=$F41,IY$16&lt;$F41+($G41*$I41)),"➤",""),"")</f>
        <v/>
      </c>
      <c r="IZ41" s="76" t="str">
        <f aca="false">IF($I41&gt;0%,IF(AND(IZ$16&gt;=$F41,IZ$16&lt;$F41+($G41*$I41)),"➤",""),"")</f>
        <v/>
      </c>
      <c r="JA41" s="76" t="str">
        <f aca="false">IF($I41&gt;0%,IF(AND(JA$16&gt;=$F41,JA$16&lt;$F41+($G41*$I41)),"➤",""),"")</f>
        <v/>
      </c>
      <c r="JB41" s="76" t="str">
        <f aca="false">IF($I41&gt;0%,IF(AND(JB$16&gt;=$F41,JB$16&lt;$F41+($G41*$I41)),"➤",""),"")</f>
        <v/>
      </c>
      <c r="JC41" s="76" t="str">
        <f aca="false">IF($I41&gt;0%,IF(AND(JC$16&gt;=$F41,JC$16&lt;$F41+($G41*$I41)),"➤",""),"")</f>
        <v/>
      </c>
      <c r="JD41" s="76" t="str">
        <f aca="false">IF($I41&gt;0%,IF(AND(JD$16&gt;=$F41,JD$16&lt;$F41+($G41*$I41)),"➤",""),"")</f>
        <v/>
      </c>
      <c r="JE41" s="76" t="str">
        <f aca="false">IF($I41&gt;0%,IF(AND(JE$16&gt;=$F41,JE$16&lt;$F41+($G41*$I41)),"➤",""),"")</f>
        <v/>
      </c>
      <c r="JF41" s="76" t="str">
        <f aca="false">IF($I41&gt;0%,IF(AND(JF$16&gt;=$F41,JF$16&lt;$F41+($G41*$I41)),"➤",""),"")</f>
        <v/>
      </c>
      <c r="JG41" s="76" t="str">
        <f aca="false">IF($I41&gt;0%,IF(AND(JG$16&gt;=$F41,JG$16&lt;$F41+($G41*$I41)),"➤",""),"")</f>
        <v/>
      </c>
      <c r="JH41" s="76" t="str">
        <f aca="false">IF($I41&gt;0%,IF(AND(JH$16&gt;=$F41,JH$16&lt;$F41+($G41*$I41)),"➤",""),"")</f>
        <v/>
      </c>
      <c r="JI41" s="76" t="str">
        <f aca="false">IF($I41&gt;0%,IF(AND(JI$16&gt;=$F41,JI$16&lt;$F41+($G41*$I41)),"➤",""),"")</f>
        <v/>
      </c>
      <c r="JJ41" s="76" t="str">
        <f aca="false">IF($I41&gt;0%,IF(AND(JJ$16&gt;=$F41,JJ$16&lt;$F41+($G41*$I41)),"➤",""),"")</f>
        <v/>
      </c>
      <c r="JK41" s="76" t="str">
        <f aca="false">IF($I41&gt;0%,IF(AND(JK$16&gt;=$F41,JK$16&lt;$F41+($G41*$I41)),"➤",""),"")</f>
        <v/>
      </c>
      <c r="JL41" s="76" t="str">
        <f aca="false">IF($I41&gt;0%,IF(AND(JL$16&gt;=$F41,JL$16&lt;$F41+($G41*$I41)),"➤",""),"")</f>
        <v/>
      </c>
      <c r="JM41" s="76" t="str">
        <f aca="false">IF($I41&gt;0%,IF(AND(JM$16&gt;=$F41,JM$16&lt;$F41+($G41*$I41)),"➤",""),"")</f>
        <v/>
      </c>
      <c r="JN41" s="76" t="str">
        <f aca="false">IF($I41&gt;0%,IF(AND(JN$16&gt;=$F41,JN$16&lt;$F41+($G41*$I41)),"➤",""),"")</f>
        <v/>
      </c>
      <c r="JO41" s="76" t="str">
        <f aca="false">IF($I41&gt;0%,IF(AND(JO$16&gt;=$F41,JO$16&lt;$F41+($G41*$I41)),"➤",""),"")</f>
        <v/>
      </c>
      <c r="JP41" s="76" t="str">
        <f aca="false">IF($I41&gt;0%,IF(AND(JP$16&gt;=$F41,JP$16&lt;$F41+($G41*$I41)),"➤",""),"")</f>
        <v/>
      </c>
      <c r="JQ41" s="76" t="str">
        <f aca="false">IF($I41&gt;0%,IF(AND(JQ$16&gt;=$F41,JQ$16&lt;$F41+($G41*$I41)),"➤",""),"")</f>
        <v/>
      </c>
      <c r="JR41" s="76" t="str">
        <f aca="false">IF($I41&gt;0%,IF(AND(JR$16&gt;=$F41,JR$16&lt;$F41+($G41*$I41)),"➤",""),"")</f>
        <v/>
      </c>
      <c r="JS41" s="76" t="str">
        <f aca="false">IF($I41&gt;0%,IF(AND(JS$16&gt;=$F41,JS$16&lt;$F41+($G41*$I41)),"➤",""),"")</f>
        <v/>
      </c>
      <c r="JT41" s="76" t="str">
        <f aca="false">IF($I41&gt;0%,IF(AND(JT$16&gt;=$F41,JT$16&lt;$F41+($G41*$I41)),"➤",""),"")</f>
        <v/>
      </c>
      <c r="JU41" s="76" t="str">
        <f aca="false">IF($I41&gt;0%,IF(AND(JU$16&gt;=$F41,JU$16&lt;$F41+($G41*$I41)),"➤",""),"")</f>
        <v/>
      </c>
      <c r="JV41" s="76" t="str">
        <f aca="false">IF($I41&gt;0%,IF(AND(JV$16&gt;=$F41,JV$16&lt;$F41+($G41*$I41)),"➤",""),"")</f>
        <v/>
      </c>
      <c r="JW41" s="76" t="str">
        <f aca="false">IF($I41&gt;0%,IF(AND(JW$16&gt;=$F41,JW$16&lt;$F41+($G41*$I41)),"➤",""),"")</f>
        <v/>
      </c>
      <c r="JX41" s="76" t="str">
        <f aca="false">IF($I41&gt;0%,IF(AND(JX$16&gt;=$F41,JX$16&lt;$F41+($G41*$I41)),"➤",""),"")</f>
        <v/>
      </c>
      <c r="JY41" s="76" t="str">
        <f aca="false">IF($I41&gt;0%,IF(AND(JY$16&gt;=$F41,JY$16&lt;$F41+($G41*$I41)),"➤",""),"")</f>
        <v/>
      </c>
      <c r="JZ41" s="76" t="str">
        <f aca="false">IF($I41&gt;0%,IF(AND(JZ$16&gt;=$F41,JZ$16&lt;$F41+($G41*$I41)),"➤",""),"")</f>
        <v/>
      </c>
      <c r="KA41" s="76" t="str">
        <f aca="false">IF($I41&gt;0%,IF(AND(KA$16&gt;=$F41,KA$16&lt;$F41+($G41*$I41)),"➤",""),"")</f>
        <v/>
      </c>
      <c r="KB41" s="76" t="str">
        <f aca="false">IF($I41&gt;0%,IF(AND(KB$16&gt;=$F41,KB$16&lt;$F41+($G41*$I41)),"➤",""),"")</f>
        <v/>
      </c>
      <c r="KC41" s="76" t="str">
        <f aca="false">IF($I41&gt;0%,IF(AND(KC$16&gt;=$F41,KC$16&lt;$F41+($G41*$I41)),"➤",""),"")</f>
        <v/>
      </c>
      <c r="KD41" s="76" t="str">
        <f aca="false">IF($I41&gt;0%,IF(AND(KD$16&gt;=$F41,KD$16&lt;$F41+($G41*$I41)),"➤",""),"")</f>
        <v/>
      </c>
      <c r="KE41" s="76" t="str">
        <f aca="false">IF($I41&gt;0%,IF(AND(KE$16&gt;=$F41,KE$16&lt;$F41+($G41*$I41)),"➤",""),"")</f>
        <v/>
      </c>
      <c r="KF41" s="76" t="str">
        <f aca="false">IF($I41&gt;0%,IF(AND(KF$16&gt;=$F41,KF$16&lt;$F41+($G41*$I41)),"➤",""),"")</f>
        <v/>
      </c>
      <c r="KG41" s="76" t="str">
        <f aca="false">IF($I41&gt;0%,IF(AND(KG$16&gt;=$F41,KG$16&lt;$F41+($G41*$I41)),"➤",""),"")</f>
        <v/>
      </c>
      <c r="KH41" s="76" t="str">
        <f aca="false">IF($I41&gt;0%,IF(AND(KH$16&gt;=$F41,KH$16&lt;$F41+($G41*$I41)),"➤",""),"")</f>
        <v/>
      </c>
      <c r="KI41" s="76" t="str">
        <f aca="false">IF($I41&gt;0%,IF(AND(KI$16&gt;=$F41,KI$16&lt;$F41+($G41*$I41)),"➤",""),"")</f>
        <v/>
      </c>
      <c r="KJ41" s="76" t="str">
        <f aca="false">IF($I41&gt;0%,IF(AND(KJ$16&gt;=$F41,KJ$16&lt;$F41+($G41*$I41)),"➤",""),"")</f>
        <v/>
      </c>
      <c r="KK41" s="76" t="str">
        <f aca="false">IF($I41&gt;0%,IF(AND(KK$16&gt;=$F41,KK$16&lt;$F41+($G41*$I41)),"➤",""),"")</f>
        <v/>
      </c>
      <c r="KL41" s="76" t="str">
        <f aca="false">IF($I41&gt;0%,IF(AND(KL$16&gt;=$F41,KL$16&lt;$F41+($G41*$I41)),"➤",""),"")</f>
        <v/>
      </c>
      <c r="KM41" s="76" t="str">
        <f aca="false">IF($I41&gt;0%,IF(AND(KM$16&gt;=$F41,KM$16&lt;$F41+($G41*$I41)),"➤",""),"")</f>
        <v/>
      </c>
      <c r="KN41" s="76" t="str">
        <f aca="false">IF($I41&gt;0%,IF(AND(KN$16&gt;=$F41,KN$16&lt;$F41+($G41*$I41)),"➤",""),"")</f>
        <v/>
      </c>
      <c r="KO41" s="76" t="str">
        <f aca="false">IF($I41&gt;0%,IF(AND(KO$16&gt;=$F41,KO$16&lt;$F41+($G41*$I41)),"➤",""),"")</f>
        <v/>
      </c>
      <c r="KP41" s="76" t="str">
        <f aca="false">IF($I41&gt;0%,IF(AND(KP$16&gt;=$F41,KP$16&lt;$F41+($G41*$I41)),"➤",""),"")</f>
        <v/>
      </c>
      <c r="KQ41" s="76" t="str">
        <f aca="false">IF($I41&gt;0%,IF(AND(KQ$16&gt;=$F41,KQ$16&lt;$F41+($G41*$I41)),"➤",""),"")</f>
        <v/>
      </c>
      <c r="KR41" s="76" t="str">
        <f aca="false">IF($I41&gt;0%,IF(AND(KR$16&gt;=$F41,KR$16&lt;$F41+($G41*$I41)),"➤",""),"")</f>
        <v/>
      </c>
      <c r="KS41" s="76" t="str">
        <f aca="false">IF($I41&gt;0%,IF(AND(KS$16&gt;=$F41,KS$16&lt;$F41+($G41*$I41)),"➤",""),"")</f>
        <v/>
      </c>
      <c r="KT41" s="76" t="str">
        <f aca="false">IF($I41&gt;0%,IF(AND(KT$16&gt;=$F41,KT$16&lt;$F41+($G41*$I41)),"➤",""),"")</f>
        <v/>
      </c>
      <c r="KU41" s="76" t="str">
        <f aca="false">IF($I41&gt;0%,IF(AND(KU$16&gt;=$F41,KU$16&lt;$F41+($G41*$I41)),"➤",""),"")</f>
        <v/>
      </c>
      <c r="KV41" s="76" t="str">
        <f aca="false">IF($I41&gt;0%,IF(AND(KV$16&gt;=$F41,KV$16&lt;$F41+($G41*$I41)),"➤",""),"")</f>
        <v/>
      </c>
      <c r="KW41" s="76" t="str">
        <f aca="false">IF($I41&gt;0%,IF(AND(KW$16&gt;=$F41,KW$16&lt;$F41+($G41*$I41)),"➤",""),"")</f>
        <v/>
      </c>
      <c r="KX41" s="76" t="str">
        <f aca="false">IF($I41&gt;0%,IF(AND(KX$16&gt;=$F41,KX$16&lt;$F41+($G41*$I41)),"➤",""),"")</f>
        <v/>
      </c>
      <c r="KY41" s="76" t="str">
        <f aca="false">IF($I41&gt;0%,IF(AND(KY$16&gt;=$F41,KY$16&lt;$F41+($G41*$I41)),"➤",""),"")</f>
        <v/>
      </c>
      <c r="KZ41" s="76" t="str">
        <f aca="false">IF($I41&gt;0%,IF(AND(KZ$16&gt;=$F41,KZ$16&lt;$F41+($G41*$I41)),"➤",""),"")</f>
        <v/>
      </c>
      <c r="LA41" s="76" t="str">
        <f aca="false">IF($I41&gt;0%,IF(AND(LA$16&gt;=$F41,LA$16&lt;$F41+($G41*$I41)),"➤",""),"")</f>
        <v/>
      </c>
      <c r="LB41" s="76" t="str">
        <f aca="false">IF($I41&gt;0%,IF(AND(LB$16&gt;=$F41,LB$16&lt;$F41+($G41*$I41)),"➤",""),"")</f>
        <v/>
      </c>
      <c r="LC41" s="76" t="str">
        <f aca="false">IF($I41&gt;0%,IF(AND(LC$16&gt;=$F41,LC$16&lt;$F41+($G41*$I41)),"➤",""),"")</f>
        <v/>
      </c>
      <c r="LD41" s="76" t="str">
        <f aca="false">IF($I41&gt;0%,IF(AND(LD$16&gt;=$F41,LD$16&lt;$F41+($G41*$I41)),"➤",""),"")</f>
        <v/>
      </c>
      <c r="LE41" s="76" t="str">
        <f aca="false">IF($I41&gt;0%,IF(AND(LE$16&gt;=$F41,LE$16&lt;$F41+($G41*$I41)),"➤",""),"")</f>
        <v/>
      </c>
      <c r="LF41" s="76" t="str">
        <f aca="false">IF($I41&gt;0%,IF(AND(LF$16&gt;=$F41,LF$16&lt;$F41+($G41*$I41)),"➤",""),"")</f>
        <v/>
      </c>
      <c r="LG41" s="76" t="str">
        <f aca="false">IF($I41&gt;0%,IF(AND(LG$16&gt;=$F41,LG$16&lt;$F41+($G41*$I41)),"➤",""),"")</f>
        <v/>
      </c>
      <c r="LH41" s="76" t="str">
        <f aca="false">IF($I41&gt;0%,IF(AND(LH$16&gt;=$F41,LH$16&lt;$F41+($G41*$I41)),"➤",""),"")</f>
        <v/>
      </c>
      <c r="LI41" s="76" t="str">
        <f aca="false">IF($I41&gt;0%,IF(AND(LI$16&gt;=$F41,LI$16&lt;$F41+($G41*$I41)),"➤",""),"")</f>
        <v/>
      </c>
      <c r="LJ41" s="76" t="str">
        <f aca="false">IF($I41&gt;0%,IF(AND(LJ$16&gt;=$F41,LJ$16&lt;$F41+($G41*$I41)),"➤",""),"")</f>
        <v/>
      </c>
      <c r="LK41" s="76" t="str">
        <f aca="false">IF($I41&gt;0%,IF(AND(LK$16&gt;=$F41,LK$16&lt;$F41+($G41*$I41)),"➤",""),"")</f>
        <v/>
      </c>
      <c r="LL41" s="76" t="str">
        <f aca="false">IF($I41&gt;0%,IF(AND(LL$16&gt;=$F41,LL$16&lt;$F41+($G41*$I41)),"➤",""),"")</f>
        <v/>
      </c>
      <c r="LM41" s="76" t="str">
        <f aca="false">IF($I41&gt;0%,IF(AND(LM$16&gt;=$F41,LM$16&lt;$F41+($G41*$I41)),"➤",""),"")</f>
        <v/>
      </c>
      <c r="LN41" s="76" t="str">
        <f aca="false">IF($I41&gt;0%,IF(AND(LN$16&gt;=$F41,LN$16&lt;$F41+($G41*$I41)),"➤",""),"")</f>
        <v/>
      </c>
      <c r="LO41" s="76" t="str">
        <f aca="false">IF($I41&gt;0%,IF(AND(LO$16&gt;=$F41,LO$16&lt;$F41+($G41*$I41)),"➤",""),"")</f>
        <v/>
      </c>
      <c r="LP41" s="76" t="str">
        <f aca="false">IF($I41&gt;0%,IF(AND(LP$16&gt;=$F41,LP$16&lt;$F41+($G41*$I41)),"➤",""),"")</f>
        <v/>
      </c>
      <c r="LQ41" s="76" t="str">
        <f aca="false">IF($I41&gt;0%,IF(AND(LQ$16&gt;=$F41,LQ$16&lt;$F41+($G41*$I41)),"➤",""),"")</f>
        <v/>
      </c>
      <c r="LR41" s="76" t="str">
        <f aca="false">IF($I41&gt;0%,IF(AND(LR$16&gt;=$F41,LR$16&lt;$F41+($G41*$I41)),"➤",""),"")</f>
        <v/>
      </c>
      <c r="LS41" s="76" t="str">
        <f aca="false">IF($I41&gt;0%,IF(AND(LS$16&gt;=$F41,LS$16&lt;$F41+($G41*$I41)),"➤",""),"")</f>
        <v/>
      </c>
      <c r="LT41" s="76" t="str">
        <f aca="false">IF($I41&gt;0%,IF(AND(LT$16&gt;=$F41,LT$16&lt;$F41+($G41*$I41)),"➤",""),"")</f>
        <v/>
      </c>
      <c r="LU41" s="76" t="str">
        <f aca="false">IF($I41&gt;0%,IF(AND(LU$16&gt;=$F41,LU$16&lt;$F41+($G41*$I41)),"➤",""),"")</f>
        <v/>
      </c>
      <c r="LV41" s="76" t="str">
        <f aca="false">IF($I41&gt;0%,IF(AND(LV$16&gt;=$F41,LV$16&lt;$F41+($G41*$I41)),"➤",""),"")</f>
        <v/>
      </c>
      <c r="LW41" s="76" t="str">
        <f aca="false">IF($I41&gt;0%,IF(AND(LW$16&gt;=$F41,LW$16&lt;$F41+($G41*$I41)),"➤",""),"")</f>
        <v/>
      </c>
      <c r="LX41" s="76" t="str">
        <f aca="false">IF($I41&gt;0%,IF(AND(LX$16&gt;=$F41,LX$16&lt;$F41+($G41*$I41)),"➤",""),"")</f>
        <v/>
      </c>
      <c r="LY41" s="76" t="str">
        <f aca="false">IF($I41&gt;0%,IF(AND(LY$16&gt;=$F41,LY$16&lt;$F41+($G41*$I41)),"➤",""),"")</f>
        <v/>
      </c>
      <c r="LZ41" s="76" t="str">
        <f aca="false">IF($I41&gt;0%,IF(AND(LZ$16&gt;=$F41,LZ$16&lt;$F41+($G41*$I41)),"➤",""),"")</f>
        <v/>
      </c>
      <c r="MA41" s="76" t="str">
        <f aca="false">IF($I41&gt;0%,IF(AND(MA$16&gt;=$F41,MA$16&lt;$F41+($G41*$I41)),"➤",""),"")</f>
        <v/>
      </c>
      <c r="MB41" s="76" t="str">
        <f aca="false">IF($I41&gt;0%,IF(AND(MB$16&gt;=$F41,MB$16&lt;$F41+($G41*$I41)),"➤",""),"")</f>
        <v/>
      </c>
      <c r="MC41" s="76" t="str">
        <f aca="false">IF($I41&gt;0%,IF(AND(MC$16&gt;=$F41,MC$16&lt;$F41+($G41*$I41)),"➤",""),"")</f>
        <v/>
      </c>
      <c r="MD41" s="76" t="str">
        <f aca="false">IF($I41&gt;0%,IF(AND(MD$16&gt;=$F41,MD$16&lt;$F41+($G41*$I41)),"➤",""),"")</f>
        <v/>
      </c>
      <c r="ME41" s="76" t="str">
        <f aca="false">IF($I41&gt;0%,IF(AND(ME$16&gt;=$F41,ME$16&lt;$F41+($G41*$I41)),"➤",""),"")</f>
        <v/>
      </c>
      <c r="MF41" s="76" t="str">
        <f aca="false">IF($I41&gt;0%,IF(AND(MF$16&gt;=$F41,MF$16&lt;$F41+($G41*$I41)),"➤",""),"")</f>
        <v/>
      </c>
      <c r="MG41" s="76" t="str">
        <f aca="false">IF($I41&gt;0%,IF(AND(MG$16&gt;=$F41,MG$16&lt;$F41+($G41*$I41)),"➤",""),"")</f>
        <v/>
      </c>
      <c r="MH41" s="76" t="str">
        <f aca="false">IF($I41&gt;0%,IF(AND(MH$16&gt;=$F41,MH$16&lt;$F41+($G41*$I41)),"➤",""),"")</f>
        <v/>
      </c>
      <c r="MI41" s="76" t="str">
        <f aca="false">IF($I41&gt;0%,IF(AND(MI$16&gt;=$F41,MI$16&lt;$F41+($G41*$I41)),"➤",""),"")</f>
        <v/>
      </c>
      <c r="MJ41" s="76" t="str">
        <f aca="false">IF($I41&gt;0%,IF(AND(MJ$16&gt;=$F41,MJ$16&lt;$F41+($G41*$I41)),"➤",""),"")</f>
        <v/>
      </c>
      <c r="MK41" s="76" t="str">
        <f aca="false">IF($I41&gt;0%,IF(AND(MK$16&gt;=$F41,MK$16&lt;$F41+($G41*$I41)),"➤",""),"")</f>
        <v/>
      </c>
      <c r="ML41" s="76" t="str">
        <f aca="false">IF($I41&gt;0%,IF(AND(ML$16&gt;=$F41,ML$16&lt;$F41+($G41*$I41)),"➤",""),"")</f>
        <v/>
      </c>
      <c r="MM41" s="76" t="str">
        <f aca="false">IF($I41&gt;0%,IF(AND(MM$16&gt;=$F41,MM$16&lt;$F41+($G41*$I41)),"➤",""),"")</f>
        <v/>
      </c>
      <c r="MN41" s="76" t="str">
        <f aca="false">IF($I41&gt;0%,IF(AND(MN$16&gt;=$F41,MN$16&lt;$F41+($G41*$I41)),"➤",""),"")</f>
        <v/>
      </c>
      <c r="MO41" s="76" t="str">
        <f aca="false">IF($I41&gt;0%,IF(AND(MO$16&gt;=$F41,MO$16&lt;$F41+($G41*$I41)),"➤",""),"")</f>
        <v/>
      </c>
      <c r="MP41" s="76" t="str">
        <f aca="false">IF($I41&gt;0%,IF(AND(MP$16&gt;=$F41,MP$16&lt;$F41+($G41*$I41)),"➤",""),"")</f>
        <v/>
      </c>
      <c r="MQ41" s="76" t="str">
        <f aca="false">IF($I41&gt;0%,IF(AND(MQ$16&gt;=$F41,MQ$16&lt;$F41+($G41*$I41)),"➤",""),"")</f>
        <v/>
      </c>
      <c r="MR41" s="76" t="str">
        <f aca="false">IF($I41&gt;0%,IF(AND(MR$16&gt;=$F41,MR$16&lt;$F41+($G41*$I41)),"➤",""),"")</f>
        <v/>
      </c>
      <c r="MS41" s="76" t="str">
        <f aca="false">IF($I41&gt;0%,IF(AND(MS$16&gt;=$F41,MS$16&lt;$F41+($G41*$I41)),"➤",""),"")</f>
        <v/>
      </c>
      <c r="MT41" s="76" t="str">
        <f aca="false">IF($I41&gt;0%,IF(AND(MT$16&gt;=$F41,MT$16&lt;$F41+($G41*$I41)),"➤",""),"")</f>
        <v/>
      </c>
      <c r="MU41" s="76" t="str">
        <f aca="false">IF($I41&gt;0%,IF(AND(MU$16&gt;=$F41,MU$16&lt;$F41+($G41*$I41)),"➤",""),"")</f>
        <v/>
      </c>
      <c r="MV41" s="76" t="str">
        <f aca="false">IF($I41&gt;0%,IF(AND(MV$16&gt;=$F41,MV$16&lt;$F41+($G41*$I41)),"➤",""),"")</f>
        <v/>
      </c>
      <c r="MW41" s="76" t="str">
        <f aca="false">IF($I41&gt;0%,IF(AND(MW$16&gt;=$F41,MW$16&lt;$F41+($G41*$I41)),"➤",""),"")</f>
        <v/>
      </c>
      <c r="MX41" s="76" t="str">
        <f aca="false">IF($I41&gt;0%,IF(AND(MX$16&gt;=$F41,MX$16&lt;$F41+($G41*$I41)),"➤",""),"")</f>
        <v/>
      </c>
      <c r="MY41" s="76" t="str">
        <f aca="false">IF($I41&gt;0%,IF(AND(MY$16&gt;=$F41,MY$16&lt;$F41+($G41*$I41)),"➤",""),"")</f>
        <v/>
      </c>
      <c r="MZ41" s="76" t="str">
        <f aca="false">IF($I41&gt;0%,IF(AND(MZ$16&gt;=$F41,MZ$16&lt;$F41+($G41*$I41)),"➤",""),"")</f>
        <v/>
      </c>
      <c r="NA41" s="76" t="str">
        <f aca="false">IF($I41&gt;0%,IF(AND(NA$16&gt;=$F41,NA$16&lt;$F41+($G41*$I41)),"➤",""),"")</f>
        <v/>
      </c>
      <c r="NB41" s="76" t="str">
        <f aca="false">IF($I41&gt;0%,IF(AND(NB$16&gt;=$F41,NB$16&lt;$F41+($G41*$I41)),"➤",""),"")</f>
        <v/>
      </c>
      <c r="NC41" s="76" t="str">
        <f aca="false">IF($I41&gt;0%,IF(AND(NC$16&gt;=$F41,NC$16&lt;$F41+($G41*$I41)),"➤",""),"")</f>
        <v/>
      </c>
      <c r="ND41" s="76" t="str">
        <f aca="false">IF($I41&gt;0%,IF(AND(ND$16&gt;=$F41,ND$16&lt;$F41+($G41*$I41)),"➤",""),"")</f>
        <v/>
      </c>
      <c r="NE41" s="76" t="str">
        <f aca="false">IF($I41&gt;0%,IF(AND(NE$16&gt;=$F41,NE$16&lt;$F41+($G41*$I41)),"➤",""),"")</f>
        <v/>
      </c>
      <c r="NF41" s="76" t="str">
        <f aca="false">IF($I41&gt;0%,IF(AND(NF$16&gt;=$F41,NF$16&lt;$F41+($G41*$I41)),"➤",""),"")</f>
        <v/>
      </c>
      <c r="NG41" s="76" t="str">
        <f aca="false">IF($I41&gt;0%,IF(AND(NG$16&gt;=$F41,NG$16&lt;$F41+($G41*$I41)),"➤",""),"")</f>
        <v/>
      </c>
      <c r="NH41" s="76" t="str">
        <f aca="false">IF($I41&gt;0%,IF(AND(NH$16&gt;=$F41,NH$16&lt;$F41+($G41*$I41)),"➤",""),"")</f>
        <v/>
      </c>
      <c r="NI41" s="76" t="str">
        <f aca="false">IF($I41&gt;0%,IF(AND(NI$16&gt;=$F41,NI$16&lt;$F41+($G41*$I41)),"➤",""),"")</f>
        <v/>
      </c>
      <c r="NJ41" s="76" t="str">
        <f aca="false">IF($I41&gt;0%,IF(AND(NJ$16&gt;=$F41,NJ$16&lt;$F41+($G41*$I41)),"➤",""),"")</f>
        <v/>
      </c>
      <c r="NK41" s="76" t="str">
        <f aca="false">IF($I41&gt;0%,IF(AND(NK$16&gt;=$F41,NK$16&lt;$F41+($G41*$I41)),"➤",""),"")</f>
        <v/>
      </c>
      <c r="NL41" s="76" t="str">
        <f aca="false">IF($I41&gt;0%,IF(AND(NL$16&gt;=$F41,NL$16&lt;$F41+($G41*$I41)),"➤",""),"")</f>
        <v/>
      </c>
      <c r="NM41" s="76" t="str">
        <f aca="false">IF($I41&gt;0%,IF(AND(NM$16&gt;=$F41,NM$16&lt;$F41+($G41*$I41)),"➤",""),"")</f>
        <v/>
      </c>
      <c r="NN41" s="76" t="str">
        <f aca="false">IF($I41&gt;0%,IF(AND(NN$16&gt;=$F41,NN$16&lt;$F41+($G41*$I41)),"➤",""),"")</f>
        <v/>
      </c>
      <c r="NO41" s="76" t="str">
        <f aca="false">IF($I41&gt;0%,IF(AND(NO$16&gt;=$F41,NO$16&lt;$F41+($G41*$I41)),"➤",""),"")</f>
        <v/>
      </c>
      <c r="NP41" s="76" t="str">
        <f aca="false">IF($I41&gt;0%,IF(AND(NP$16&gt;=$F41,NP$16&lt;$F41+($G41*$I41)),"➤",""),"")</f>
        <v/>
      </c>
      <c r="NQ41" s="76" t="str">
        <f aca="false">IF($I41&gt;0%,IF(AND(NQ$16&gt;=$F41,NQ$16&lt;$F41+($G41*$I41)),"➤",""),"")</f>
        <v/>
      </c>
      <c r="NR41" s="76" t="str">
        <f aca="false">IF($I41&gt;0%,IF(AND(NR$16&gt;=$F41,NR$16&lt;$F41+($G41*$I41)),"➤",""),"")</f>
        <v/>
      </c>
      <c r="NS41" s="76" t="str">
        <f aca="false">IF($I41&gt;0%,IF(AND(NS$16&gt;=$F41,NS$16&lt;$F41+($G41*$I41)),"➤",""),"")</f>
        <v/>
      </c>
      <c r="NT41" s="76" t="str">
        <f aca="false">IF($I41&gt;0%,IF(AND(NT$16&gt;=$F41,NT$16&lt;$F41+($G41*$I41)),"➤",""),"")</f>
        <v/>
      </c>
      <c r="NU41" s="76" t="str">
        <f aca="false">IF($I41&gt;0%,IF(AND(NU$16&gt;=$F41,NU$16&lt;$F41+($G41*$I41)),"➤",""),"")</f>
        <v/>
      </c>
      <c r="NV41" s="76" t="str">
        <f aca="false">IF($I41&gt;0%,IF(AND(NV$16&gt;=$F41,NV$16&lt;$F41+($G41*$I41)),"➤",""),"")</f>
        <v/>
      </c>
      <c r="NW41" s="76" t="str">
        <f aca="false">IF($I41&gt;0%,IF(AND(NW$16&gt;=$F41,NW$16&lt;$F41+($G41*$I41)),"➤",""),"")</f>
        <v/>
      </c>
      <c r="NX41" s="76" t="str">
        <f aca="false">IF($I41&gt;0%,IF(AND(NX$16&gt;=$F41,NX$16&lt;$F41+($G41*$I41)),"➤",""),"")</f>
        <v/>
      </c>
      <c r="NY41" s="76" t="str">
        <f aca="false">IF($I41&gt;0%,IF(AND(NY$16&gt;=$F41,NY$16&lt;$F41+($G41*$I41)),"➤",""),"")</f>
        <v/>
      </c>
      <c r="NZ41" s="76" t="str">
        <f aca="false">IF($I41&gt;0%,IF(AND(NZ$16&gt;=$F41,NZ$16&lt;$F41+($G41*$I41)),"➤",""),"")</f>
        <v/>
      </c>
      <c r="OA41" s="76" t="str">
        <f aca="false">IF($I41&gt;0%,IF(AND(OA$16&gt;=$F41,OA$16&lt;$F41+($G41*$I41)),"➤",""),"")</f>
        <v/>
      </c>
      <c r="OB41" s="76" t="str">
        <f aca="false">IF($I41&gt;0%,IF(AND(OB$16&gt;=$F41,OB$16&lt;$F41+($G41*$I41)),"➤",""),"")</f>
        <v/>
      </c>
      <c r="OC41" s="76" t="str">
        <f aca="false">IF($I41&gt;0%,IF(AND(OC$16&gt;=$F41,OC$16&lt;$F41+($G41*$I41)),"➤",""),"")</f>
        <v/>
      </c>
      <c r="OD41" s="76" t="str">
        <f aca="false">IF($I41&gt;0%,IF(AND(OD$16&gt;=$F41,OD$16&lt;$F41+($G41*$I41)),"➤",""),"")</f>
        <v/>
      </c>
      <c r="OE41" s="76" t="str">
        <f aca="false">IF($I41&gt;0%,IF(AND(OE$16&gt;=$F41,OE$16&lt;$F41+($G41*$I41)),"➤",""),"")</f>
        <v/>
      </c>
      <c r="OF41" s="76" t="str">
        <f aca="false">IF($I41&gt;0%,IF(AND(OF$16&gt;=$F41,OF$16&lt;$F41+($G41*$I41)),"➤",""),"")</f>
        <v/>
      </c>
      <c r="OG41" s="76" t="str">
        <f aca="false">IF($I41&gt;0%,IF(AND(OG$16&gt;=$F41,OG$16&lt;$F41+($G41*$I41)),"➤",""),"")</f>
        <v/>
      </c>
      <c r="OH41" s="76" t="str">
        <f aca="false">IF($I41&gt;0%,IF(AND(OH$16&gt;=$F41,OH$16&lt;$F41+($G41*$I41)),"➤",""),"")</f>
        <v/>
      </c>
      <c r="OI41" s="76" t="str">
        <f aca="false">IF($I41&gt;0%,IF(AND(OI$16&gt;=$F41,OI$16&lt;$F41+($G41*$I41)),"➤",""),"")</f>
        <v/>
      </c>
      <c r="OJ41" s="76" t="str">
        <f aca="false">IF($I41&gt;0%,IF(AND(OJ$16&gt;=$F41,OJ$16&lt;$F41+($G41*$I41)),"➤",""),"")</f>
        <v/>
      </c>
      <c r="OK41" s="76" t="str">
        <f aca="false">IF($I41&gt;0%,IF(AND(OK$16&gt;=$F41,OK$16&lt;$F41+($G41*$I41)),"➤",""),"")</f>
        <v/>
      </c>
      <c r="OL41" s="76" t="str">
        <f aca="false">IF($I41&gt;0%,IF(AND(OL$16&gt;=$F41,OL$16&lt;$F41+($G41*$I41)),"➤",""),"")</f>
        <v/>
      </c>
      <c r="OM41" s="76" t="str">
        <f aca="false">IF($I41&gt;0%,IF(AND(OM$16&gt;=$F41,OM$16&lt;$F41+($G41*$I41)),"➤",""),"")</f>
        <v/>
      </c>
      <c r="ON41" s="76" t="str">
        <f aca="false">IF($I41&gt;0%,IF(AND(ON$16&gt;=$F41,ON$16&lt;$F41+($G41*$I41)),"➤",""),"")</f>
        <v/>
      </c>
      <c r="OO41" s="76" t="str">
        <f aca="false">IF($I41&gt;0%,IF(AND(OO$16&gt;=$F41,OO$16&lt;$F41+($G41*$I41)),"➤",""),"")</f>
        <v/>
      </c>
      <c r="OP41" s="76" t="str">
        <f aca="false">IF($I41&gt;0%,IF(AND(OP$16&gt;=$F41,OP$16&lt;$F41+($G41*$I41)),"➤",""),"")</f>
        <v/>
      </c>
      <c r="OQ41" s="76" t="str">
        <f aca="false">IF($I41&gt;0%,IF(AND(OQ$16&gt;=$F41,OQ$16&lt;$F41+($G41*$I41)),"➤",""),"")</f>
        <v/>
      </c>
      <c r="OR41" s="76" t="str">
        <f aca="false">IF($I41&gt;0%,IF(AND(OR$16&gt;=$F41,OR$16&lt;$F41+($G41*$I41)),"➤",""),"")</f>
        <v/>
      </c>
      <c r="OS41" s="76" t="str">
        <f aca="false">IF($I41&gt;0%,IF(AND(OS$16&gt;=$F41,OS$16&lt;$F41+($G41*$I41)),"➤",""),"")</f>
        <v/>
      </c>
      <c r="OT41" s="76" t="str">
        <f aca="false">IF($I41&gt;0%,IF(AND(OT$16&gt;=$F41,OT$16&lt;$F41+($G41*$I41)),"➤",""),"")</f>
        <v/>
      </c>
      <c r="OU41" s="76" t="str">
        <f aca="false">IF($I41&gt;0%,IF(AND(OU$16&gt;=$F41,OU$16&lt;$F41+($G41*$I41)),"➤",""),"")</f>
        <v/>
      </c>
      <c r="OV41" s="76" t="str">
        <f aca="false">IF($I41&gt;0%,IF(AND(OV$16&gt;=$F41,OV$16&lt;$F41+($G41*$I41)),"➤",""),"")</f>
        <v/>
      </c>
      <c r="OW41" s="76" t="str">
        <f aca="false">IF($I41&gt;0%,IF(AND(OW$16&gt;=$F41,OW$16&lt;$F41+($G41*$I41)),"➤",""),"")</f>
        <v/>
      </c>
      <c r="OX41" s="76" t="str">
        <f aca="false">IF($I41&gt;0%,IF(AND(OX$16&gt;=$F41,OX$16&lt;$F41+($G41*$I41)),"➤",""),"")</f>
        <v/>
      </c>
      <c r="OY41" s="76" t="str">
        <f aca="false">IF($I41&gt;0%,IF(AND(OY$16&gt;=$F41,OY$16&lt;$F41+($G41*$I41)),"➤",""),"")</f>
        <v/>
      </c>
      <c r="OZ41" s="76" t="str">
        <f aca="false">IF($I41&gt;0%,IF(AND(OZ$16&gt;=$F41,OZ$16&lt;$F41+($G41*$I41)),"➤",""),"")</f>
        <v/>
      </c>
      <c r="PA41" s="76" t="str">
        <f aca="false">IF($I41&gt;0%,IF(AND(PA$16&gt;=$F41,PA$16&lt;$F41+($G41*$I41)),"➤",""),"")</f>
        <v/>
      </c>
      <c r="PB41" s="76" t="str">
        <f aca="false">IF($I41&gt;0%,IF(AND(PB$16&gt;=$F41,PB$16&lt;$F41+($G41*$I41)),"➤",""),"")</f>
        <v/>
      </c>
      <c r="PC41" s="76" t="str">
        <f aca="false">IF($I41&gt;0%,IF(AND(PC$16&gt;=$F41,PC$16&lt;$F41+($G41*$I41)),"➤",""),"")</f>
        <v/>
      </c>
      <c r="PD41" s="76" t="str">
        <f aca="false">IF($I41&gt;0%,IF(AND(PD$16&gt;=$F41,PD$16&lt;$F41+($G41*$I41)),"➤",""),"")</f>
        <v/>
      </c>
      <c r="PE41" s="76" t="str">
        <f aca="false">IF($I41&gt;0%,IF(AND(PE$16&gt;=$F41,PE$16&lt;$F41+($G41*$I41)),"➤",""),"")</f>
        <v/>
      </c>
      <c r="PF41" s="76" t="str">
        <f aca="false">IF($I41&gt;0%,IF(AND(PF$16&gt;=$F41,PF$16&lt;$F41+($G41*$I41)),"➤",""),"")</f>
        <v/>
      </c>
      <c r="PG41" s="76" t="str">
        <f aca="false">IF($I41&gt;0%,IF(AND(PG$16&gt;=$F41,PG$16&lt;$F41+($G41*$I41)),"➤",""),"")</f>
        <v/>
      </c>
      <c r="PH41" s="76" t="str">
        <f aca="false">IF($I41&gt;0%,IF(AND(PH$16&gt;=$F41,PH$16&lt;$F41+($G41*$I41)),"➤",""),"")</f>
        <v/>
      </c>
      <c r="PI41" s="76" t="str">
        <f aca="false">IF($I41&gt;0%,IF(AND(PI$16&gt;=$F41,PI$16&lt;$F41+($G41*$I41)),"➤",""),"")</f>
        <v/>
      </c>
      <c r="PJ41" s="76" t="str">
        <f aca="false">IF($I41&gt;0%,IF(AND(PJ$16&gt;=$F41,PJ$16&lt;$F41+($G41*$I41)),"➤",""),"")</f>
        <v/>
      </c>
      <c r="PK41" s="76" t="str">
        <f aca="false">IF($I41&gt;0%,IF(AND(PK$16&gt;=$F41,PK$16&lt;$F41+($G41*$I41)),"➤",""),"")</f>
        <v/>
      </c>
      <c r="PL41" s="76" t="str">
        <f aca="false">IF($I41&gt;0%,IF(AND(PL$16&gt;=$F41,PL$16&lt;$F41+($G41*$I41)),"➤",""),"")</f>
        <v/>
      </c>
      <c r="PM41" s="76" t="str">
        <f aca="false">IF($I41&gt;0%,IF(AND(PM$16&gt;=$F41,PM$16&lt;$F41+($G41*$I41)),"➤",""),"")</f>
        <v/>
      </c>
      <c r="PN41" s="76" t="str">
        <f aca="false">IF($I41&gt;0%,IF(AND(PN$16&gt;=$F41,PN$16&lt;$F41+($G41*$I41)),"➤",""),"")</f>
        <v/>
      </c>
      <c r="PO41" s="76" t="str">
        <f aca="false">IF($I41&gt;0%,IF(AND(PO$16&gt;=$F41,PO$16&lt;$F41+($G41*$I41)),"➤",""),"")</f>
        <v/>
      </c>
      <c r="PP41" s="76" t="str">
        <f aca="false">IF($I41&gt;0%,IF(AND(PP$16&gt;=$F41,PP$16&lt;$F41+($G41*$I41)),"➤",""),"")</f>
        <v/>
      </c>
      <c r="PQ41" s="76" t="str">
        <f aca="false">IF($I41&gt;0%,IF(AND(PQ$16&gt;=$F41,PQ$16&lt;$F41+($G41*$I41)),"➤",""),"")</f>
        <v/>
      </c>
      <c r="PR41" s="76" t="str">
        <f aca="false">IF($I41&gt;0%,IF(AND(PR$16&gt;=$F41,PR$16&lt;$F41+($G41*$I41)),"➤",""),"")</f>
        <v/>
      </c>
      <c r="PS41" s="76" t="str">
        <f aca="false">IF($I41&gt;0%,IF(AND(PS$16&gt;=$F41,PS$16&lt;$F41+($G41*$I41)),"➤",""),"")</f>
        <v/>
      </c>
      <c r="PT41" s="76" t="str">
        <f aca="false">IF($I41&gt;0%,IF(AND(PT$16&gt;=$F41,PT$16&lt;$F41+($G41*$I41)),"➤",""),"")</f>
        <v/>
      </c>
      <c r="PU41" s="76" t="str">
        <f aca="false">IF($I41&gt;0%,IF(AND(PU$16&gt;=$F41,PU$16&lt;$F41+($G41*$I41)),"➤",""),"")</f>
        <v/>
      </c>
      <c r="PV41" s="76" t="str">
        <f aca="false">IF($I41&gt;0%,IF(AND(PV$16&gt;=$F41,PV$16&lt;$F41+($G41*$I41)),"➤",""),"")</f>
        <v/>
      </c>
      <c r="PW41" s="76" t="str">
        <f aca="false">IF($I41&gt;0%,IF(AND(PW$16&gt;=$F41,PW$16&lt;$F41+($G41*$I41)),"➤",""),"")</f>
        <v/>
      </c>
      <c r="PX41" s="76" t="str">
        <f aca="false">IF($I41&gt;0%,IF(AND(PX$16&gt;=$F41,PX$16&lt;$F41+($G41*$I41)),"➤",""),"")</f>
        <v/>
      </c>
      <c r="PY41" s="76" t="str">
        <f aca="false">IF($I41&gt;0%,IF(AND(PY$16&gt;=$F41,PY$16&lt;$F41+($G41*$I41)),"➤",""),"")</f>
        <v/>
      </c>
      <c r="PZ41" s="76" t="str">
        <f aca="false">IF($I41&gt;0%,IF(AND(PZ$16&gt;=$F41,PZ$16&lt;$F41+($G41*$I41)),"➤",""),"")</f>
        <v/>
      </c>
      <c r="QA41" s="76" t="str">
        <f aca="false">IF($I41&gt;0%,IF(AND(QA$16&gt;=$F41,QA$16&lt;$F41+($G41*$I41)),"➤",""),"")</f>
        <v/>
      </c>
      <c r="QB41" s="76" t="str">
        <f aca="false">IF($I41&gt;0%,IF(AND(QB$16&gt;=$F41,QB$16&lt;$F41+($G41*$I41)),"➤",""),"")</f>
        <v/>
      </c>
      <c r="QC41" s="76" t="str">
        <f aca="false">IF($I41&gt;0%,IF(AND(QC$16&gt;=$F41,QC$16&lt;$F41+($G41*$I41)),"➤",""),"")</f>
        <v/>
      </c>
      <c r="QD41" s="76" t="str">
        <f aca="false">IF($I41&gt;0%,IF(AND(QD$16&gt;=$F41,QD$16&lt;$F41+($G41*$I41)),"➤",""),"")</f>
        <v/>
      </c>
      <c r="QE41" s="76" t="str">
        <f aca="false">IF($I41&gt;0%,IF(AND(QE$16&gt;=$F41,QE$16&lt;$F41+($G41*$I41)),"➤",""),"")</f>
        <v/>
      </c>
      <c r="QF41" s="76" t="str">
        <f aca="false">IF($I41&gt;0%,IF(AND(QF$16&gt;=$F41,QF$16&lt;$F41+($G41*$I41)),"➤",""),"")</f>
        <v/>
      </c>
      <c r="QG41" s="76" t="str">
        <f aca="false">IF($I41&gt;0%,IF(AND(QG$16&gt;=$F41,QG$16&lt;$F41+($G41*$I41)),"➤",""),"")</f>
        <v/>
      </c>
      <c r="QH41" s="76" t="str">
        <f aca="false">IF($I41&gt;0%,IF(AND(QH$16&gt;=$F41,QH$16&lt;$F41+($G41*$I41)),"➤",""),"")</f>
        <v/>
      </c>
      <c r="QI41" s="76" t="str">
        <f aca="false">IF($I41&gt;0%,IF(AND(QI$16&gt;=$F41,QI$16&lt;$F41+($G41*$I41)),"➤",""),"")</f>
        <v/>
      </c>
      <c r="QJ41" s="76" t="str">
        <f aca="false">IF($I41&gt;0%,IF(AND(QJ$16&gt;=$F41,QJ$16&lt;$F41+($G41*$I41)),"➤",""),"")</f>
        <v/>
      </c>
      <c r="QK41" s="76" t="str">
        <f aca="false">IF($I41&gt;0%,IF(AND(QK$16&gt;=$F41,QK$16&lt;$F41+($G41*$I41)),"➤",""),"")</f>
        <v/>
      </c>
      <c r="QL41" s="76" t="str">
        <f aca="false">IF($I41&gt;0%,IF(AND(QL$16&gt;=$F41,QL$16&lt;$F41+($G41*$I41)),"➤",""),"")</f>
        <v/>
      </c>
      <c r="QM41" s="76" t="str">
        <f aca="false">IF($I41&gt;0%,IF(AND(QM$16&gt;=$F41,QM$16&lt;$F41+($G41*$I41)),"➤",""),"")</f>
        <v/>
      </c>
      <c r="QN41" s="76" t="str">
        <f aca="false">IF($I41&gt;0%,IF(AND(QN$16&gt;=$F41,QN$16&lt;$F41+($G41*$I41)),"➤",""),"")</f>
        <v/>
      </c>
      <c r="QO41" s="76" t="str">
        <f aca="false">IF($I41&gt;0%,IF(AND(QO$16&gt;=$F41,QO$16&lt;$F41+($G41*$I41)),"➤",""),"")</f>
        <v/>
      </c>
      <c r="QP41" s="76" t="str">
        <f aca="false">IF($I41&gt;0%,IF(AND(QP$16&gt;=$F41,QP$16&lt;$F41+($G41*$I41)),"➤",""),"")</f>
        <v/>
      </c>
      <c r="QQ41" s="76" t="str">
        <f aca="false">IF($I41&gt;0%,IF(AND(QQ$16&gt;=$F41,QQ$16&lt;$F41+($G41*$I41)),"➤",""),"")</f>
        <v/>
      </c>
      <c r="QR41" s="76" t="str">
        <f aca="false">IF($I41&gt;0%,IF(AND(QR$16&gt;=$F41,QR$16&lt;$F41+($G41*$I41)),"➤",""),"")</f>
        <v/>
      </c>
      <c r="QS41" s="76" t="str">
        <f aca="false">IF($I41&gt;0%,IF(AND(QS$16&gt;=$F41,QS$16&lt;$F41+($G41*$I41)),"➤",""),"")</f>
        <v/>
      </c>
      <c r="QT41" s="76" t="str">
        <f aca="false">IF($I41&gt;0%,IF(AND(QT$16&gt;=$F41,QT$16&lt;$F41+($G41*$I41)),"➤",""),"")</f>
        <v/>
      </c>
      <c r="QU41" s="76" t="str">
        <f aca="false">IF($I41&gt;0%,IF(AND(QU$16&gt;=$F41,QU$16&lt;$F41+($G41*$I41)),"➤",""),"")</f>
        <v/>
      </c>
      <c r="QV41" s="76" t="str">
        <f aca="false">IF($I41&gt;0%,IF(AND(QV$16&gt;=$F41,QV$16&lt;$F41+($G41*$I41)),"➤",""),"")</f>
        <v/>
      </c>
      <c r="QW41" s="76" t="str">
        <f aca="false">IF($I41&gt;0%,IF(AND(QW$16&gt;=$F41,QW$16&lt;$F41+($G41*$I41)),"➤",""),"")</f>
        <v/>
      </c>
      <c r="QX41" s="76" t="str">
        <f aca="false">IF($I41&gt;0%,IF(AND(QX$16&gt;=$F41,QX$16&lt;$F41+($G41*$I41)),"➤",""),"")</f>
        <v/>
      </c>
      <c r="QY41" s="76" t="str">
        <f aca="false">IF($I41&gt;0%,IF(AND(QY$16&gt;=$F41,QY$16&lt;$F41+($G41*$I41)),"➤",""),"")</f>
        <v/>
      </c>
      <c r="QZ41" s="76" t="str">
        <f aca="false">IF($I41&gt;0%,IF(AND(QZ$16&gt;=$F41,QZ$16&lt;$F41+($G41*$I41)),"➤",""),"")</f>
        <v/>
      </c>
      <c r="RA41" s="76" t="str">
        <f aca="false">IF($I41&gt;0%,IF(AND(RA$16&gt;=$F41,RA$16&lt;$F41+($G41*$I41)),"➤",""),"")</f>
        <v/>
      </c>
      <c r="RB41" s="76" t="str">
        <f aca="false">IF($I41&gt;0%,IF(AND(RB$16&gt;=$F41,RB$16&lt;$F41+($G41*$I41)),"➤",""),"")</f>
        <v/>
      </c>
      <c r="RC41" s="76" t="str">
        <f aca="false">IF($I41&gt;0%,IF(AND(RC$16&gt;=$F41,RC$16&lt;$F41+($G41*$I41)),"➤",""),"")</f>
        <v/>
      </c>
      <c r="RD41" s="76" t="str">
        <f aca="false">IF($I41&gt;0%,IF(AND(RD$16&gt;=$F41,RD$16&lt;$F41+($G41*$I41)),"➤",""),"")</f>
        <v/>
      </c>
      <c r="RE41" s="76" t="str">
        <f aca="false">IF($I41&gt;0%,IF(AND(RE$16&gt;=$F41,RE$16&lt;$F41+($G41*$I41)),"➤",""),"")</f>
        <v/>
      </c>
      <c r="RF41" s="76" t="str">
        <f aca="false">IF($I41&gt;0%,IF(AND(RF$16&gt;=$F41,RF$16&lt;$F41+($G41*$I41)),"➤",""),"")</f>
        <v/>
      </c>
      <c r="RG41" s="76" t="str">
        <f aca="false">IF($I41&gt;0%,IF(AND(RG$16&gt;=$F41,RG$16&lt;$F41+($G41*$I41)),"➤",""),"")</f>
        <v/>
      </c>
      <c r="RH41" s="76" t="str">
        <f aca="false">IF($I41&gt;0%,IF(AND(RH$16&gt;=$F41,RH$16&lt;$F41+($G41*$I41)),"➤",""),"")</f>
        <v/>
      </c>
      <c r="RI41" s="76" t="str">
        <f aca="false">IF($I41&gt;0%,IF(AND(RI$16&gt;=$F41,RI$16&lt;$F41+($G41*$I41)),"➤",""),"")</f>
        <v/>
      </c>
      <c r="RJ41" s="76" t="str">
        <f aca="false">IF($I41&gt;0%,IF(AND(RJ$16&gt;=$F41,RJ$16&lt;$F41+($G41*$I41)),"➤",""),"")</f>
        <v/>
      </c>
      <c r="RK41" s="76" t="str">
        <f aca="false">IF($I41&gt;0%,IF(AND(RK$16&gt;=$F41,RK$16&lt;$F41+($G41*$I41)),"➤",""),"")</f>
        <v/>
      </c>
      <c r="RL41" s="76" t="str">
        <f aca="false">IF($I41&gt;0%,IF(AND(RL$16&gt;=$F41,RL$16&lt;$F41+($G41*$I41)),"➤",""),"")</f>
        <v/>
      </c>
      <c r="RM41" s="76" t="str">
        <f aca="false">IF($I41&gt;0%,IF(AND(RM$16&gt;=$F41,RM$16&lt;$F41+($G41*$I41)),"➤",""),"")</f>
        <v/>
      </c>
      <c r="RN41" s="76" t="str">
        <f aca="false">IF($I41&gt;0%,IF(AND(RN$16&gt;=$F41,RN$16&lt;$F41+($G41*$I41)),"➤",""),"")</f>
        <v/>
      </c>
      <c r="RO41" s="76" t="str">
        <f aca="false">IF($I41&gt;0%,IF(AND(RO$16&gt;=$F41,RO$16&lt;$F41+($G41*$I41)),"➤",""),"")</f>
        <v/>
      </c>
      <c r="RP41" s="76" t="str">
        <f aca="false">IF($I41&gt;0%,IF(AND(RP$16&gt;=$F41,RP$16&lt;$F41+($G41*$I41)),"➤",""),"")</f>
        <v/>
      </c>
      <c r="RQ41" s="76" t="str">
        <f aca="false">IF($I41&gt;0%,IF(AND(RQ$16&gt;=$F41,RQ$16&lt;$F41+($G41*$I41)),"➤",""),"")</f>
        <v/>
      </c>
      <c r="RR41" s="76" t="str">
        <f aca="false">IF($I41&gt;0%,IF(AND(RR$16&gt;=$F41,RR$16&lt;$F41+($G41*$I41)),"➤",""),"")</f>
        <v/>
      </c>
      <c r="RS41" s="76" t="str">
        <f aca="false">IF($I41&gt;0%,IF(AND(RS$16&gt;=$F41,RS$16&lt;$F41+($G41*$I41)),"➤",""),"")</f>
        <v/>
      </c>
      <c r="RT41" s="76" t="str">
        <f aca="false">IF($I41&gt;0%,IF(AND(RT$16&gt;=$F41,RT$16&lt;$F41+($G41*$I41)),"➤",""),"")</f>
        <v/>
      </c>
      <c r="RU41" s="76" t="str">
        <f aca="false">IF($I41&gt;0%,IF(AND(RU$16&gt;=$F41,RU$16&lt;$F41+($G41*$I41)),"➤",""),"")</f>
        <v/>
      </c>
      <c r="RV41" s="76" t="str">
        <f aca="false">IF($I41&gt;0%,IF(AND(RV$16&gt;=$F41,RV$16&lt;$F41+($G41*$I41)),"➤",""),"")</f>
        <v/>
      </c>
      <c r="RW41" s="76" t="str">
        <f aca="false">IF($I41&gt;0%,IF(AND(RW$16&gt;=$F41,RW$16&lt;$F41+($G41*$I41)),"➤",""),"")</f>
        <v/>
      </c>
      <c r="RX41" s="76" t="str">
        <f aca="false">IF($I41&gt;0%,IF(AND(RX$16&gt;=$F41,RX$16&lt;$F41+($G41*$I41)),"➤",""),"")</f>
        <v/>
      </c>
      <c r="RY41" s="76" t="str">
        <f aca="false">IF($I41&gt;0%,IF(AND(RY$16&gt;=$F41,RY$16&lt;$F41+($G41*$I41)),"➤",""),"")</f>
        <v/>
      </c>
      <c r="RZ41" s="76" t="str">
        <f aca="false">IF($I41&gt;0%,IF(AND(RZ$16&gt;=$F41,RZ$16&lt;$F41+($G41*$I41)),"➤",""),"")</f>
        <v/>
      </c>
      <c r="SA41" s="76" t="str">
        <f aca="false">IF($I41&gt;0%,IF(AND(SA$16&gt;=$F41,SA$16&lt;$F41+($G41*$I41)),"➤",""),"")</f>
        <v/>
      </c>
      <c r="SB41" s="76" t="str">
        <f aca="false">IF($I41&gt;0%,IF(AND(SB$16&gt;=$F41,SB$16&lt;$F41+($G41*$I41)),"➤",""),"")</f>
        <v/>
      </c>
      <c r="SC41" s="76" t="str">
        <f aca="false">IF($I41&gt;0%,IF(AND(SC$16&gt;=$F41,SC$16&lt;$F41+($G41*$I41)),"➤",""),"")</f>
        <v/>
      </c>
      <c r="SD41" s="76" t="str">
        <f aca="false">IF($I41&gt;0%,IF(AND(SD$16&gt;=$F41,SD$16&lt;$F41+($G41*$I41)),"➤",""),"")</f>
        <v/>
      </c>
      <c r="SE41" s="76" t="str">
        <f aca="false">IF($I41&gt;0%,IF(AND(SE$16&gt;=$F41,SE$16&lt;$F41+($G41*$I41)),"➤",""),"")</f>
        <v/>
      </c>
      <c r="SF41" s="76" t="str">
        <f aca="false">IF($I41&gt;0%,IF(AND(SF$16&gt;=$F41,SF$16&lt;$F41+($G41*$I41)),"➤",""),"")</f>
        <v/>
      </c>
      <c r="SG41" s="76" t="str">
        <f aca="false">IF($I41&gt;0%,IF(AND(SG$16&gt;=$F41,SG$16&lt;$F41+($G41*$I41)),"➤",""),"")</f>
        <v/>
      </c>
      <c r="SH41" s="76" t="str">
        <f aca="false">IF($I41&gt;0%,IF(AND(SH$16&gt;=$F41,SH$16&lt;$F41+($G41*$I41)),"➤",""),"")</f>
        <v/>
      </c>
      <c r="SI41" s="76" t="str">
        <f aca="false">IF($I41&gt;0%,IF(AND(SI$16&gt;=$F41,SI$16&lt;$F41+($G41*$I41)),"➤",""),"")</f>
        <v/>
      </c>
      <c r="SJ41" s="76" t="str">
        <f aca="false">IF($I41&gt;0%,IF(AND(SJ$16&gt;=$F41,SJ$16&lt;$F41+($G41*$I41)),"➤",""),"")</f>
        <v/>
      </c>
      <c r="SK41" s="76" t="str">
        <f aca="false">IF($I41&gt;0%,IF(AND(SK$16&gt;=$F41,SK$16&lt;$F41+($G41*$I41)),"➤",""),"")</f>
        <v/>
      </c>
      <c r="SL41" s="76" t="str">
        <f aca="false">IF($I41&gt;0%,IF(AND(SL$16&gt;=$F41,SL$16&lt;$F41+($G41*$I41)),"➤",""),"")</f>
        <v/>
      </c>
      <c r="SM41" s="76" t="str">
        <f aca="false">IF($I41&gt;0%,IF(AND(SM$16&gt;=$F41,SM$16&lt;$F41+($G41*$I41)),"➤",""),"")</f>
        <v/>
      </c>
      <c r="SN41" s="76" t="str">
        <f aca="false">IF($I41&gt;0%,IF(AND(SN$16&gt;=$F41,SN$16&lt;$F41+($G41*$I41)),"➤",""),"")</f>
        <v/>
      </c>
      <c r="SO41" s="76" t="str">
        <f aca="false">IF($I41&gt;0%,IF(AND(SO$16&gt;=$F41,SO$16&lt;$F41+($G41*$I41)),"➤",""),"")</f>
        <v/>
      </c>
      <c r="SP41" s="76" t="str">
        <f aca="false">IF($I41&gt;0%,IF(AND(SP$16&gt;=$F41,SP$16&lt;$F41+($G41*$I41)),"➤",""),"")</f>
        <v/>
      </c>
      <c r="SQ41" s="76" t="str">
        <f aca="false">IF($I41&gt;0%,IF(AND(SQ$16&gt;=$F41,SQ$16&lt;$F41+($G41*$I41)),"➤",""),"")</f>
        <v/>
      </c>
      <c r="SR41" s="76" t="str">
        <f aca="false">IF($I41&gt;0%,IF(AND(SR$16&gt;=$F41,SR$16&lt;$F41+($G41*$I41)),"➤",""),"")</f>
        <v/>
      </c>
      <c r="SS41" s="76" t="str">
        <f aca="false">IF($I41&gt;0%,IF(AND(SS$16&gt;=$F41,SS$16&lt;$F41+($G41*$I41)),"➤",""),"")</f>
        <v/>
      </c>
      <c r="ST41" s="76" t="str">
        <f aca="false">IF($I41&gt;0%,IF(AND(ST$16&gt;=$F41,ST$16&lt;$F41+($G41*$I41)),"➤",""),"")</f>
        <v/>
      </c>
      <c r="SU41" s="76" t="str">
        <f aca="false">IF($I41&gt;0%,IF(AND(SU$16&gt;=$F41,SU$16&lt;$F41+($G41*$I41)),"➤",""),"")</f>
        <v/>
      </c>
      <c r="SV41" s="76" t="str">
        <f aca="false">IF($I41&gt;0%,IF(AND(SV$16&gt;=$F41,SV$16&lt;$F41+($G41*$I41)),"➤",""),"")</f>
        <v/>
      </c>
      <c r="SW41" s="77" t="str">
        <f aca="false">IF($I41&gt;0%,IF(AND(SW$16&gt;=$F41,SW$16&lt;$F41+($G41*$I41)),"➤",""),"")</f>
        <v/>
      </c>
    </row>
    <row r="42" customFormat="false" ht="14.25" hidden="false" customHeight="false" outlineLevel="0" collapsed="false">
      <c r="C42" s="10"/>
      <c r="D42" s="86" t="s">
        <v>32</v>
      </c>
      <c r="E42" s="87"/>
      <c r="F42" s="88"/>
      <c r="G42" s="88"/>
      <c r="H42" s="88"/>
      <c r="I42" s="89"/>
      <c r="J42" s="90"/>
      <c r="K42" s="90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8"/>
      <c r="AX42" s="88"/>
      <c r="AY42" s="88"/>
      <c r="AZ42" s="88"/>
      <c r="BA42" s="88"/>
      <c r="BB42" s="88"/>
      <c r="BC42" s="88"/>
      <c r="BD42" s="88"/>
      <c r="BE42" s="88"/>
      <c r="BF42" s="88"/>
      <c r="BG42" s="88"/>
      <c r="BH42" s="88"/>
      <c r="BI42" s="88"/>
      <c r="BJ42" s="88"/>
      <c r="BK42" s="88"/>
      <c r="BL42" s="88"/>
      <c r="BM42" s="88"/>
      <c r="BN42" s="88"/>
      <c r="BO42" s="88"/>
      <c r="BP42" s="88"/>
      <c r="BQ42" s="88"/>
      <c r="BR42" s="88"/>
      <c r="BS42" s="88"/>
      <c r="BT42" s="88"/>
      <c r="BU42" s="88"/>
      <c r="BV42" s="88"/>
      <c r="BW42" s="88"/>
      <c r="BX42" s="88"/>
      <c r="BY42" s="88"/>
      <c r="BZ42" s="88"/>
      <c r="CA42" s="88"/>
      <c r="CB42" s="88"/>
      <c r="CC42" s="88"/>
      <c r="CD42" s="88"/>
      <c r="CE42" s="88"/>
      <c r="CF42" s="88"/>
      <c r="CG42" s="88"/>
      <c r="CH42" s="88"/>
      <c r="CI42" s="88"/>
      <c r="CJ42" s="88"/>
      <c r="CK42" s="88"/>
      <c r="CL42" s="88"/>
      <c r="CM42" s="88"/>
      <c r="CN42" s="88"/>
      <c r="CO42" s="88"/>
      <c r="CP42" s="88"/>
      <c r="CQ42" s="88"/>
      <c r="CR42" s="88"/>
      <c r="CS42" s="88"/>
      <c r="CT42" s="88"/>
      <c r="CU42" s="88"/>
      <c r="CV42" s="88"/>
      <c r="CW42" s="88"/>
      <c r="CX42" s="88"/>
      <c r="CY42" s="88"/>
      <c r="CZ42" s="88"/>
      <c r="DA42" s="88"/>
      <c r="DB42" s="88"/>
      <c r="DC42" s="88"/>
      <c r="DD42" s="88"/>
      <c r="DE42" s="88"/>
      <c r="DF42" s="88"/>
      <c r="DG42" s="88"/>
      <c r="DH42" s="88"/>
      <c r="DI42" s="88"/>
      <c r="DJ42" s="88"/>
      <c r="DK42" s="88"/>
      <c r="DL42" s="88"/>
      <c r="DM42" s="88"/>
      <c r="DN42" s="88"/>
      <c r="DO42" s="88"/>
      <c r="DP42" s="88"/>
      <c r="DQ42" s="88"/>
      <c r="DR42" s="88"/>
      <c r="DS42" s="88"/>
      <c r="DT42" s="88"/>
      <c r="DU42" s="88"/>
      <c r="DV42" s="88"/>
      <c r="DW42" s="88"/>
      <c r="DX42" s="88"/>
      <c r="DY42" s="88"/>
      <c r="DZ42" s="88"/>
      <c r="EA42" s="88"/>
      <c r="EB42" s="88"/>
      <c r="EC42" s="88"/>
      <c r="ED42" s="88"/>
      <c r="EE42" s="88"/>
      <c r="EF42" s="88"/>
      <c r="EG42" s="88"/>
      <c r="EH42" s="88"/>
      <c r="EI42" s="88"/>
      <c r="EJ42" s="88"/>
      <c r="EK42" s="88"/>
      <c r="EL42" s="88"/>
      <c r="EM42" s="88"/>
      <c r="EN42" s="88"/>
      <c r="EO42" s="88"/>
      <c r="EP42" s="88"/>
      <c r="EQ42" s="88"/>
      <c r="ER42" s="88"/>
      <c r="ES42" s="88"/>
      <c r="ET42" s="88"/>
      <c r="EU42" s="88"/>
      <c r="EV42" s="88"/>
      <c r="EW42" s="88"/>
      <c r="EX42" s="88"/>
      <c r="EY42" s="88"/>
      <c r="EZ42" s="88"/>
      <c r="FA42" s="88"/>
      <c r="FB42" s="88"/>
      <c r="FC42" s="88"/>
      <c r="FD42" s="88"/>
      <c r="FE42" s="88"/>
      <c r="FF42" s="88"/>
      <c r="FG42" s="88"/>
      <c r="FH42" s="88"/>
      <c r="FI42" s="88"/>
      <c r="FJ42" s="88"/>
      <c r="FK42" s="88"/>
      <c r="FL42" s="88"/>
      <c r="FM42" s="88"/>
      <c r="FN42" s="88"/>
      <c r="FO42" s="88"/>
      <c r="FP42" s="88"/>
      <c r="FQ42" s="88"/>
      <c r="FR42" s="88"/>
      <c r="FS42" s="88"/>
      <c r="FT42" s="88"/>
      <c r="FU42" s="88"/>
      <c r="FV42" s="88"/>
      <c r="FW42" s="88"/>
      <c r="FX42" s="88"/>
      <c r="FY42" s="88"/>
      <c r="FZ42" s="88"/>
      <c r="GA42" s="88"/>
      <c r="GB42" s="88"/>
      <c r="GC42" s="88"/>
      <c r="GD42" s="88"/>
      <c r="GE42" s="88"/>
      <c r="GF42" s="88"/>
      <c r="GG42" s="88"/>
      <c r="GH42" s="88"/>
      <c r="GI42" s="88"/>
      <c r="GJ42" s="88"/>
      <c r="GK42" s="88"/>
      <c r="GL42" s="88"/>
      <c r="GM42" s="88"/>
      <c r="GN42" s="88"/>
      <c r="GO42" s="88"/>
      <c r="GP42" s="88"/>
      <c r="GQ42" s="88"/>
      <c r="GR42" s="88"/>
      <c r="GS42" s="88"/>
      <c r="GT42" s="88"/>
      <c r="GU42" s="88"/>
      <c r="GV42" s="88"/>
      <c r="GW42" s="88"/>
      <c r="GX42" s="88"/>
      <c r="GY42" s="88"/>
      <c r="GZ42" s="88"/>
      <c r="HA42" s="88"/>
      <c r="HB42" s="88"/>
      <c r="HC42" s="88"/>
      <c r="HD42" s="88"/>
      <c r="HE42" s="88"/>
      <c r="HF42" s="88"/>
      <c r="HG42" s="88"/>
      <c r="HH42" s="88"/>
      <c r="HI42" s="88"/>
      <c r="HJ42" s="88"/>
      <c r="HK42" s="88"/>
      <c r="HL42" s="88"/>
      <c r="HM42" s="88"/>
      <c r="HN42" s="88"/>
      <c r="HO42" s="88"/>
      <c r="HP42" s="88"/>
      <c r="HQ42" s="88"/>
      <c r="HR42" s="88"/>
      <c r="HS42" s="88"/>
      <c r="HT42" s="88"/>
      <c r="HU42" s="88"/>
      <c r="HV42" s="88"/>
      <c r="HW42" s="88"/>
      <c r="HX42" s="88"/>
      <c r="HY42" s="88"/>
      <c r="HZ42" s="88"/>
      <c r="IA42" s="88"/>
      <c r="IB42" s="88"/>
      <c r="IC42" s="88"/>
      <c r="ID42" s="88"/>
      <c r="IE42" s="88"/>
      <c r="IF42" s="88"/>
      <c r="IG42" s="88"/>
      <c r="IH42" s="88"/>
      <c r="II42" s="88"/>
      <c r="IJ42" s="88"/>
      <c r="IK42" s="88"/>
      <c r="IL42" s="88"/>
      <c r="IM42" s="88"/>
      <c r="IN42" s="88"/>
      <c r="IO42" s="88"/>
      <c r="IP42" s="88"/>
      <c r="IQ42" s="88"/>
      <c r="IR42" s="88"/>
      <c r="IS42" s="88"/>
      <c r="IT42" s="88"/>
      <c r="IU42" s="88"/>
      <c r="IV42" s="88"/>
      <c r="IW42" s="88"/>
      <c r="IX42" s="88"/>
      <c r="IY42" s="88"/>
      <c r="IZ42" s="88"/>
      <c r="JA42" s="88"/>
      <c r="JB42" s="88"/>
      <c r="JC42" s="88"/>
      <c r="JD42" s="88"/>
      <c r="JE42" s="88"/>
      <c r="JF42" s="88"/>
      <c r="JG42" s="88"/>
      <c r="JH42" s="88"/>
      <c r="JI42" s="88"/>
      <c r="JJ42" s="88"/>
      <c r="JK42" s="88"/>
      <c r="JL42" s="88"/>
      <c r="JM42" s="88"/>
      <c r="JN42" s="88"/>
      <c r="JO42" s="88"/>
      <c r="JP42" s="88"/>
      <c r="JQ42" s="88"/>
      <c r="JR42" s="88"/>
      <c r="JS42" s="88"/>
      <c r="JT42" s="88"/>
      <c r="JU42" s="88"/>
      <c r="JV42" s="88"/>
      <c r="JW42" s="88"/>
      <c r="JX42" s="88"/>
      <c r="JY42" s="88"/>
      <c r="JZ42" s="88"/>
      <c r="KA42" s="88"/>
      <c r="KB42" s="88"/>
      <c r="KC42" s="88"/>
      <c r="KD42" s="88"/>
      <c r="KE42" s="88"/>
      <c r="KF42" s="88"/>
      <c r="KG42" s="88"/>
      <c r="KH42" s="88"/>
      <c r="KI42" s="88"/>
      <c r="KJ42" s="88"/>
      <c r="KK42" s="88"/>
      <c r="KL42" s="88"/>
      <c r="KM42" s="88"/>
      <c r="KN42" s="88"/>
      <c r="KO42" s="88"/>
      <c r="KP42" s="88"/>
      <c r="KQ42" s="88"/>
      <c r="KR42" s="88"/>
      <c r="KS42" s="88"/>
      <c r="KT42" s="88"/>
      <c r="KU42" s="88"/>
      <c r="KV42" s="88"/>
      <c r="KW42" s="88"/>
      <c r="KX42" s="88"/>
      <c r="KY42" s="88"/>
      <c r="KZ42" s="88"/>
      <c r="LA42" s="88"/>
      <c r="LB42" s="88"/>
      <c r="LC42" s="88"/>
      <c r="LD42" s="88"/>
      <c r="LE42" s="88"/>
      <c r="LF42" s="88"/>
      <c r="LG42" s="88"/>
      <c r="LH42" s="88"/>
      <c r="LI42" s="88"/>
      <c r="LJ42" s="88"/>
      <c r="LK42" s="88"/>
      <c r="LL42" s="88"/>
      <c r="LM42" s="88"/>
      <c r="LN42" s="88"/>
      <c r="LO42" s="88"/>
      <c r="LP42" s="88"/>
      <c r="LQ42" s="88"/>
      <c r="LR42" s="88"/>
      <c r="LS42" s="88"/>
      <c r="LT42" s="88"/>
      <c r="LU42" s="88"/>
      <c r="LV42" s="88"/>
      <c r="LW42" s="88"/>
      <c r="LX42" s="88"/>
      <c r="LY42" s="88"/>
      <c r="LZ42" s="88"/>
      <c r="MA42" s="88"/>
      <c r="MB42" s="88"/>
      <c r="MC42" s="88"/>
      <c r="MD42" s="88"/>
      <c r="ME42" s="88"/>
      <c r="MF42" s="88"/>
      <c r="MG42" s="88"/>
      <c r="MH42" s="88"/>
      <c r="MI42" s="88"/>
      <c r="MJ42" s="88"/>
      <c r="MK42" s="88"/>
      <c r="ML42" s="88"/>
      <c r="MM42" s="88"/>
      <c r="MN42" s="88"/>
      <c r="MO42" s="88"/>
      <c r="MP42" s="88"/>
      <c r="MQ42" s="88"/>
      <c r="MR42" s="88"/>
      <c r="MS42" s="88"/>
      <c r="MT42" s="88"/>
      <c r="MU42" s="88"/>
      <c r="MV42" s="88"/>
      <c r="MW42" s="88"/>
      <c r="MX42" s="88"/>
      <c r="MY42" s="88"/>
      <c r="MZ42" s="88"/>
      <c r="NA42" s="88"/>
      <c r="NB42" s="88"/>
      <c r="NC42" s="88"/>
      <c r="ND42" s="88"/>
      <c r="NE42" s="88"/>
      <c r="NF42" s="88"/>
      <c r="NG42" s="88"/>
      <c r="NH42" s="88"/>
      <c r="NI42" s="88"/>
      <c r="NJ42" s="88"/>
      <c r="NK42" s="88"/>
      <c r="NL42" s="88"/>
      <c r="NM42" s="88"/>
      <c r="NN42" s="88"/>
      <c r="NO42" s="88"/>
      <c r="NP42" s="88"/>
      <c r="NQ42" s="88"/>
      <c r="NR42" s="88"/>
      <c r="NS42" s="88"/>
      <c r="NT42" s="88"/>
      <c r="NU42" s="88"/>
      <c r="NV42" s="88"/>
      <c r="NW42" s="88"/>
      <c r="NX42" s="88"/>
      <c r="NY42" s="88"/>
      <c r="NZ42" s="88"/>
      <c r="OA42" s="88"/>
      <c r="OB42" s="88"/>
      <c r="OC42" s="88"/>
      <c r="OD42" s="88"/>
      <c r="OE42" s="88"/>
      <c r="OF42" s="88"/>
      <c r="OG42" s="88"/>
      <c r="OH42" s="88"/>
      <c r="OI42" s="88"/>
      <c r="OJ42" s="88"/>
      <c r="OK42" s="88"/>
      <c r="OL42" s="88"/>
      <c r="OM42" s="88"/>
      <c r="ON42" s="88"/>
      <c r="OO42" s="88"/>
      <c r="OP42" s="88"/>
      <c r="OQ42" s="88"/>
      <c r="OR42" s="88"/>
      <c r="OS42" s="88"/>
      <c r="OT42" s="88"/>
      <c r="OU42" s="88"/>
      <c r="OV42" s="88"/>
      <c r="OW42" s="88"/>
      <c r="OX42" s="88"/>
      <c r="OY42" s="88"/>
      <c r="OZ42" s="88"/>
      <c r="PA42" s="88"/>
      <c r="PB42" s="88"/>
      <c r="PC42" s="88"/>
      <c r="PD42" s="88"/>
      <c r="PE42" s="88"/>
      <c r="PF42" s="88"/>
      <c r="PG42" s="88"/>
      <c r="PH42" s="88"/>
      <c r="PI42" s="88"/>
      <c r="PJ42" s="88"/>
      <c r="PK42" s="88"/>
      <c r="PL42" s="88"/>
      <c r="PM42" s="88"/>
      <c r="PN42" s="88"/>
      <c r="PO42" s="88"/>
      <c r="PP42" s="88"/>
      <c r="PQ42" s="88"/>
      <c r="PR42" s="88"/>
      <c r="PS42" s="88"/>
      <c r="PT42" s="88"/>
      <c r="PU42" s="88"/>
      <c r="PV42" s="88"/>
      <c r="PW42" s="88"/>
      <c r="PX42" s="88"/>
      <c r="PY42" s="88"/>
      <c r="PZ42" s="88"/>
      <c r="QA42" s="88"/>
      <c r="QB42" s="88"/>
      <c r="QC42" s="88"/>
      <c r="QD42" s="88"/>
      <c r="QE42" s="88"/>
      <c r="QF42" s="88"/>
      <c r="QG42" s="88"/>
      <c r="QH42" s="88"/>
      <c r="QI42" s="88"/>
      <c r="QJ42" s="88"/>
      <c r="QK42" s="88"/>
      <c r="QL42" s="88"/>
      <c r="QM42" s="88"/>
      <c r="QN42" s="88"/>
      <c r="QO42" s="88"/>
      <c r="QP42" s="88"/>
      <c r="QQ42" s="88"/>
      <c r="QR42" s="88"/>
      <c r="QS42" s="88"/>
      <c r="QT42" s="88"/>
      <c r="QU42" s="88"/>
      <c r="QV42" s="88"/>
      <c r="QW42" s="88"/>
      <c r="QX42" s="88"/>
      <c r="QY42" s="88"/>
      <c r="QZ42" s="88"/>
      <c r="RA42" s="88"/>
      <c r="RB42" s="88"/>
      <c r="RC42" s="88"/>
      <c r="RD42" s="88"/>
      <c r="RE42" s="88"/>
      <c r="RF42" s="88"/>
      <c r="RG42" s="88"/>
      <c r="RH42" s="88"/>
      <c r="RI42" s="88"/>
      <c r="RJ42" s="88"/>
      <c r="RK42" s="88"/>
      <c r="RL42" s="88"/>
      <c r="RM42" s="88"/>
      <c r="RN42" s="88"/>
      <c r="RO42" s="88"/>
      <c r="RP42" s="88"/>
      <c r="RQ42" s="88"/>
      <c r="RR42" s="88"/>
      <c r="RS42" s="88"/>
      <c r="RT42" s="88"/>
      <c r="RU42" s="88"/>
      <c r="RV42" s="88"/>
      <c r="RW42" s="88"/>
      <c r="RX42" s="88"/>
      <c r="RY42" s="88"/>
      <c r="RZ42" s="88"/>
      <c r="SA42" s="88"/>
      <c r="SB42" s="88"/>
      <c r="SC42" s="88"/>
      <c r="SD42" s="88"/>
      <c r="SE42" s="88"/>
      <c r="SF42" s="88"/>
      <c r="SG42" s="88"/>
      <c r="SH42" s="88"/>
      <c r="SI42" s="88"/>
      <c r="SJ42" s="88"/>
      <c r="SK42" s="88"/>
      <c r="SL42" s="88"/>
      <c r="SM42" s="88"/>
      <c r="SN42" s="88"/>
      <c r="SO42" s="88"/>
      <c r="SP42" s="88"/>
      <c r="SQ42" s="88"/>
      <c r="SR42" s="88"/>
      <c r="SS42" s="88"/>
      <c r="ST42" s="88"/>
      <c r="SU42" s="88"/>
      <c r="SV42" s="88"/>
      <c r="SW42" s="91"/>
    </row>
    <row r="43" customFormat="false" ht="14.25" hidden="false" customHeight="false" outlineLevel="1" collapsed="false">
      <c r="C43" s="10"/>
      <c r="D43" s="67"/>
      <c r="E43" s="68"/>
      <c r="F43" s="80" t="n">
        <v>44162</v>
      </c>
      <c r="G43" s="81" t="n">
        <v>6</v>
      </c>
      <c r="H43" s="107" t="n">
        <f aca="false">(F43+G43)-1</f>
        <v>44167</v>
      </c>
      <c r="I43" s="98" t="n">
        <v>0</v>
      </c>
      <c r="J43" s="73"/>
      <c r="K43" s="74"/>
      <c r="L43" s="75" t="str">
        <f aca="false">IF($I43&gt;0%,IF(AND(L$16&gt;=$F43,L$16&lt;$F43+($G43*$I43)),"➤",""),"")</f>
        <v/>
      </c>
      <c r="M43" s="76" t="str">
        <f aca="false">IF($I43&gt;0%,IF(AND(M$16&gt;=$F43,M$16&lt;$F43+($G43*$I43)),"➤",""),"")</f>
        <v/>
      </c>
      <c r="N43" s="76" t="str">
        <f aca="false">IF($I43&gt;0%,IF(AND(N$16&gt;=$F43,N$16&lt;$F43+($G43*$I43)),"➤",""),"")</f>
        <v/>
      </c>
      <c r="O43" s="76" t="str">
        <f aca="false">IF($I43&gt;0%,IF(AND(O$16&gt;=$F43,O$16&lt;$F43+($G43*$I43)),"➤",""),"")</f>
        <v/>
      </c>
      <c r="P43" s="76" t="str">
        <f aca="false">IF($I43&gt;0%,IF(AND(P$16&gt;=$F43,P$16&lt;$F43+($G43*$I43)),"➤",""),"")</f>
        <v/>
      </c>
      <c r="Q43" s="76" t="str">
        <f aca="false">IF($I43&gt;0%,IF(AND(Q$16&gt;=$F43,Q$16&lt;$F43+($G43*$I43)),"➤",""),"")</f>
        <v/>
      </c>
      <c r="R43" s="76" t="str">
        <f aca="false">IF($I43&gt;0%,IF(AND(R$16&gt;=$F43,R$16&lt;$F43+($G43*$I43)),"➤",""),"")</f>
        <v/>
      </c>
      <c r="S43" s="76" t="str">
        <f aca="false">IF($I43&gt;0%,IF(AND(S$16&gt;=$F43,S$16&lt;$F43+($G43*$I43)),"➤",""),"")</f>
        <v/>
      </c>
      <c r="T43" s="76" t="str">
        <f aca="false">IF($I43&gt;0%,IF(AND(T$16&gt;=$F43,T$16&lt;$F43+($G43*$I43)),"➤",""),"")</f>
        <v/>
      </c>
      <c r="U43" s="76" t="str">
        <f aca="false">IF($I43&gt;0%,IF(AND(U$16&gt;=$F43,U$16&lt;$F43+($G43*$I43)),"➤",""),"")</f>
        <v/>
      </c>
      <c r="V43" s="76" t="str">
        <f aca="false">IF($I43&gt;0%,IF(AND(V$16&gt;=$F43,V$16&lt;$F43+($G43*$I43)),"➤",""),"")</f>
        <v/>
      </c>
      <c r="W43" s="76" t="str">
        <f aca="false">IF($I43&gt;0%,IF(AND(W$16&gt;=$F43,W$16&lt;$F43+($G43*$I43)),"➤",""),"")</f>
        <v/>
      </c>
      <c r="X43" s="76" t="str">
        <f aca="false">IF($I43&gt;0%,IF(AND(X$16&gt;=$F43,X$16&lt;$F43+($G43*$I43)),"➤",""),"")</f>
        <v/>
      </c>
      <c r="Y43" s="76" t="str">
        <f aca="false">IF($I43&gt;0%,IF(AND(Y$16&gt;=$F43,Y$16&lt;$F43+($G43*$I43)),"➤",""),"")</f>
        <v/>
      </c>
      <c r="Z43" s="76" t="str">
        <f aca="false">IF($I43&gt;0%,IF(AND(Z$16&gt;=$F43,Z$16&lt;$F43+($G43*$I43)),"➤",""),"")</f>
        <v/>
      </c>
      <c r="AA43" s="76" t="str">
        <f aca="false">IF($I43&gt;0%,IF(AND(AA$16&gt;=$F43,AA$16&lt;$F43+($G43*$I43)),"➤",""),"")</f>
        <v/>
      </c>
      <c r="AB43" s="76" t="str">
        <f aca="false">IF($I43&gt;0%,IF(AND(AB$16&gt;=$F43,AB$16&lt;$F43+($G43*$I43)),"➤",""),"")</f>
        <v/>
      </c>
      <c r="AC43" s="76" t="str">
        <f aca="false">IF($I43&gt;0%,IF(AND(AC$16&gt;=$F43,AC$16&lt;$F43+($G43*$I43)),"➤",""),"")</f>
        <v/>
      </c>
      <c r="AD43" s="76" t="str">
        <f aca="false">IF($I43&gt;0%,IF(AND(AD$16&gt;=$F43,AD$16&lt;$F43+($G43*$I43)),"➤",""),"")</f>
        <v/>
      </c>
      <c r="AE43" s="76" t="str">
        <f aca="false">IF($I43&gt;0%,IF(AND(AE$16&gt;=$F43,AE$16&lt;$F43+($G43*$I43)),"➤",""),"")</f>
        <v/>
      </c>
      <c r="AF43" s="76" t="str">
        <f aca="false">IF($I43&gt;0%,IF(AND(AF$16&gt;=$F43,AF$16&lt;$F43+($G43*$I43)),"➤",""),"")</f>
        <v/>
      </c>
      <c r="AG43" s="76" t="str">
        <f aca="false">IF($I43&gt;0%,IF(AND(AG$16&gt;=$F43,AG$16&lt;$F43+($G43*$I43)),"➤",""),"")</f>
        <v/>
      </c>
      <c r="AH43" s="76" t="str">
        <f aca="false">IF($I43&gt;0%,IF(AND(AH$16&gt;=$F43,AH$16&lt;$F43+($G43*$I43)),"➤",""),"")</f>
        <v/>
      </c>
      <c r="AI43" s="76" t="str">
        <f aca="false">IF($I43&gt;0%,IF(AND(AI$16&gt;=$F43,AI$16&lt;$F43+($G43*$I43)),"➤",""),"")</f>
        <v/>
      </c>
      <c r="AJ43" s="76" t="str">
        <f aca="false">IF($I43&gt;0%,IF(AND(AJ$16&gt;=$F43,AJ$16&lt;$F43+($G43*$I43)),"➤",""),"")</f>
        <v/>
      </c>
      <c r="AK43" s="76" t="str">
        <f aca="false">IF($I43&gt;0%,IF(AND(AK$16&gt;=$F43,AK$16&lt;$F43+($G43*$I43)),"➤",""),"")</f>
        <v/>
      </c>
      <c r="AL43" s="76" t="str">
        <f aca="false">IF($I43&gt;0%,IF(AND(AL$16&gt;=$F43,AL$16&lt;$F43+($G43*$I43)),"➤",""),"")</f>
        <v/>
      </c>
      <c r="AM43" s="76" t="str">
        <f aca="false">IF($I43&gt;0%,IF(AND(AM$16&gt;=$F43,AM$16&lt;$F43+($G43*$I43)),"➤",""),"")</f>
        <v/>
      </c>
      <c r="AN43" s="76" t="str">
        <f aca="false">IF($I43&gt;0%,IF(AND(AN$16&gt;=$F43,AN$16&lt;$F43+($G43*$I43)),"➤",""),"")</f>
        <v/>
      </c>
      <c r="AO43" s="76" t="str">
        <f aca="false">IF($I43&gt;0%,IF(AND(AO$16&gt;=$F43,AO$16&lt;$F43+($G43*$I43)),"➤",""),"")</f>
        <v/>
      </c>
      <c r="AP43" s="76" t="str">
        <f aca="false">IF($I43&gt;0%,IF(AND(AP$16&gt;=$F43,AP$16&lt;$F43+($G43*$I43)),"➤",""),"")</f>
        <v/>
      </c>
      <c r="AQ43" s="76" t="str">
        <f aca="false">IF($I43&gt;0%,IF(AND(AQ$16&gt;=$F43,AQ$16&lt;$F43+($G43*$I43)),"➤",""),"")</f>
        <v/>
      </c>
      <c r="AR43" s="76" t="str">
        <f aca="false">IF($I43&gt;0%,IF(AND(AR$16&gt;=$F43,AR$16&lt;$F43+($G43*$I43)),"➤",""),"")</f>
        <v/>
      </c>
      <c r="AS43" s="76" t="str">
        <f aca="false">IF($I43&gt;0%,IF(AND(AS$16&gt;=$F43,AS$16&lt;$F43+($G43*$I43)),"➤",""),"")</f>
        <v/>
      </c>
      <c r="AT43" s="76" t="str">
        <f aca="false">IF($I43&gt;0%,IF(AND(AT$16&gt;=$F43,AT$16&lt;$F43+($G43*$I43)),"➤",""),"")</f>
        <v/>
      </c>
      <c r="AU43" s="76" t="str">
        <f aca="false">IF($I43&gt;0%,IF(AND(AU$16&gt;=$F43,AU$16&lt;$F43+($G43*$I43)),"➤",""),"")</f>
        <v/>
      </c>
      <c r="AV43" s="76" t="str">
        <f aca="false">IF($I43&gt;0%,IF(AND(AV$16&gt;=$F43,AV$16&lt;$F43+($G43*$I43)),"➤",""),"")</f>
        <v/>
      </c>
      <c r="AW43" s="76" t="str">
        <f aca="false">IF($I43&gt;0%,IF(AND(AW$16&gt;=$F43,AW$16&lt;$F43+($G43*$I43)),"➤",""),"")</f>
        <v/>
      </c>
      <c r="AX43" s="76" t="str">
        <f aca="false">IF($I43&gt;0%,IF(AND(AX$16&gt;=$F43,AX$16&lt;$F43+($G43*$I43)),"➤",""),"")</f>
        <v/>
      </c>
      <c r="AY43" s="76" t="str">
        <f aca="false">IF($I43&gt;0%,IF(AND(AY$16&gt;=$F43,AY$16&lt;$F43+($G43*$I43)),"➤",""),"")</f>
        <v/>
      </c>
      <c r="AZ43" s="76" t="str">
        <f aca="false">IF($I43&gt;0%,IF(AND(AZ$16&gt;=$F43,AZ$16&lt;$F43+($G43*$I43)),"➤",""),"")</f>
        <v/>
      </c>
      <c r="BA43" s="76" t="str">
        <f aca="false">IF($I43&gt;0%,IF(AND(BA$16&gt;=$F43,BA$16&lt;$F43+($G43*$I43)),"➤",""),"")</f>
        <v/>
      </c>
      <c r="BB43" s="76" t="str">
        <f aca="false">IF($I43&gt;0%,IF(AND(BB$16&gt;=$F43,BB$16&lt;$F43+($G43*$I43)),"➤",""),"")</f>
        <v/>
      </c>
      <c r="BC43" s="76" t="str">
        <f aca="false">IF($I43&gt;0%,IF(AND(BC$16&gt;=$F43,BC$16&lt;$F43+($G43*$I43)),"➤",""),"")</f>
        <v/>
      </c>
      <c r="BD43" s="76" t="str">
        <f aca="false">IF($I43&gt;0%,IF(AND(BD$16&gt;=$F43,BD$16&lt;$F43+($G43*$I43)),"➤",""),"")</f>
        <v/>
      </c>
      <c r="BE43" s="76" t="str">
        <f aca="false">IF($I43&gt;0%,IF(AND(BE$16&gt;=$F43,BE$16&lt;$F43+($G43*$I43)),"➤",""),"")</f>
        <v/>
      </c>
      <c r="BF43" s="76" t="str">
        <f aca="false">IF($I43&gt;0%,IF(AND(BF$16&gt;=$F43,BF$16&lt;$F43+($G43*$I43)),"➤",""),"")</f>
        <v/>
      </c>
      <c r="BG43" s="76" t="str">
        <f aca="false">IF($I43&gt;0%,IF(AND(BG$16&gt;=$F43,BG$16&lt;$F43+($G43*$I43)),"➤",""),"")</f>
        <v/>
      </c>
      <c r="BH43" s="76" t="str">
        <f aca="false">IF($I43&gt;0%,IF(AND(BH$16&gt;=$F43,BH$16&lt;$F43+($G43*$I43)),"➤",""),"")</f>
        <v/>
      </c>
      <c r="BI43" s="76" t="str">
        <f aca="false">IF($I43&gt;0%,IF(AND(BI$16&gt;=$F43,BI$16&lt;$F43+($G43*$I43)),"➤",""),"")</f>
        <v/>
      </c>
      <c r="BJ43" s="76" t="str">
        <f aca="false">IF($I43&gt;0%,IF(AND(BJ$16&gt;=$F43,BJ$16&lt;$F43+($G43*$I43)),"➤",""),"")</f>
        <v/>
      </c>
      <c r="BK43" s="76" t="str">
        <f aca="false">IF($I43&gt;0%,IF(AND(BK$16&gt;=$F43,BK$16&lt;$F43+($G43*$I43)),"➤",""),"")</f>
        <v/>
      </c>
      <c r="BL43" s="76" t="str">
        <f aca="false">IF($I43&gt;0%,IF(AND(BL$16&gt;=$F43,BL$16&lt;$F43+($G43*$I43)),"➤",""),"")</f>
        <v/>
      </c>
      <c r="BM43" s="76" t="str">
        <f aca="false">IF($I43&gt;0%,IF(AND(BM$16&gt;=$F43,BM$16&lt;$F43+($G43*$I43)),"➤",""),"")</f>
        <v/>
      </c>
      <c r="BN43" s="76" t="str">
        <f aca="false">IF($I43&gt;0%,IF(AND(BN$16&gt;=$F43,BN$16&lt;$F43+($G43*$I43)),"➤",""),"")</f>
        <v/>
      </c>
      <c r="BO43" s="76" t="str">
        <f aca="false">IF($I43&gt;0%,IF(AND(BO$16&gt;=$F43,BO$16&lt;$F43+($G43*$I43)),"➤",""),"")</f>
        <v/>
      </c>
      <c r="BP43" s="76" t="str">
        <f aca="false">IF($I43&gt;0%,IF(AND(BP$16&gt;=$F43,BP$16&lt;$F43+($G43*$I43)),"➤",""),"")</f>
        <v/>
      </c>
      <c r="BQ43" s="76" t="str">
        <f aca="false">IF($I43&gt;0%,IF(AND(BQ$16&gt;=$F43,BQ$16&lt;$F43+($G43*$I43)),"➤",""),"")</f>
        <v/>
      </c>
      <c r="BR43" s="76" t="str">
        <f aca="false">IF($I43&gt;0%,IF(AND(BR$16&gt;=$F43,BR$16&lt;$F43+($G43*$I43)),"➤",""),"")</f>
        <v/>
      </c>
      <c r="BS43" s="76" t="str">
        <f aca="false">IF($I43&gt;0%,IF(AND(BS$16&gt;=$F43,BS$16&lt;$F43+($G43*$I43)),"➤",""),"")</f>
        <v/>
      </c>
      <c r="BT43" s="76" t="str">
        <f aca="false">IF($I43&gt;0%,IF(AND(BT$16&gt;=$F43,BT$16&lt;$F43+($G43*$I43)),"➤",""),"")</f>
        <v/>
      </c>
      <c r="BU43" s="76" t="str">
        <f aca="false">IF($I43&gt;0%,IF(AND(BU$16&gt;=$F43,BU$16&lt;$F43+($G43*$I43)),"➤",""),"")</f>
        <v/>
      </c>
      <c r="BV43" s="76" t="str">
        <f aca="false">IF($I43&gt;0%,IF(AND(BV$16&gt;=$F43,BV$16&lt;$F43+($G43*$I43)),"➤",""),"")</f>
        <v/>
      </c>
      <c r="BW43" s="76" t="str">
        <f aca="false">IF($I43&gt;0%,IF(AND(BW$16&gt;=$F43,BW$16&lt;$F43+($G43*$I43)),"➤",""),"")</f>
        <v/>
      </c>
      <c r="BX43" s="76" t="str">
        <f aca="false">IF($I43&gt;0%,IF(AND(BX$16&gt;=$F43,BX$16&lt;$F43+($G43*$I43)),"➤",""),"")</f>
        <v/>
      </c>
      <c r="BY43" s="76" t="str">
        <f aca="false">IF($I43&gt;0%,IF(AND(BY$16&gt;=$F43,BY$16&lt;$F43+($G43*$I43)),"➤",""),"")</f>
        <v/>
      </c>
      <c r="BZ43" s="76" t="str">
        <f aca="false">IF($I43&gt;0%,IF(AND(BZ$16&gt;=$F43,BZ$16&lt;$F43+($G43*$I43)),"➤",""),"")</f>
        <v/>
      </c>
      <c r="CA43" s="76" t="str">
        <f aca="false">IF($I43&gt;0%,IF(AND(CA$16&gt;=$F43,CA$16&lt;$F43+($G43*$I43)),"➤",""),"")</f>
        <v/>
      </c>
      <c r="CB43" s="76" t="str">
        <f aca="false">IF($I43&gt;0%,IF(AND(CB$16&gt;=$F43,CB$16&lt;$F43+($G43*$I43)),"➤",""),"")</f>
        <v/>
      </c>
      <c r="CC43" s="76" t="str">
        <f aca="false">IF($I43&gt;0%,IF(AND(CC$16&gt;=$F43,CC$16&lt;$F43+($G43*$I43)),"➤",""),"")</f>
        <v/>
      </c>
      <c r="CD43" s="76" t="str">
        <f aca="false">IF($I43&gt;0%,IF(AND(CD$16&gt;=$F43,CD$16&lt;$F43+($G43*$I43)),"➤",""),"")</f>
        <v/>
      </c>
      <c r="CE43" s="76" t="str">
        <f aca="false">IF($I43&gt;0%,IF(AND(CE$16&gt;=$F43,CE$16&lt;$F43+($G43*$I43)),"➤",""),"")</f>
        <v/>
      </c>
      <c r="CF43" s="76" t="str">
        <f aca="false">IF($I43&gt;0%,IF(AND(CF$16&gt;=$F43,CF$16&lt;$F43+($G43*$I43)),"➤",""),"")</f>
        <v/>
      </c>
      <c r="CG43" s="76" t="str">
        <f aca="false">IF($I43&gt;0%,IF(AND(CG$16&gt;=$F43,CG$16&lt;$F43+($G43*$I43)),"➤",""),"")</f>
        <v/>
      </c>
      <c r="CH43" s="76" t="str">
        <f aca="false">IF($I43&gt;0%,IF(AND(CH$16&gt;=$F43,CH$16&lt;$F43+($G43*$I43)),"➤",""),"")</f>
        <v/>
      </c>
      <c r="CI43" s="76" t="str">
        <f aca="false">IF($I43&gt;0%,IF(AND(CI$16&gt;=$F43,CI$16&lt;$F43+($G43*$I43)),"➤",""),"")</f>
        <v/>
      </c>
      <c r="CJ43" s="76" t="str">
        <f aca="false">IF($I43&gt;0%,IF(AND(CJ$16&gt;=$F43,CJ$16&lt;$F43+($G43*$I43)),"➤",""),"")</f>
        <v/>
      </c>
      <c r="CK43" s="76" t="str">
        <f aca="false">IF($I43&gt;0%,IF(AND(CK$16&gt;=$F43,CK$16&lt;$F43+($G43*$I43)),"➤",""),"")</f>
        <v/>
      </c>
      <c r="CL43" s="76" t="str">
        <f aca="false">IF($I43&gt;0%,IF(AND(CL$16&gt;=$F43,CL$16&lt;$F43+($G43*$I43)),"➤",""),"")</f>
        <v/>
      </c>
      <c r="CM43" s="76" t="str">
        <f aca="false">IF($I43&gt;0%,IF(AND(CM$16&gt;=$F43,CM$16&lt;$F43+($G43*$I43)),"➤",""),"")</f>
        <v/>
      </c>
      <c r="CN43" s="76" t="str">
        <f aca="false">IF($I43&gt;0%,IF(AND(CN$16&gt;=$F43,CN$16&lt;$F43+($G43*$I43)),"➤",""),"")</f>
        <v/>
      </c>
      <c r="CO43" s="76" t="str">
        <f aca="false">IF($I43&gt;0%,IF(AND(CO$16&gt;=$F43,CO$16&lt;$F43+($G43*$I43)),"➤",""),"")</f>
        <v/>
      </c>
      <c r="CP43" s="76" t="str">
        <f aca="false">IF($I43&gt;0%,IF(AND(CP$16&gt;=$F43,CP$16&lt;$F43+($G43*$I43)),"➤",""),"")</f>
        <v/>
      </c>
      <c r="CQ43" s="76" t="str">
        <f aca="false">IF($I43&gt;0%,IF(AND(CQ$16&gt;=$F43,CQ$16&lt;$F43+($G43*$I43)),"➤",""),"")</f>
        <v/>
      </c>
      <c r="CR43" s="76" t="str">
        <f aca="false">IF($I43&gt;0%,IF(AND(CR$16&gt;=$F43,CR$16&lt;$F43+($G43*$I43)),"➤",""),"")</f>
        <v/>
      </c>
      <c r="CS43" s="76" t="str">
        <f aca="false">IF($I43&gt;0%,IF(AND(CS$16&gt;=$F43,CS$16&lt;$F43+($G43*$I43)),"➤",""),"")</f>
        <v/>
      </c>
      <c r="CT43" s="76" t="str">
        <f aca="false">IF($I43&gt;0%,IF(AND(CT$16&gt;=$F43,CT$16&lt;$F43+($G43*$I43)),"➤",""),"")</f>
        <v/>
      </c>
      <c r="CU43" s="76" t="str">
        <f aca="false">IF($I43&gt;0%,IF(AND(CU$16&gt;=$F43,CU$16&lt;$F43+($G43*$I43)),"➤",""),"")</f>
        <v/>
      </c>
      <c r="CV43" s="76" t="str">
        <f aca="false">IF($I43&gt;0%,IF(AND(CV$16&gt;=$F43,CV$16&lt;$F43+($G43*$I43)),"➤",""),"")</f>
        <v/>
      </c>
      <c r="CW43" s="76" t="str">
        <f aca="false">IF($I43&gt;0%,IF(AND(CW$16&gt;=$F43,CW$16&lt;$F43+($G43*$I43)),"➤",""),"")</f>
        <v/>
      </c>
      <c r="CX43" s="76" t="str">
        <f aca="false">IF($I43&gt;0%,IF(AND(CX$16&gt;=$F43,CX$16&lt;$F43+($G43*$I43)),"➤",""),"")</f>
        <v/>
      </c>
      <c r="CY43" s="76" t="str">
        <f aca="false">IF($I43&gt;0%,IF(AND(CY$16&gt;=$F43,CY$16&lt;$F43+($G43*$I43)),"➤",""),"")</f>
        <v/>
      </c>
      <c r="CZ43" s="76" t="str">
        <f aca="false">IF($I43&gt;0%,IF(AND(CZ$16&gt;=$F43,CZ$16&lt;$F43+($G43*$I43)),"➤",""),"")</f>
        <v/>
      </c>
      <c r="DA43" s="76" t="str">
        <f aca="false">IF($I43&gt;0%,IF(AND(DA$16&gt;=$F43,DA$16&lt;$F43+($G43*$I43)),"➤",""),"")</f>
        <v/>
      </c>
      <c r="DB43" s="76" t="str">
        <f aca="false">IF($I43&gt;0%,IF(AND(DB$16&gt;=$F43,DB$16&lt;$F43+($G43*$I43)),"➤",""),"")</f>
        <v/>
      </c>
      <c r="DC43" s="76" t="str">
        <f aca="false">IF($I43&gt;0%,IF(AND(DC$16&gt;=$F43,DC$16&lt;$F43+($G43*$I43)),"➤",""),"")</f>
        <v/>
      </c>
      <c r="DD43" s="76" t="str">
        <f aca="false">IF($I43&gt;0%,IF(AND(DD$16&gt;=$F43,DD$16&lt;$F43+($G43*$I43)),"➤",""),"")</f>
        <v/>
      </c>
      <c r="DE43" s="76" t="str">
        <f aca="false">IF($I43&gt;0%,IF(AND(DE$16&gt;=$F43,DE$16&lt;$F43+($G43*$I43)),"➤",""),"")</f>
        <v/>
      </c>
      <c r="DF43" s="76" t="str">
        <f aca="false">IF($I43&gt;0%,IF(AND(DF$16&gt;=$F43,DF$16&lt;$F43+($G43*$I43)),"➤",""),"")</f>
        <v/>
      </c>
      <c r="DG43" s="76" t="str">
        <f aca="false">IF($I43&gt;0%,IF(AND(DG$16&gt;=$F43,DG$16&lt;$F43+($G43*$I43)),"➤",""),"")</f>
        <v/>
      </c>
      <c r="DH43" s="76" t="str">
        <f aca="false">IF($I43&gt;0%,IF(AND(DH$16&gt;=$F43,DH$16&lt;$F43+($G43*$I43)),"➤",""),"")</f>
        <v/>
      </c>
      <c r="DI43" s="76" t="str">
        <f aca="false">IF($I43&gt;0%,IF(AND(DI$16&gt;=$F43,DI$16&lt;$F43+($G43*$I43)),"➤",""),"")</f>
        <v/>
      </c>
      <c r="DJ43" s="76" t="str">
        <f aca="false">IF($I43&gt;0%,IF(AND(DJ$16&gt;=$F43,DJ$16&lt;$F43+($G43*$I43)),"➤",""),"")</f>
        <v/>
      </c>
      <c r="DK43" s="76" t="str">
        <f aca="false">IF($I43&gt;0%,IF(AND(DK$16&gt;=$F43,DK$16&lt;$F43+($G43*$I43)),"➤",""),"")</f>
        <v/>
      </c>
      <c r="DL43" s="76" t="str">
        <f aca="false">IF($I43&gt;0%,IF(AND(DL$16&gt;=$F43,DL$16&lt;$F43+($G43*$I43)),"➤",""),"")</f>
        <v/>
      </c>
      <c r="DM43" s="76" t="str">
        <f aca="false">IF($I43&gt;0%,IF(AND(DM$16&gt;=$F43,DM$16&lt;$F43+($G43*$I43)),"➤",""),"")</f>
        <v/>
      </c>
      <c r="DN43" s="76" t="str">
        <f aca="false">IF($I43&gt;0%,IF(AND(DN$16&gt;=$F43,DN$16&lt;$F43+($G43*$I43)),"➤",""),"")</f>
        <v/>
      </c>
      <c r="DO43" s="76" t="str">
        <f aca="false">IF($I43&gt;0%,IF(AND(DO$16&gt;=$F43,DO$16&lt;$F43+($G43*$I43)),"➤",""),"")</f>
        <v/>
      </c>
      <c r="DP43" s="76" t="str">
        <f aca="false">IF($I43&gt;0%,IF(AND(DP$16&gt;=$F43,DP$16&lt;$F43+($G43*$I43)),"➤",""),"")</f>
        <v/>
      </c>
      <c r="DQ43" s="76" t="str">
        <f aca="false">IF($I43&gt;0%,IF(AND(DQ$16&gt;=$F43,DQ$16&lt;$F43+($G43*$I43)),"➤",""),"")</f>
        <v/>
      </c>
      <c r="DR43" s="76" t="str">
        <f aca="false">IF($I43&gt;0%,IF(AND(DR$16&gt;=$F43,DR$16&lt;$F43+($G43*$I43)),"➤",""),"")</f>
        <v/>
      </c>
      <c r="DS43" s="76" t="str">
        <f aca="false">IF($I43&gt;0%,IF(AND(DS$16&gt;=$F43,DS$16&lt;$F43+($G43*$I43)),"➤",""),"")</f>
        <v/>
      </c>
      <c r="DT43" s="76" t="str">
        <f aca="false">IF($I43&gt;0%,IF(AND(DT$16&gt;=$F43,DT$16&lt;$F43+($G43*$I43)),"➤",""),"")</f>
        <v/>
      </c>
      <c r="DU43" s="76" t="str">
        <f aca="false">IF($I43&gt;0%,IF(AND(DU$16&gt;=$F43,DU$16&lt;$F43+($G43*$I43)),"➤",""),"")</f>
        <v/>
      </c>
      <c r="DV43" s="76" t="str">
        <f aca="false">IF($I43&gt;0%,IF(AND(DV$16&gt;=$F43,DV$16&lt;$F43+($G43*$I43)),"➤",""),"")</f>
        <v/>
      </c>
      <c r="DW43" s="76" t="str">
        <f aca="false">IF($I43&gt;0%,IF(AND(DW$16&gt;=$F43,DW$16&lt;$F43+($G43*$I43)),"➤",""),"")</f>
        <v/>
      </c>
      <c r="DX43" s="76" t="str">
        <f aca="false">IF($I43&gt;0%,IF(AND(DX$16&gt;=$F43,DX$16&lt;$F43+($G43*$I43)),"➤",""),"")</f>
        <v/>
      </c>
      <c r="DY43" s="76" t="str">
        <f aca="false">IF($I43&gt;0%,IF(AND(DY$16&gt;=$F43,DY$16&lt;$F43+($G43*$I43)),"➤",""),"")</f>
        <v/>
      </c>
      <c r="DZ43" s="76" t="str">
        <f aca="false">IF($I43&gt;0%,IF(AND(DZ$16&gt;=$F43,DZ$16&lt;$F43+($G43*$I43)),"➤",""),"")</f>
        <v/>
      </c>
      <c r="EA43" s="76" t="str">
        <f aca="false">IF($I43&gt;0%,IF(AND(EA$16&gt;=$F43,EA$16&lt;$F43+($G43*$I43)),"➤",""),"")</f>
        <v/>
      </c>
      <c r="EB43" s="76" t="str">
        <f aca="false">IF($I43&gt;0%,IF(AND(EB$16&gt;=$F43,EB$16&lt;$F43+($G43*$I43)),"➤",""),"")</f>
        <v/>
      </c>
      <c r="EC43" s="76" t="str">
        <f aca="false">IF($I43&gt;0%,IF(AND(EC$16&gt;=$F43,EC$16&lt;$F43+($G43*$I43)),"➤",""),"")</f>
        <v/>
      </c>
      <c r="ED43" s="76" t="str">
        <f aca="false">IF($I43&gt;0%,IF(AND(ED$16&gt;=$F43,ED$16&lt;$F43+($G43*$I43)),"➤",""),"")</f>
        <v/>
      </c>
      <c r="EE43" s="76" t="str">
        <f aca="false">IF($I43&gt;0%,IF(AND(EE$16&gt;=$F43,EE$16&lt;$F43+($G43*$I43)),"➤",""),"")</f>
        <v/>
      </c>
      <c r="EF43" s="76" t="str">
        <f aca="false">IF($I43&gt;0%,IF(AND(EF$16&gt;=$F43,EF$16&lt;$F43+($G43*$I43)),"➤",""),"")</f>
        <v/>
      </c>
      <c r="EG43" s="76" t="str">
        <f aca="false">IF($I43&gt;0%,IF(AND(EG$16&gt;=$F43,EG$16&lt;$F43+($G43*$I43)),"➤",""),"")</f>
        <v/>
      </c>
      <c r="EH43" s="76" t="str">
        <f aca="false">IF($I43&gt;0%,IF(AND(EH$16&gt;=$F43,EH$16&lt;$F43+($G43*$I43)),"➤",""),"")</f>
        <v/>
      </c>
      <c r="EI43" s="76" t="str">
        <f aca="false">IF($I43&gt;0%,IF(AND(EI$16&gt;=$F43,EI$16&lt;$F43+($G43*$I43)),"➤",""),"")</f>
        <v/>
      </c>
      <c r="EJ43" s="76" t="str">
        <f aca="false">IF($I43&gt;0%,IF(AND(EJ$16&gt;=$F43,EJ$16&lt;$F43+($G43*$I43)),"➤",""),"")</f>
        <v/>
      </c>
      <c r="EK43" s="76" t="str">
        <f aca="false">IF($I43&gt;0%,IF(AND(EK$16&gt;=$F43,EK$16&lt;$F43+($G43*$I43)),"➤",""),"")</f>
        <v/>
      </c>
      <c r="EL43" s="76" t="str">
        <f aca="false">IF($I43&gt;0%,IF(AND(EL$16&gt;=$F43,EL$16&lt;$F43+($G43*$I43)),"➤",""),"")</f>
        <v/>
      </c>
      <c r="EM43" s="76" t="str">
        <f aca="false">IF($I43&gt;0%,IF(AND(EM$16&gt;=$F43,EM$16&lt;$F43+($G43*$I43)),"➤",""),"")</f>
        <v/>
      </c>
      <c r="EN43" s="76" t="str">
        <f aca="false">IF($I43&gt;0%,IF(AND(EN$16&gt;=$F43,EN$16&lt;$F43+($G43*$I43)),"➤",""),"")</f>
        <v/>
      </c>
      <c r="EO43" s="76" t="str">
        <f aca="false">IF($I43&gt;0%,IF(AND(EO$16&gt;=$F43,EO$16&lt;$F43+($G43*$I43)),"➤",""),"")</f>
        <v/>
      </c>
      <c r="EP43" s="76" t="str">
        <f aca="false">IF($I43&gt;0%,IF(AND(EP$16&gt;=$F43,EP$16&lt;$F43+($G43*$I43)),"➤",""),"")</f>
        <v/>
      </c>
      <c r="EQ43" s="76" t="str">
        <f aca="false">IF($I43&gt;0%,IF(AND(EQ$16&gt;=$F43,EQ$16&lt;$F43+($G43*$I43)),"➤",""),"")</f>
        <v/>
      </c>
      <c r="ER43" s="76" t="str">
        <f aca="false">IF($I43&gt;0%,IF(AND(ER$16&gt;=$F43,ER$16&lt;$F43+($G43*$I43)),"➤",""),"")</f>
        <v/>
      </c>
      <c r="ES43" s="76" t="str">
        <f aca="false">IF($I43&gt;0%,IF(AND(ES$16&gt;=$F43,ES$16&lt;$F43+($G43*$I43)),"➤",""),"")</f>
        <v/>
      </c>
      <c r="ET43" s="76" t="str">
        <f aca="false">IF($I43&gt;0%,IF(AND(ET$16&gt;=$F43,ET$16&lt;$F43+($G43*$I43)),"➤",""),"")</f>
        <v/>
      </c>
      <c r="EU43" s="76" t="str">
        <f aca="false">IF($I43&gt;0%,IF(AND(EU$16&gt;=$F43,EU$16&lt;$F43+($G43*$I43)),"➤",""),"")</f>
        <v/>
      </c>
      <c r="EV43" s="76" t="str">
        <f aca="false">IF($I43&gt;0%,IF(AND(EV$16&gt;=$F43,EV$16&lt;$F43+($G43*$I43)),"➤",""),"")</f>
        <v/>
      </c>
      <c r="EW43" s="76" t="str">
        <f aca="false">IF($I43&gt;0%,IF(AND(EW$16&gt;=$F43,EW$16&lt;$F43+($G43*$I43)),"➤",""),"")</f>
        <v/>
      </c>
      <c r="EX43" s="76" t="str">
        <f aca="false">IF($I43&gt;0%,IF(AND(EX$16&gt;=$F43,EX$16&lt;$F43+($G43*$I43)),"➤",""),"")</f>
        <v/>
      </c>
      <c r="EY43" s="76" t="str">
        <f aca="false">IF($I43&gt;0%,IF(AND(EY$16&gt;=$F43,EY$16&lt;$F43+($G43*$I43)),"➤",""),"")</f>
        <v/>
      </c>
      <c r="EZ43" s="76" t="str">
        <f aca="false">IF($I43&gt;0%,IF(AND(EZ$16&gt;=$F43,EZ$16&lt;$F43+($G43*$I43)),"➤",""),"")</f>
        <v/>
      </c>
      <c r="FA43" s="76" t="str">
        <f aca="false">IF($I43&gt;0%,IF(AND(FA$16&gt;=$F43,FA$16&lt;$F43+($G43*$I43)),"➤",""),"")</f>
        <v/>
      </c>
      <c r="FB43" s="76" t="str">
        <f aca="false">IF($I43&gt;0%,IF(AND(FB$16&gt;=$F43,FB$16&lt;$F43+($G43*$I43)),"➤",""),"")</f>
        <v/>
      </c>
      <c r="FC43" s="76" t="str">
        <f aca="false">IF($I43&gt;0%,IF(AND(FC$16&gt;=$F43,FC$16&lt;$F43+($G43*$I43)),"➤",""),"")</f>
        <v/>
      </c>
      <c r="FD43" s="76" t="str">
        <f aca="false">IF($I43&gt;0%,IF(AND(FD$16&gt;=$F43,FD$16&lt;$F43+($G43*$I43)),"➤",""),"")</f>
        <v/>
      </c>
      <c r="FE43" s="76" t="str">
        <f aca="false">IF($I43&gt;0%,IF(AND(FE$16&gt;=$F43,FE$16&lt;$F43+($G43*$I43)),"➤",""),"")</f>
        <v/>
      </c>
      <c r="FF43" s="76" t="str">
        <f aca="false">IF($I43&gt;0%,IF(AND(FF$16&gt;=$F43,FF$16&lt;$F43+($G43*$I43)),"➤",""),"")</f>
        <v/>
      </c>
      <c r="FG43" s="76" t="str">
        <f aca="false">IF($I43&gt;0%,IF(AND(FG$16&gt;=$F43,FG$16&lt;$F43+($G43*$I43)),"➤",""),"")</f>
        <v/>
      </c>
      <c r="FH43" s="76" t="str">
        <f aca="false">IF($I43&gt;0%,IF(AND(FH$16&gt;=$F43,FH$16&lt;$F43+($G43*$I43)),"➤",""),"")</f>
        <v/>
      </c>
      <c r="FI43" s="76" t="str">
        <f aca="false">IF($I43&gt;0%,IF(AND(FI$16&gt;=$F43,FI$16&lt;$F43+($G43*$I43)),"➤",""),"")</f>
        <v/>
      </c>
      <c r="FJ43" s="76" t="str">
        <f aca="false">IF($I43&gt;0%,IF(AND(FJ$16&gt;=$F43,FJ$16&lt;$F43+($G43*$I43)),"➤",""),"")</f>
        <v/>
      </c>
      <c r="FK43" s="76" t="str">
        <f aca="false">IF($I43&gt;0%,IF(AND(FK$16&gt;=$F43,FK$16&lt;$F43+($G43*$I43)),"➤",""),"")</f>
        <v/>
      </c>
      <c r="FL43" s="76" t="str">
        <f aca="false">IF($I43&gt;0%,IF(AND(FL$16&gt;=$F43,FL$16&lt;$F43+($G43*$I43)),"➤",""),"")</f>
        <v/>
      </c>
      <c r="FM43" s="76" t="str">
        <f aca="false">IF($I43&gt;0%,IF(AND(FM$16&gt;=$F43,FM$16&lt;$F43+($G43*$I43)),"➤",""),"")</f>
        <v/>
      </c>
      <c r="FN43" s="76" t="str">
        <f aca="false">IF($I43&gt;0%,IF(AND(FN$16&gt;=$F43,FN$16&lt;$F43+($G43*$I43)),"➤",""),"")</f>
        <v/>
      </c>
      <c r="FO43" s="76" t="str">
        <f aca="false">IF($I43&gt;0%,IF(AND(FO$16&gt;=$F43,FO$16&lt;$F43+($G43*$I43)),"➤",""),"")</f>
        <v/>
      </c>
      <c r="FP43" s="76" t="str">
        <f aca="false">IF($I43&gt;0%,IF(AND(FP$16&gt;=$F43,FP$16&lt;$F43+($G43*$I43)),"➤",""),"")</f>
        <v/>
      </c>
      <c r="FQ43" s="76" t="str">
        <f aca="false">IF($I43&gt;0%,IF(AND(FQ$16&gt;=$F43,FQ$16&lt;$F43+($G43*$I43)),"➤",""),"")</f>
        <v/>
      </c>
      <c r="FR43" s="76" t="str">
        <f aca="false">IF($I43&gt;0%,IF(AND(FR$16&gt;=$F43,FR$16&lt;$F43+($G43*$I43)),"➤",""),"")</f>
        <v/>
      </c>
      <c r="FS43" s="76" t="str">
        <f aca="false">IF($I43&gt;0%,IF(AND(FS$16&gt;=$F43,FS$16&lt;$F43+($G43*$I43)),"➤",""),"")</f>
        <v/>
      </c>
      <c r="FT43" s="76" t="str">
        <f aca="false">IF($I43&gt;0%,IF(AND(FT$16&gt;=$F43,FT$16&lt;$F43+($G43*$I43)),"➤",""),"")</f>
        <v/>
      </c>
      <c r="FU43" s="76" t="str">
        <f aca="false">IF($I43&gt;0%,IF(AND(FU$16&gt;=$F43,FU$16&lt;$F43+($G43*$I43)),"➤",""),"")</f>
        <v/>
      </c>
      <c r="FV43" s="76" t="str">
        <f aca="false">IF($I43&gt;0%,IF(AND(FV$16&gt;=$F43,FV$16&lt;$F43+($G43*$I43)),"➤",""),"")</f>
        <v/>
      </c>
      <c r="FW43" s="76" t="str">
        <f aca="false">IF($I43&gt;0%,IF(AND(FW$16&gt;=$F43,FW$16&lt;$F43+($G43*$I43)),"➤",""),"")</f>
        <v/>
      </c>
      <c r="FX43" s="76" t="str">
        <f aca="false">IF($I43&gt;0%,IF(AND(FX$16&gt;=$F43,FX$16&lt;$F43+($G43*$I43)),"➤",""),"")</f>
        <v/>
      </c>
      <c r="FY43" s="76" t="str">
        <f aca="false">IF($I43&gt;0%,IF(AND(FY$16&gt;=$F43,FY$16&lt;$F43+($G43*$I43)),"➤",""),"")</f>
        <v/>
      </c>
      <c r="FZ43" s="76" t="str">
        <f aca="false">IF($I43&gt;0%,IF(AND(FZ$16&gt;=$F43,FZ$16&lt;$F43+($G43*$I43)),"➤",""),"")</f>
        <v/>
      </c>
      <c r="GA43" s="76" t="str">
        <f aca="false">IF($I43&gt;0%,IF(AND(GA$16&gt;=$F43,GA$16&lt;$F43+($G43*$I43)),"➤",""),"")</f>
        <v/>
      </c>
      <c r="GB43" s="76" t="str">
        <f aca="false">IF($I43&gt;0%,IF(AND(GB$16&gt;=$F43,GB$16&lt;$F43+($G43*$I43)),"➤",""),"")</f>
        <v/>
      </c>
      <c r="GC43" s="76" t="str">
        <f aca="false">IF($I43&gt;0%,IF(AND(GC$16&gt;=$F43,GC$16&lt;$F43+($G43*$I43)),"➤",""),"")</f>
        <v/>
      </c>
      <c r="GD43" s="76" t="str">
        <f aca="false">IF($I43&gt;0%,IF(AND(GD$16&gt;=$F43,GD$16&lt;$F43+($G43*$I43)),"➤",""),"")</f>
        <v/>
      </c>
      <c r="GE43" s="76" t="str">
        <f aca="false">IF($I43&gt;0%,IF(AND(GE$16&gt;=$F43,GE$16&lt;$F43+($G43*$I43)),"➤",""),"")</f>
        <v/>
      </c>
      <c r="GF43" s="76" t="str">
        <f aca="false">IF($I43&gt;0%,IF(AND(GF$16&gt;=$F43,GF$16&lt;$F43+($G43*$I43)),"➤",""),"")</f>
        <v/>
      </c>
      <c r="GG43" s="76" t="str">
        <f aca="false">IF($I43&gt;0%,IF(AND(GG$16&gt;=$F43,GG$16&lt;$F43+($G43*$I43)),"➤",""),"")</f>
        <v/>
      </c>
      <c r="GH43" s="76" t="str">
        <f aca="false">IF($I43&gt;0%,IF(AND(GH$16&gt;=$F43,GH$16&lt;$F43+($G43*$I43)),"➤",""),"")</f>
        <v/>
      </c>
      <c r="GI43" s="76" t="str">
        <f aca="false">IF($I43&gt;0%,IF(AND(GI$16&gt;=$F43,GI$16&lt;$F43+($G43*$I43)),"➤",""),"")</f>
        <v/>
      </c>
      <c r="GJ43" s="76" t="str">
        <f aca="false">IF($I43&gt;0%,IF(AND(GJ$16&gt;=$F43,GJ$16&lt;$F43+($G43*$I43)),"➤",""),"")</f>
        <v/>
      </c>
      <c r="GK43" s="76" t="str">
        <f aca="false">IF($I43&gt;0%,IF(AND(GK$16&gt;=$F43,GK$16&lt;$F43+($G43*$I43)),"➤",""),"")</f>
        <v/>
      </c>
      <c r="GL43" s="76" t="str">
        <f aca="false">IF($I43&gt;0%,IF(AND(GL$16&gt;=$F43,GL$16&lt;$F43+($G43*$I43)),"➤",""),"")</f>
        <v/>
      </c>
      <c r="GM43" s="76" t="str">
        <f aca="false">IF($I43&gt;0%,IF(AND(GM$16&gt;=$F43,GM$16&lt;$F43+($G43*$I43)),"➤",""),"")</f>
        <v/>
      </c>
      <c r="GN43" s="76" t="str">
        <f aca="false">IF($I43&gt;0%,IF(AND(GN$16&gt;=$F43,GN$16&lt;$F43+($G43*$I43)),"➤",""),"")</f>
        <v/>
      </c>
      <c r="GO43" s="76" t="str">
        <f aca="false">IF($I43&gt;0%,IF(AND(GO$16&gt;=$F43,GO$16&lt;$F43+($G43*$I43)),"➤",""),"")</f>
        <v/>
      </c>
      <c r="GP43" s="76" t="str">
        <f aca="false">IF($I43&gt;0%,IF(AND(GP$16&gt;=$F43,GP$16&lt;$F43+($G43*$I43)),"➤",""),"")</f>
        <v/>
      </c>
      <c r="GQ43" s="76" t="str">
        <f aca="false">IF($I43&gt;0%,IF(AND(GQ$16&gt;=$F43,GQ$16&lt;$F43+($G43*$I43)),"➤",""),"")</f>
        <v/>
      </c>
      <c r="GR43" s="76" t="str">
        <f aca="false">IF($I43&gt;0%,IF(AND(GR$16&gt;=$F43,GR$16&lt;$F43+($G43*$I43)),"➤",""),"")</f>
        <v/>
      </c>
      <c r="GS43" s="76" t="str">
        <f aca="false">IF($I43&gt;0%,IF(AND(GS$16&gt;=$F43,GS$16&lt;$F43+($G43*$I43)),"➤",""),"")</f>
        <v/>
      </c>
      <c r="GT43" s="76" t="str">
        <f aca="false">IF($I43&gt;0%,IF(AND(GT$16&gt;=$F43,GT$16&lt;$F43+($G43*$I43)),"➤",""),"")</f>
        <v/>
      </c>
      <c r="GU43" s="76" t="str">
        <f aca="false">IF($I43&gt;0%,IF(AND(GU$16&gt;=$F43,GU$16&lt;$F43+($G43*$I43)),"➤",""),"")</f>
        <v/>
      </c>
      <c r="GV43" s="76" t="str">
        <f aca="false">IF($I43&gt;0%,IF(AND(GV$16&gt;=$F43,GV$16&lt;$F43+($G43*$I43)),"➤",""),"")</f>
        <v/>
      </c>
      <c r="GW43" s="76" t="str">
        <f aca="false">IF($I43&gt;0%,IF(AND(GW$16&gt;=$F43,GW$16&lt;$F43+($G43*$I43)),"➤",""),"")</f>
        <v/>
      </c>
      <c r="GX43" s="76" t="str">
        <f aca="false">IF($I43&gt;0%,IF(AND(GX$16&gt;=$F43,GX$16&lt;$F43+($G43*$I43)),"➤",""),"")</f>
        <v/>
      </c>
      <c r="GY43" s="76" t="str">
        <f aca="false">IF($I43&gt;0%,IF(AND(GY$16&gt;=$F43,GY$16&lt;$F43+($G43*$I43)),"➤",""),"")</f>
        <v/>
      </c>
      <c r="GZ43" s="76" t="str">
        <f aca="false">IF($I43&gt;0%,IF(AND(GZ$16&gt;=$F43,GZ$16&lt;$F43+($G43*$I43)),"➤",""),"")</f>
        <v/>
      </c>
      <c r="HA43" s="76" t="str">
        <f aca="false">IF($I43&gt;0%,IF(AND(HA$16&gt;=$F43,HA$16&lt;$F43+($G43*$I43)),"➤",""),"")</f>
        <v/>
      </c>
      <c r="HB43" s="76" t="str">
        <f aca="false">IF($I43&gt;0%,IF(AND(HB$16&gt;=$F43,HB$16&lt;$F43+($G43*$I43)),"➤",""),"")</f>
        <v/>
      </c>
      <c r="HC43" s="76" t="str">
        <f aca="false">IF($I43&gt;0%,IF(AND(HC$16&gt;=$F43,HC$16&lt;$F43+($G43*$I43)),"➤",""),"")</f>
        <v/>
      </c>
      <c r="HD43" s="76" t="str">
        <f aca="false">IF($I43&gt;0%,IF(AND(HD$16&gt;=$F43,HD$16&lt;$F43+($G43*$I43)),"➤",""),"")</f>
        <v/>
      </c>
      <c r="HE43" s="76" t="str">
        <f aca="false">IF($I43&gt;0%,IF(AND(HE$16&gt;=$F43,HE$16&lt;$F43+($G43*$I43)),"➤",""),"")</f>
        <v/>
      </c>
      <c r="HF43" s="76" t="str">
        <f aca="false">IF($I43&gt;0%,IF(AND(HF$16&gt;=$F43,HF$16&lt;$F43+($G43*$I43)),"➤",""),"")</f>
        <v/>
      </c>
      <c r="HG43" s="76" t="str">
        <f aca="false">IF($I43&gt;0%,IF(AND(HG$16&gt;=$F43,HG$16&lt;$F43+($G43*$I43)),"➤",""),"")</f>
        <v/>
      </c>
      <c r="HH43" s="76" t="str">
        <f aca="false">IF($I43&gt;0%,IF(AND(HH$16&gt;=$F43,HH$16&lt;$F43+($G43*$I43)),"➤",""),"")</f>
        <v/>
      </c>
      <c r="HI43" s="76" t="str">
        <f aca="false">IF($I43&gt;0%,IF(AND(HI$16&gt;=$F43,HI$16&lt;$F43+($G43*$I43)),"➤",""),"")</f>
        <v/>
      </c>
      <c r="HJ43" s="76" t="str">
        <f aca="false">IF($I43&gt;0%,IF(AND(HJ$16&gt;=$F43,HJ$16&lt;$F43+($G43*$I43)),"➤",""),"")</f>
        <v/>
      </c>
      <c r="HK43" s="76" t="str">
        <f aca="false">IF($I43&gt;0%,IF(AND(HK$16&gt;=$F43,HK$16&lt;$F43+($G43*$I43)),"➤",""),"")</f>
        <v/>
      </c>
      <c r="HL43" s="76" t="str">
        <f aca="false">IF($I43&gt;0%,IF(AND(HL$16&gt;=$F43,HL$16&lt;$F43+($G43*$I43)),"➤",""),"")</f>
        <v/>
      </c>
      <c r="HM43" s="76" t="str">
        <f aca="false">IF($I43&gt;0%,IF(AND(HM$16&gt;=$F43,HM$16&lt;$F43+($G43*$I43)),"➤",""),"")</f>
        <v/>
      </c>
      <c r="HN43" s="76" t="str">
        <f aca="false">IF($I43&gt;0%,IF(AND(HN$16&gt;=$F43,HN$16&lt;$F43+($G43*$I43)),"➤",""),"")</f>
        <v/>
      </c>
      <c r="HO43" s="76" t="str">
        <f aca="false">IF($I43&gt;0%,IF(AND(HO$16&gt;=$F43,HO$16&lt;$F43+($G43*$I43)),"➤",""),"")</f>
        <v/>
      </c>
      <c r="HP43" s="76" t="str">
        <f aca="false">IF($I43&gt;0%,IF(AND(HP$16&gt;=$F43,HP$16&lt;$F43+($G43*$I43)),"➤",""),"")</f>
        <v/>
      </c>
      <c r="HQ43" s="76" t="str">
        <f aca="false">IF($I43&gt;0%,IF(AND(HQ$16&gt;=$F43,HQ$16&lt;$F43+($G43*$I43)),"➤",""),"")</f>
        <v/>
      </c>
      <c r="HR43" s="76" t="str">
        <f aca="false">IF($I43&gt;0%,IF(AND(HR$16&gt;=$F43,HR$16&lt;$F43+($G43*$I43)),"➤",""),"")</f>
        <v/>
      </c>
      <c r="HS43" s="76" t="str">
        <f aca="false">IF($I43&gt;0%,IF(AND(HS$16&gt;=$F43,HS$16&lt;$F43+($G43*$I43)),"➤",""),"")</f>
        <v/>
      </c>
      <c r="HT43" s="76" t="str">
        <f aca="false">IF($I43&gt;0%,IF(AND(HT$16&gt;=$F43,HT$16&lt;$F43+($G43*$I43)),"➤",""),"")</f>
        <v/>
      </c>
      <c r="HU43" s="76" t="str">
        <f aca="false">IF($I43&gt;0%,IF(AND(HU$16&gt;=$F43,HU$16&lt;$F43+($G43*$I43)),"➤",""),"")</f>
        <v/>
      </c>
      <c r="HV43" s="76" t="str">
        <f aca="false">IF($I43&gt;0%,IF(AND(HV$16&gt;=$F43,HV$16&lt;$F43+($G43*$I43)),"➤",""),"")</f>
        <v/>
      </c>
      <c r="HW43" s="76" t="str">
        <f aca="false">IF($I43&gt;0%,IF(AND(HW$16&gt;=$F43,HW$16&lt;$F43+($G43*$I43)),"➤",""),"")</f>
        <v/>
      </c>
      <c r="HX43" s="76" t="str">
        <f aca="false">IF($I43&gt;0%,IF(AND(HX$16&gt;=$F43,HX$16&lt;$F43+($G43*$I43)),"➤",""),"")</f>
        <v/>
      </c>
      <c r="HY43" s="76" t="str">
        <f aca="false">IF($I43&gt;0%,IF(AND(HY$16&gt;=$F43,HY$16&lt;$F43+($G43*$I43)),"➤",""),"")</f>
        <v/>
      </c>
      <c r="HZ43" s="76" t="str">
        <f aca="false">IF($I43&gt;0%,IF(AND(HZ$16&gt;=$F43,HZ$16&lt;$F43+($G43*$I43)),"➤",""),"")</f>
        <v/>
      </c>
      <c r="IA43" s="76" t="str">
        <f aca="false">IF($I43&gt;0%,IF(AND(IA$16&gt;=$F43,IA$16&lt;$F43+($G43*$I43)),"➤",""),"")</f>
        <v/>
      </c>
      <c r="IB43" s="76" t="str">
        <f aca="false">IF($I43&gt;0%,IF(AND(IB$16&gt;=$F43,IB$16&lt;$F43+($G43*$I43)),"➤",""),"")</f>
        <v/>
      </c>
      <c r="IC43" s="76" t="str">
        <f aca="false">IF($I43&gt;0%,IF(AND(IC$16&gt;=$F43,IC$16&lt;$F43+($G43*$I43)),"➤",""),"")</f>
        <v/>
      </c>
      <c r="ID43" s="76" t="str">
        <f aca="false">IF($I43&gt;0%,IF(AND(ID$16&gt;=$F43,ID$16&lt;$F43+($G43*$I43)),"➤",""),"")</f>
        <v/>
      </c>
      <c r="IE43" s="76" t="str">
        <f aca="false">IF($I43&gt;0%,IF(AND(IE$16&gt;=$F43,IE$16&lt;$F43+($G43*$I43)),"➤",""),"")</f>
        <v/>
      </c>
      <c r="IF43" s="76" t="str">
        <f aca="false">IF($I43&gt;0%,IF(AND(IF$16&gt;=$F43,IF$16&lt;$F43+($G43*$I43)),"➤",""),"")</f>
        <v/>
      </c>
      <c r="IG43" s="76" t="str">
        <f aca="false">IF($I43&gt;0%,IF(AND(IG$16&gt;=$F43,IG$16&lt;$F43+($G43*$I43)),"➤",""),"")</f>
        <v/>
      </c>
      <c r="IH43" s="76" t="str">
        <f aca="false">IF($I43&gt;0%,IF(AND(IH$16&gt;=$F43,IH$16&lt;$F43+($G43*$I43)),"➤",""),"")</f>
        <v/>
      </c>
      <c r="II43" s="76" t="str">
        <f aca="false">IF($I43&gt;0%,IF(AND(II$16&gt;=$F43,II$16&lt;$F43+($G43*$I43)),"➤",""),"")</f>
        <v/>
      </c>
      <c r="IJ43" s="76" t="str">
        <f aca="false">IF($I43&gt;0%,IF(AND(IJ$16&gt;=$F43,IJ$16&lt;$F43+($G43*$I43)),"➤",""),"")</f>
        <v/>
      </c>
      <c r="IK43" s="76" t="str">
        <f aca="false">IF($I43&gt;0%,IF(AND(IK$16&gt;=$F43,IK$16&lt;$F43+($G43*$I43)),"➤",""),"")</f>
        <v/>
      </c>
      <c r="IL43" s="76" t="str">
        <f aca="false">IF($I43&gt;0%,IF(AND(IL$16&gt;=$F43,IL$16&lt;$F43+($G43*$I43)),"➤",""),"")</f>
        <v/>
      </c>
      <c r="IM43" s="76" t="str">
        <f aca="false">IF($I43&gt;0%,IF(AND(IM$16&gt;=$F43,IM$16&lt;$F43+($G43*$I43)),"➤",""),"")</f>
        <v/>
      </c>
      <c r="IN43" s="76" t="str">
        <f aca="false">IF($I43&gt;0%,IF(AND(IN$16&gt;=$F43,IN$16&lt;$F43+($G43*$I43)),"➤",""),"")</f>
        <v/>
      </c>
      <c r="IO43" s="76" t="str">
        <f aca="false">IF($I43&gt;0%,IF(AND(IO$16&gt;=$F43,IO$16&lt;$F43+($G43*$I43)),"➤",""),"")</f>
        <v/>
      </c>
      <c r="IP43" s="76" t="str">
        <f aca="false">IF($I43&gt;0%,IF(AND(IP$16&gt;=$F43,IP$16&lt;$F43+($G43*$I43)),"➤",""),"")</f>
        <v/>
      </c>
      <c r="IQ43" s="76" t="str">
        <f aca="false">IF($I43&gt;0%,IF(AND(IQ$16&gt;=$F43,IQ$16&lt;$F43+($G43*$I43)),"➤",""),"")</f>
        <v/>
      </c>
      <c r="IR43" s="76" t="str">
        <f aca="false">IF($I43&gt;0%,IF(AND(IR$16&gt;=$F43,IR$16&lt;$F43+($G43*$I43)),"➤",""),"")</f>
        <v/>
      </c>
      <c r="IS43" s="76" t="str">
        <f aca="false">IF($I43&gt;0%,IF(AND(IS$16&gt;=$F43,IS$16&lt;$F43+($G43*$I43)),"➤",""),"")</f>
        <v/>
      </c>
      <c r="IT43" s="76" t="str">
        <f aca="false">IF($I43&gt;0%,IF(AND(IT$16&gt;=$F43,IT$16&lt;$F43+($G43*$I43)),"➤",""),"")</f>
        <v/>
      </c>
      <c r="IU43" s="76" t="str">
        <f aca="false">IF($I43&gt;0%,IF(AND(IU$16&gt;=$F43,IU$16&lt;$F43+($G43*$I43)),"➤",""),"")</f>
        <v/>
      </c>
      <c r="IV43" s="76" t="str">
        <f aca="false">IF($I43&gt;0%,IF(AND(IV$16&gt;=$F43,IV$16&lt;$F43+($G43*$I43)),"➤",""),"")</f>
        <v/>
      </c>
      <c r="IW43" s="76" t="str">
        <f aca="false">IF($I43&gt;0%,IF(AND(IW$16&gt;=$F43,IW$16&lt;$F43+($G43*$I43)),"➤",""),"")</f>
        <v/>
      </c>
      <c r="IX43" s="76" t="str">
        <f aca="false">IF($I43&gt;0%,IF(AND(IX$16&gt;=$F43,IX$16&lt;$F43+($G43*$I43)),"➤",""),"")</f>
        <v/>
      </c>
      <c r="IY43" s="76" t="str">
        <f aca="false">IF($I43&gt;0%,IF(AND(IY$16&gt;=$F43,IY$16&lt;$F43+($G43*$I43)),"➤",""),"")</f>
        <v/>
      </c>
      <c r="IZ43" s="76" t="str">
        <f aca="false">IF($I43&gt;0%,IF(AND(IZ$16&gt;=$F43,IZ$16&lt;$F43+($G43*$I43)),"➤",""),"")</f>
        <v/>
      </c>
      <c r="JA43" s="76" t="str">
        <f aca="false">IF($I43&gt;0%,IF(AND(JA$16&gt;=$F43,JA$16&lt;$F43+($G43*$I43)),"➤",""),"")</f>
        <v/>
      </c>
      <c r="JB43" s="76" t="str">
        <f aca="false">IF($I43&gt;0%,IF(AND(JB$16&gt;=$F43,JB$16&lt;$F43+($G43*$I43)),"➤",""),"")</f>
        <v/>
      </c>
      <c r="JC43" s="76" t="str">
        <f aca="false">IF($I43&gt;0%,IF(AND(JC$16&gt;=$F43,JC$16&lt;$F43+($G43*$I43)),"➤",""),"")</f>
        <v/>
      </c>
      <c r="JD43" s="76" t="str">
        <f aca="false">IF($I43&gt;0%,IF(AND(JD$16&gt;=$F43,JD$16&lt;$F43+($G43*$I43)),"➤",""),"")</f>
        <v/>
      </c>
      <c r="JE43" s="76" t="str">
        <f aca="false">IF($I43&gt;0%,IF(AND(JE$16&gt;=$F43,JE$16&lt;$F43+($G43*$I43)),"➤",""),"")</f>
        <v/>
      </c>
      <c r="JF43" s="76" t="str">
        <f aca="false">IF($I43&gt;0%,IF(AND(JF$16&gt;=$F43,JF$16&lt;$F43+($G43*$I43)),"➤",""),"")</f>
        <v/>
      </c>
      <c r="JG43" s="76" t="str">
        <f aca="false">IF($I43&gt;0%,IF(AND(JG$16&gt;=$F43,JG$16&lt;$F43+($G43*$I43)),"➤",""),"")</f>
        <v/>
      </c>
      <c r="JH43" s="76" t="str">
        <f aca="false">IF($I43&gt;0%,IF(AND(JH$16&gt;=$F43,JH$16&lt;$F43+($G43*$I43)),"➤",""),"")</f>
        <v/>
      </c>
      <c r="JI43" s="76" t="str">
        <f aca="false">IF($I43&gt;0%,IF(AND(JI$16&gt;=$F43,JI$16&lt;$F43+($G43*$I43)),"➤",""),"")</f>
        <v/>
      </c>
      <c r="JJ43" s="76" t="str">
        <f aca="false">IF($I43&gt;0%,IF(AND(JJ$16&gt;=$F43,JJ$16&lt;$F43+($G43*$I43)),"➤",""),"")</f>
        <v/>
      </c>
      <c r="JK43" s="76" t="str">
        <f aca="false">IF($I43&gt;0%,IF(AND(JK$16&gt;=$F43,JK$16&lt;$F43+($G43*$I43)),"➤",""),"")</f>
        <v/>
      </c>
      <c r="JL43" s="76" t="str">
        <f aca="false">IF($I43&gt;0%,IF(AND(JL$16&gt;=$F43,JL$16&lt;$F43+($G43*$I43)),"➤",""),"")</f>
        <v/>
      </c>
      <c r="JM43" s="76" t="str">
        <f aca="false">IF($I43&gt;0%,IF(AND(JM$16&gt;=$F43,JM$16&lt;$F43+($G43*$I43)),"➤",""),"")</f>
        <v/>
      </c>
      <c r="JN43" s="76" t="str">
        <f aca="false">IF($I43&gt;0%,IF(AND(JN$16&gt;=$F43,JN$16&lt;$F43+($G43*$I43)),"➤",""),"")</f>
        <v/>
      </c>
      <c r="JO43" s="76" t="str">
        <f aca="false">IF($I43&gt;0%,IF(AND(JO$16&gt;=$F43,JO$16&lt;$F43+($G43*$I43)),"➤",""),"")</f>
        <v/>
      </c>
      <c r="JP43" s="76" t="str">
        <f aca="false">IF($I43&gt;0%,IF(AND(JP$16&gt;=$F43,JP$16&lt;$F43+($G43*$I43)),"➤",""),"")</f>
        <v/>
      </c>
      <c r="JQ43" s="76" t="str">
        <f aca="false">IF($I43&gt;0%,IF(AND(JQ$16&gt;=$F43,JQ$16&lt;$F43+($G43*$I43)),"➤",""),"")</f>
        <v/>
      </c>
      <c r="JR43" s="76" t="str">
        <f aca="false">IF($I43&gt;0%,IF(AND(JR$16&gt;=$F43,JR$16&lt;$F43+($G43*$I43)),"➤",""),"")</f>
        <v/>
      </c>
      <c r="JS43" s="76" t="str">
        <f aca="false">IF($I43&gt;0%,IF(AND(JS$16&gt;=$F43,JS$16&lt;$F43+($G43*$I43)),"➤",""),"")</f>
        <v/>
      </c>
      <c r="JT43" s="76" t="str">
        <f aca="false">IF($I43&gt;0%,IF(AND(JT$16&gt;=$F43,JT$16&lt;$F43+($G43*$I43)),"➤",""),"")</f>
        <v/>
      </c>
      <c r="JU43" s="76" t="str">
        <f aca="false">IF($I43&gt;0%,IF(AND(JU$16&gt;=$F43,JU$16&lt;$F43+($G43*$I43)),"➤",""),"")</f>
        <v/>
      </c>
      <c r="JV43" s="76" t="str">
        <f aca="false">IF($I43&gt;0%,IF(AND(JV$16&gt;=$F43,JV$16&lt;$F43+($G43*$I43)),"➤",""),"")</f>
        <v/>
      </c>
      <c r="JW43" s="76" t="str">
        <f aca="false">IF($I43&gt;0%,IF(AND(JW$16&gt;=$F43,JW$16&lt;$F43+($G43*$I43)),"➤",""),"")</f>
        <v/>
      </c>
      <c r="JX43" s="76" t="str">
        <f aca="false">IF($I43&gt;0%,IF(AND(JX$16&gt;=$F43,JX$16&lt;$F43+($G43*$I43)),"➤",""),"")</f>
        <v/>
      </c>
      <c r="JY43" s="76" t="str">
        <f aca="false">IF($I43&gt;0%,IF(AND(JY$16&gt;=$F43,JY$16&lt;$F43+($G43*$I43)),"➤",""),"")</f>
        <v/>
      </c>
      <c r="JZ43" s="76" t="str">
        <f aca="false">IF($I43&gt;0%,IF(AND(JZ$16&gt;=$F43,JZ$16&lt;$F43+($G43*$I43)),"➤",""),"")</f>
        <v/>
      </c>
      <c r="KA43" s="76" t="str">
        <f aca="false">IF($I43&gt;0%,IF(AND(KA$16&gt;=$F43,KA$16&lt;$F43+($G43*$I43)),"➤",""),"")</f>
        <v/>
      </c>
      <c r="KB43" s="76" t="str">
        <f aca="false">IF($I43&gt;0%,IF(AND(KB$16&gt;=$F43,KB$16&lt;$F43+($G43*$I43)),"➤",""),"")</f>
        <v/>
      </c>
      <c r="KC43" s="76" t="str">
        <f aca="false">IF($I43&gt;0%,IF(AND(KC$16&gt;=$F43,KC$16&lt;$F43+($G43*$I43)),"➤",""),"")</f>
        <v/>
      </c>
      <c r="KD43" s="76" t="str">
        <f aca="false">IF($I43&gt;0%,IF(AND(KD$16&gt;=$F43,KD$16&lt;$F43+($G43*$I43)),"➤",""),"")</f>
        <v/>
      </c>
      <c r="KE43" s="76" t="str">
        <f aca="false">IF($I43&gt;0%,IF(AND(KE$16&gt;=$F43,KE$16&lt;$F43+($G43*$I43)),"➤",""),"")</f>
        <v/>
      </c>
      <c r="KF43" s="76" t="str">
        <f aca="false">IF($I43&gt;0%,IF(AND(KF$16&gt;=$F43,KF$16&lt;$F43+($G43*$I43)),"➤",""),"")</f>
        <v/>
      </c>
      <c r="KG43" s="76" t="str">
        <f aca="false">IF($I43&gt;0%,IF(AND(KG$16&gt;=$F43,KG$16&lt;$F43+($G43*$I43)),"➤",""),"")</f>
        <v/>
      </c>
      <c r="KH43" s="76" t="str">
        <f aca="false">IF($I43&gt;0%,IF(AND(KH$16&gt;=$F43,KH$16&lt;$F43+($G43*$I43)),"➤",""),"")</f>
        <v/>
      </c>
      <c r="KI43" s="76" t="str">
        <f aca="false">IF($I43&gt;0%,IF(AND(KI$16&gt;=$F43,KI$16&lt;$F43+($G43*$I43)),"➤",""),"")</f>
        <v/>
      </c>
      <c r="KJ43" s="76" t="str">
        <f aca="false">IF($I43&gt;0%,IF(AND(KJ$16&gt;=$F43,KJ$16&lt;$F43+($G43*$I43)),"➤",""),"")</f>
        <v/>
      </c>
      <c r="KK43" s="76" t="str">
        <f aca="false">IF($I43&gt;0%,IF(AND(KK$16&gt;=$F43,KK$16&lt;$F43+($G43*$I43)),"➤",""),"")</f>
        <v/>
      </c>
      <c r="KL43" s="76" t="str">
        <f aca="false">IF($I43&gt;0%,IF(AND(KL$16&gt;=$F43,KL$16&lt;$F43+($G43*$I43)),"➤",""),"")</f>
        <v/>
      </c>
      <c r="KM43" s="76" t="str">
        <f aca="false">IF($I43&gt;0%,IF(AND(KM$16&gt;=$F43,KM$16&lt;$F43+($G43*$I43)),"➤",""),"")</f>
        <v/>
      </c>
      <c r="KN43" s="76" t="str">
        <f aca="false">IF($I43&gt;0%,IF(AND(KN$16&gt;=$F43,KN$16&lt;$F43+($G43*$I43)),"➤",""),"")</f>
        <v/>
      </c>
      <c r="KO43" s="76" t="str">
        <f aca="false">IF($I43&gt;0%,IF(AND(KO$16&gt;=$F43,KO$16&lt;$F43+($G43*$I43)),"➤",""),"")</f>
        <v/>
      </c>
      <c r="KP43" s="76" t="str">
        <f aca="false">IF($I43&gt;0%,IF(AND(KP$16&gt;=$F43,KP$16&lt;$F43+($G43*$I43)),"➤",""),"")</f>
        <v/>
      </c>
      <c r="KQ43" s="76" t="str">
        <f aca="false">IF($I43&gt;0%,IF(AND(KQ$16&gt;=$F43,KQ$16&lt;$F43+($G43*$I43)),"➤",""),"")</f>
        <v/>
      </c>
      <c r="KR43" s="76" t="str">
        <f aca="false">IF($I43&gt;0%,IF(AND(KR$16&gt;=$F43,KR$16&lt;$F43+($G43*$I43)),"➤",""),"")</f>
        <v/>
      </c>
      <c r="KS43" s="76" t="str">
        <f aca="false">IF($I43&gt;0%,IF(AND(KS$16&gt;=$F43,KS$16&lt;$F43+($G43*$I43)),"➤",""),"")</f>
        <v/>
      </c>
      <c r="KT43" s="76" t="str">
        <f aca="false">IF($I43&gt;0%,IF(AND(KT$16&gt;=$F43,KT$16&lt;$F43+($G43*$I43)),"➤",""),"")</f>
        <v/>
      </c>
      <c r="KU43" s="76" t="str">
        <f aca="false">IF($I43&gt;0%,IF(AND(KU$16&gt;=$F43,KU$16&lt;$F43+($G43*$I43)),"➤",""),"")</f>
        <v/>
      </c>
      <c r="KV43" s="76" t="str">
        <f aca="false">IF($I43&gt;0%,IF(AND(KV$16&gt;=$F43,KV$16&lt;$F43+($G43*$I43)),"➤",""),"")</f>
        <v/>
      </c>
      <c r="KW43" s="76" t="str">
        <f aca="false">IF($I43&gt;0%,IF(AND(KW$16&gt;=$F43,KW$16&lt;$F43+($G43*$I43)),"➤",""),"")</f>
        <v/>
      </c>
      <c r="KX43" s="76" t="str">
        <f aca="false">IF($I43&gt;0%,IF(AND(KX$16&gt;=$F43,KX$16&lt;$F43+($G43*$I43)),"➤",""),"")</f>
        <v/>
      </c>
      <c r="KY43" s="76" t="str">
        <f aca="false">IF($I43&gt;0%,IF(AND(KY$16&gt;=$F43,KY$16&lt;$F43+($G43*$I43)),"➤",""),"")</f>
        <v/>
      </c>
      <c r="KZ43" s="76" t="str">
        <f aca="false">IF($I43&gt;0%,IF(AND(KZ$16&gt;=$F43,KZ$16&lt;$F43+($G43*$I43)),"➤",""),"")</f>
        <v/>
      </c>
      <c r="LA43" s="76" t="str">
        <f aca="false">IF($I43&gt;0%,IF(AND(LA$16&gt;=$F43,LA$16&lt;$F43+($G43*$I43)),"➤",""),"")</f>
        <v/>
      </c>
      <c r="LB43" s="76" t="str">
        <f aca="false">IF($I43&gt;0%,IF(AND(LB$16&gt;=$F43,LB$16&lt;$F43+($G43*$I43)),"➤",""),"")</f>
        <v/>
      </c>
      <c r="LC43" s="76" t="str">
        <f aca="false">IF($I43&gt;0%,IF(AND(LC$16&gt;=$F43,LC$16&lt;$F43+($G43*$I43)),"➤",""),"")</f>
        <v/>
      </c>
      <c r="LD43" s="76" t="str">
        <f aca="false">IF($I43&gt;0%,IF(AND(LD$16&gt;=$F43,LD$16&lt;$F43+($G43*$I43)),"➤",""),"")</f>
        <v/>
      </c>
      <c r="LE43" s="76" t="str">
        <f aca="false">IF($I43&gt;0%,IF(AND(LE$16&gt;=$F43,LE$16&lt;$F43+($G43*$I43)),"➤",""),"")</f>
        <v/>
      </c>
      <c r="LF43" s="76" t="str">
        <f aca="false">IF($I43&gt;0%,IF(AND(LF$16&gt;=$F43,LF$16&lt;$F43+($G43*$I43)),"➤",""),"")</f>
        <v/>
      </c>
      <c r="LG43" s="76" t="str">
        <f aca="false">IF($I43&gt;0%,IF(AND(LG$16&gt;=$F43,LG$16&lt;$F43+($G43*$I43)),"➤",""),"")</f>
        <v/>
      </c>
      <c r="LH43" s="76" t="str">
        <f aca="false">IF($I43&gt;0%,IF(AND(LH$16&gt;=$F43,LH$16&lt;$F43+($G43*$I43)),"➤",""),"")</f>
        <v/>
      </c>
      <c r="LI43" s="76" t="str">
        <f aca="false">IF($I43&gt;0%,IF(AND(LI$16&gt;=$F43,LI$16&lt;$F43+($G43*$I43)),"➤",""),"")</f>
        <v/>
      </c>
      <c r="LJ43" s="76" t="str">
        <f aca="false">IF($I43&gt;0%,IF(AND(LJ$16&gt;=$F43,LJ$16&lt;$F43+($G43*$I43)),"➤",""),"")</f>
        <v/>
      </c>
      <c r="LK43" s="76" t="str">
        <f aca="false">IF($I43&gt;0%,IF(AND(LK$16&gt;=$F43,LK$16&lt;$F43+($G43*$I43)),"➤",""),"")</f>
        <v/>
      </c>
      <c r="LL43" s="76" t="str">
        <f aca="false">IF($I43&gt;0%,IF(AND(LL$16&gt;=$F43,LL$16&lt;$F43+($G43*$I43)),"➤",""),"")</f>
        <v/>
      </c>
      <c r="LM43" s="76" t="str">
        <f aca="false">IF($I43&gt;0%,IF(AND(LM$16&gt;=$F43,LM$16&lt;$F43+($G43*$I43)),"➤",""),"")</f>
        <v/>
      </c>
      <c r="LN43" s="76" t="str">
        <f aca="false">IF($I43&gt;0%,IF(AND(LN$16&gt;=$F43,LN$16&lt;$F43+($G43*$I43)),"➤",""),"")</f>
        <v/>
      </c>
      <c r="LO43" s="76" t="str">
        <f aca="false">IF($I43&gt;0%,IF(AND(LO$16&gt;=$F43,LO$16&lt;$F43+($G43*$I43)),"➤",""),"")</f>
        <v/>
      </c>
      <c r="LP43" s="76" t="str">
        <f aca="false">IF($I43&gt;0%,IF(AND(LP$16&gt;=$F43,LP$16&lt;$F43+($G43*$I43)),"➤",""),"")</f>
        <v/>
      </c>
      <c r="LQ43" s="76" t="str">
        <f aca="false">IF($I43&gt;0%,IF(AND(LQ$16&gt;=$F43,LQ$16&lt;$F43+($G43*$I43)),"➤",""),"")</f>
        <v/>
      </c>
      <c r="LR43" s="76" t="str">
        <f aca="false">IF($I43&gt;0%,IF(AND(LR$16&gt;=$F43,LR$16&lt;$F43+($G43*$I43)),"➤",""),"")</f>
        <v/>
      </c>
      <c r="LS43" s="76" t="str">
        <f aca="false">IF($I43&gt;0%,IF(AND(LS$16&gt;=$F43,LS$16&lt;$F43+($G43*$I43)),"➤",""),"")</f>
        <v/>
      </c>
      <c r="LT43" s="76" t="str">
        <f aca="false">IF($I43&gt;0%,IF(AND(LT$16&gt;=$F43,LT$16&lt;$F43+($G43*$I43)),"➤",""),"")</f>
        <v/>
      </c>
      <c r="LU43" s="76" t="str">
        <f aca="false">IF($I43&gt;0%,IF(AND(LU$16&gt;=$F43,LU$16&lt;$F43+($G43*$I43)),"➤",""),"")</f>
        <v/>
      </c>
      <c r="LV43" s="76" t="str">
        <f aca="false">IF($I43&gt;0%,IF(AND(LV$16&gt;=$F43,LV$16&lt;$F43+($G43*$I43)),"➤",""),"")</f>
        <v/>
      </c>
      <c r="LW43" s="76" t="str">
        <f aca="false">IF($I43&gt;0%,IF(AND(LW$16&gt;=$F43,LW$16&lt;$F43+($G43*$I43)),"➤",""),"")</f>
        <v/>
      </c>
      <c r="LX43" s="76" t="str">
        <f aca="false">IF($I43&gt;0%,IF(AND(LX$16&gt;=$F43,LX$16&lt;$F43+($G43*$I43)),"➤",""),"")</f>
        <v/>
      </c>
      <c r="LY43" s="76" t="str">
        <f aca="false">IF($I43&gt;0%,IF(AND(LY$16&gt;=$F43,LY$16&lt;$F43+($G43*$I43)),"➤",""),"")</f>
        <v/>
      </c>
      <c r="LZ43" s="76" t="str">
        <f aca="false">IF($I43&gt;0%,IF(AND(LZ$16&gt;=$F43,LZ$16&lt;$F43+($G43*$I43)),"➤",""),"")</f>
        <v/>
      </c>
      <c r="MA43" s="76" t="str">
        <f aca="false">IF($I43&gt;0%,IF(AND(MA$16&gt;=$F43,MA$16&lt;$F43+($G43*$I43)),"➤",""),"")</f>
        <v/>
      </c>
      <c r="MB43" s="76" t="str">
        <f aca="false">IF($I43&gt;0%,IF(AND(MB$16&gt;=$F43,MB$16&lt;$F43+($G43*$I43)),"➤",""),"")</f>
        <v/>
      </c>
      <c r="MC43" s="76" t="str">
        <f aca="false">IF($I43&gt;0%,IF(AND(MC$16&gt;=$F43,MC$16&lt;$F43+($G43*$I43)),"➤",""),"")</f>
        <v/>
      </c>
      <c r="MD43" s="76" t="str">
        <f aca="false">IF($I43&gt;0%,IF(AND(MD$16&gt;=$F43,MD$16&lt;$F43+($G43*$I43)),"➤",""),"")</f>
        <v/>
      </c>
      <c r="ME43" s="76" t="str">
        <f aca="false">IF($I43&gt;0%,IF(AND(ME$16&gt;=$F43,ME$16&lt;$F43+($G43*$I43)),"➤",""),"")</f>
        <v/>
      </c>
      <c r="MF43" s="76" t="str">
        <f aca="false">IF($I43&gt;0%,IF(AND(MF$16&gt;=$F43,MF$16&lt;$F43+($G43*$I43)),"➤",""),"")</f>
        <v/>
      </c>
      <c r="MG43" s="76" t="str">
        <f aca="false">IF($I43&gt;0%,IF(AND(MG$16&gt;=$F43,MG$16&lt;$F43+($G43*$I43)),"➤",""),"")</f>
        <v/>
      </c>
      <c r="MH43" s="76" t="str">
        <f aca="false">IF($I43&gt;0%,IF(AND(MH$16&gt;=$F43,MH$16&lt;$F43+($G43*$I43)),"➤",""),"")</f>
        <v/>
      </c>
      <c r="MI43" s="76" t="str">
        <f aca="false">IF($I43&gt;0%,IF(AND(MI$16&gt;=$F43,MI$16&lt;$F43+($G43*$I43)),"➤",""),"")</f>
        <v/>
      </c>
      <c r="MJ43" s="76" t="str">
        <f aca="false">IF($I43&gt;0%,IF(AND(MJ$16&gt;=$F43,MJ$16&lt;$F43+($G43*$I43)),"➤",""),"")</f>
        <v/>
      </c>
      <c r="MK43" s="76" t="str">
        <f aca="false">IF($I43&gt;0%,IF(AND(MK$16&gt;=$F43,MK$16&lt;$F43+($G43*$I43)),"➤",""),"")</f>
        <v/>
      </c>
      <c r="ML43" s="76" t="str">
        <f aca="false">IF($I43&gt;0%,IF(AND(ML$16&gt;=$F43,ML$16&lt;$F43+($G43*$I43)),"➤",""),"")</f>
        <v/>
      </c>
      <c r="MM43" s="76" t="str">
        <f aca="false">IF($I43&gt;0%,IF(AND(MM$16&gt;=$F43,MM$16&lt;$F43+($G43*$I43)),"➤",""),"")</f>
        <v/>
      </c>
      <c r="MN43" s="76" t="str">
        <f aca="false">IF($I43&gt;0%,IF(AND(MN$16&gt;=$F43,MN$16&lt;$F43+($G43*$I43)),"➤",""),"")</f>
        <v/>
      </c>
      <c r="MO43" s="76" t="str">
        <f aca="false">IF($I43&gt;0%,IF(AND(MO$16&gt;=$F43,MO$16&lt;$F43+($G43*$I43)),"➤",""),"")</f>
        <v/>
      </c>
      <c r="MP43" s="76" t="str">
        <f aca="false">IF($I43&gt;0%,IF(AND(MP$16&gt;=$F43,MP$16&lt;$F43+($G43*$I43)),"➤",""),"")</f>
        <v/>
      </c>
      <c r="MQ43" s="76" t="str">
        <f aca="false">IF($I43&gt;0%,IF(AND(MQ$16&gt;=$F43,MQ$16&lt;$F43+($G43*$I43)),"➤",""),"")</f>
        <v/>
      </c>
      <c r="MR43" s="76" t="str">
        <f aca="false">IF($I43&gt;0%,IF(AND(MR$16&gt;=$F43,MR$16&lt;$F43+($G43*$I43)),"➤",""),"")</f>
        <v/>
      </c>
      <c r="MS43" s="76" t="str">
        <f aca="false">IF($I43&gt;0%,IF(AND(MS$16&gt;=$F43,MS$16&lt;$F43+($G43*$I43)),"➤",""),"")</f>
        <v/>
      </c>
      <c r="MT43" s="76" t="str">
        <f aca="false">IF($I43&gt;0%,IF(AND(MT$16&gt;=$F43,MT$16&lt;$F43+($G43*$I43)),"➤",""),"")</f>
        <v/>
      </c>
      <c r="MU43" s="76" t="str">
        <f aca="false">IF($I43&gt;0%,IF(AND(MU$16&gt;=$F43,MU$16&lt;$F43+($G43*$I43)),"➤",""),"")</f>
        <v/>
      </c>
      <c r="MV43" s="76" t="str">
        <f aca="false">IF($I43&gt;0%,IF(AND(MV$16&gt;=$F43,MV$16&lt;$F43+($G43*$I43)),"➤",""),"")</f>
        <v/>
      </c>
      <c r="MW43" s="76" t="str">
        <f aca="false">IF($I43&gt;0%,IF(AND(MW$16&gt;=$F43,MW$16&lt;$F43+($G43*$I43)),"➤",""),"")</f>
        <v/>
      </c>
      <c r="MX43" s="76" t="str">
        <f aca="false">IF($I43&gt;0%,IF(AND(MX$16&gt;=$F43,MX$16&lt;$F43+($G43*$I43)),"➤",""),"")</f>
        <v/>
      </c>
      <c r="MY43" s="76" t="str">
        <f aca="false">IF($I43&gt;0%,IF(AND(MY$16&gt;=$F43,MY$16&lt;$F43+($G43*$I43)),"➤",""),"")</f>
        <v/>
      </c>
      <c r="MZ43" s="76" t="str">
        <f aca="false">IF($I43&gt;0%,IF(AND(MZ$16&gt;=$F43,MZ$16&lt;$F43+($G43*$I43)),"➤",""),"")</f>
        <v/>
      </c>
      <c r="NA43" s="76" t="str">
        <f aca="false">IF($I43&gt;0%,IF(AND(NA$16&gt;=$F43,NA$16&lt;$F43+($G43*$I43)),"➤",""),"")</f>
        <v/>
      </c>
      <c r="NB43" s="76" t="str">
        <f aca="false">IF($I43&gt;0%,IF(AND(NB$16&gt;=$F43,NB$16&lt;$F43+($G43*$I43)),"➤",""),"")</f>
        <v/>
      </c>
      <c r="NC43" s="76" t="str">
        <f aca="false">IF($I43&gt;0%,IF(AND(NC$16&gt;=$F43,NC$16&lt;$F43+($G43*$I43)),"➤",""),"")</f>
        <v/>
      </c>
      <c r="ND43" s="76" t="str">
        <f aca="false">IF($I43&gt;0%,IF(AND(ND$16&gt;=$F43,ND$16&lt;$F43+($G43*$I43)),"➤",""),"")</f>
        <v/>
      </c>
      <c r="NE43" s="76" t="str">
        <f aca="false">IF($I43&gt;0%,IF(AND(NE$16&gt;=$F43,NE$16&lt;$F43+($G43*$I43)),"➤",""),"")</f>
        <v/>
      </c>
      <c r="NF43" s="76" t="str">
        <f aca="false">IF($I43&gt;0%,IF(AND(NF$16&gt;=$F43,NF$16&lt;$F43+($G43*$I43)),"➤",""),"")</f>
        <v/>
      </c>
      <c r="NG43" s="76" t="str">
        <f aca="false">IF($I43&gt;0%,IF(AND(NG$16&gt;=$F43,NG$16&lt;$F43+($G43*$I43)),"➤",""),"")</f>
        <v/>
      </c>
      <c r="NH43" s="76" t="str">
        <f aca="false">IF($I43&gt;0%,IF(AND(NH$16&gt;=$F43,NH$16&lt;$F43+($G43*$I43)),"➤",""),"")</f>
        <v/>
      </c>
      <c r="NI43" s="76" t="str">
        <f aca="false">IF($I43&gt;0%,IF(AND(NI$16&gt;=$F43,NI$16&lt;$F43+($G43*$I43)),"➤",""),"")</f>
        <v/>
      </c>
      <c r="NJ43" s="76" t="str">
        <f aca="false">IF($I43&gt;0%,IF(AND(NJ$16&gt;=$F43,NJ$16&lt;$F43+($G43*$I43)),"➤",""),"")</f>
        <v/>
      </c>
      <c r="NK43" s="76" t="str">
        <f aca="false">IF($I43&gt;0%,IF(AND(NK$16&gt;=$F43,NK$16&lt;$F43+($G43*$I43)),"➤",""),"")</f>
        <v/>
      </c>
      <c r="NL43" s="76" t="str">
        <f aca="false">IF($I43&gt;0%,IF(AND(NL$16&gt;=$F43,NL$16&lt;$F43+($G43*$I43)),"➤",""),"")</f>
        <v/>
      </c>
      <c r="NM43" s="76" t="str">
        <f aca="false">IF($I43&gt;0%,IF(AND(NM$16&gt;=$F43,NM$16&lt;$F43+($G43*$I43)),"➤",""),"")</f>
        <v/>
      </c>
      <c r="NN43" s="76" t="str">
        <f aca="false">IF($I43&gt;0%,IF(AND(NN$16&gt;=$F43,NN$16&lt;$F43+($G43*$I43)),"➤",""),"")</f>
        <v/>
      </c>
      <c r="NO43" s="76" t="str">
        <f aca="false">IF($I43&gt;0%,IF(AND(NO$16&gt;=$F43,NO$16&lt;$F43+($G43*$I43)),"➤",""),"")</f>
        <v/>
      </c>
      <c r="NP43" s="76" t="str">
        <f aca="false">IF($I43&gt;0%,IF(AND(NP$16&gt;=$F43,NP$16&lt;$F43+($G43*$I43)),"➤",""),"")</f>
        <v/>
      </c>
      <c r="NQ43" s="76" t="str">
        <f aca="false">IF($I43&gt;0%,IF(AND(NQ$16&gt;=$F43,NQ$16&lt;$F43+($G43*$I43)),"➤",""),"")</f>
        <v/>
      </c>
      <c r="NR43" s="76" t="str">
        <f aca="false">IF($I43&gt;0%,IF(AND(NR$16&gt;=$F43,NR$16&lt;$F43+($G43*$I43)),"➤",""),"")</f>
        <v/>
      </c>
      <c r="NS43" s="76" t="str">
        <f aca="false">IF($I43&gt;0%,IF(AND(NS$16&gt;=$F43,NS$16&lt;$F43+($G43*$I43)),"➤",""),"")</f>
        <v/>
      </c>
      <c r="NT43" s="76" t="str">
        <f aca="false">IF($I43&gt;0%,IF(AND(NT$16&gt;=$F43,NT$16&lt;$F43+($G43*$I43)),"➤",""),"")</f>
        <v/>
      </c>
      <c r="NU43" s="76" t="str">
        <f aca="false">IF($I43&gt;0%,IF(AND(NU$16&gt;=$F43,NU$16&lt;$F43+($G43*$I43)),"➤",""),"")</f>
        <v/>
      </c>
      <c r="NV43" s="76" t="str">
        <f aca="false">IF($I43&gt;0%,IF(AND(NV$16&gt;=$F43,NV$16&lt;$F43+($G43*$I43)),"➤",""),"")</f>
        <v/>
      </c>
      <c r="NW43" s="76" t="str">
        <f aca="false">IF($I43&gt;0%,IF(AND(NW$16&gt;=$F43,NW$16&lt;$F43+($G43*$I43)),"➤",""),"")</f>
        <v/>
      </c>
      <c r="NX43" s="76" t="str">
        <f aca="false">IF($I43&gt;0%,IF(AND(NX$16&gt;=$F43,NX$16&lt;$F43+($G43*$I43)),"➤",""),"")</f>
        <v/>
      </c>
      <c r="NY43" s="76" t="str">
        <f aca="false">IF($I43&gt;0%,IF(AND(NY$16&gt;=$F43,NY$16&lt;$F43+($G43*$I43)),"➤",""),"")</f>
        <v/>
      </c>
      <c r="NZ43" s="76" t="str">
        <f aca="false">IF($I43&gt;0%,IF(AND(NZ$16&gt;=$F43,NZ$16&lt;$F43+($G43*$I43)),"➤",""),"")</f>
        <v/>
      </c>
      <c r="OA43" s="76" t="str">
        <f aca="false">IF($I43&gt;0%,IF(AND(OA$16&gt;=$F43,OA$16&lt;$F43+($G43*$I43)),"➤",""),"")</f>
        <v/>
      </c>
      <c r="OB43" s="76" t="str">
        <f aca="false">IF($I43&gt;0%,IF(AND(OB$16&gt;=$F43,OB$16&lt;$F43+($G43*$I43)),"➤",""),"")</f>
        <v/>
      </c>
      <c r="OC43" s="76" t="str">
        <f aca="false">IF($I43&gt;0%,IF(AND(OC$16&gt;=$F43,OC$16&lt;$F43+($G43*$I43)),"➤",""),"")</f>
        <v/>
      </c>
      <c r="OD43" s="76" t="str">
        <f aca="false">IF($I43&gt;0%,IF(AND(OD$16&gt;=$F43,OD$16&lt;$F43+($G43*$I43)),"➤",""),"")</f>
        <v/>
      </c>
      <c r="OE43" s="76" t="str">
        <f aca="false">IF($I43&gt;0%,IF(AND(OE$16&gt;=$F43,OE$16&lt;$F43+($G43*$I43)),"➤",""),"")</f>
        <v/>
      </c>
      <c r="OF43" s="76" t="str">
        <f aca="false">IF($I43&gt;0%,IF(AND(OF$16&gt;=$F43,OF$16&lt;$F43+($G43*$I43)),"➤",""),"")</f>
        <v/>
      </c>
      <c r="OG43" s="76" t="str">
        <f aca="false">IF($I43&gt;0%,IF(AND(OG$16&gt;=$F43,OG$16&lt;$F43+($G43*$I43)),"➤",""),"")</f>
        <v/>
      </c>
      <c r="OH43" s="76" t="str">
        <f aca="false">IF($I43&gt;0%,IF(AND(OH$16&gt;=$F43,OH$16&lt;$F43+($G43*$I43)),"➤",""),"")</f>
        <v/>
      </c>
      <c r="OI43" s="76" t="str">
        <f aca="false">IF($I43&gt;0%,IF(AND(OI$16&gt;=$F43,OI$16&lt;$F43+($G43*$I43)),"➤",""),"")</f>
        <v/>
      </c>
      <c r="OJ43" s="76" t="str">
        <f aca="false">IF($I43&gt;0%,IF(AND(OJ$16&gt;=$F43,OJ$16&lt;$F43+($G43*$I43)),"➤",""),"")</f>
        <v/>
      </c>
      <c r="OK43" s="76" t="str">
        <f aca="false">IF($I43&gt;0%,IF(AND(OK$16&gt;=$F43,OK$16&lt;$F43+($G43*$I43)),"➤",""),"")</f>
        <v/>
      </c>
      <c r="OL43" s="76" t="str">
        <f aca="false">IF($I43&gt;0%,IF(AND(OL$16&gt;=$F43,OL$16&lt;$F43+($G43*$I43)),"➤",""),"")</f>
        <v/>
      </c>
      <c r="OM43" s="76" t="str">
        <f aca="false">IF($I43&gt;0%,IF(AND(OM$16&gt;=$F43,OM$16&lt;$F43+($G43*$I43)),"➤",""),"")</f>
        <v/>
      </c>
      <c r="ON43" s="76" t="str">
        <f aca="false">IF($I43&gt;0%,IF(AND(ON$16&gt;=$F43,ON$16&lt;$F43+($G43*$I43)),"➤",""),"")</f>
        <v/>
      </c>
      <c r="OO43" s="76" t="str">
        <f aca="false">IF($I43&gt;0%,IF(AND(OO$16&gt;=$F43,OO$16&lt;$F43+($G43*$I43)),"➤",""),"")</f>
        <v/>
      </c>
      <c r="OP43" s="76" t="str">
        <f aca="false">IF($I43&gt;0%,IF(AND(OP$16&gt;=$F43,OP$16&lt;$F43+($G43*$I43)),"➤",""),"")</f>
        <v/>
      </c>
      <c r="OQ43" s="76" t="str">
        <f aca="false">IF($I43&gt;0%,IF(AND(OQ$16&gt;=$F43,OQ$16&lt;$F43+($G43*$I43)),"➤",""),"")</f>
        <v/>
      </c>
      <c r="OR43" s="76" t="str">
        <f aca="false">IF($I43&gt;0%,IF(AND(OR$16&gt;=$F43,OR$16&lt;$F43+($G43*$I43)),"➤",""),"")</f>
        <v/>
      </c>
      <c r="OS43" s="76" t="str">
        <f aca="false">IF($I43&gt;0%,IF(AND(OS$16&gt;=$F43,OS$16&lt;$F43+($G43*$I43)),"➤",""),"")</f>
        <v/>
      </c>
      <c r="OT43" s="76" t="str">
        <f aca="false">IF($I43&gt;0%,IF(AND(OT$16&gt;=$F43,OT$16&lt;$F43+($G43*$I43)),"➤",""),"")</f>
        <v/>
      </c>
      <c r="OU43" s="76" t="str">
        <f aca="false">IF($I43&gt;0%,IF(AND(OU$16&gt;=$F43,OU$16&lt;$F43+($G43*$I43)),"➤",""),"")</f>
        <v/>
      </c>
      <c r="OV43" s="76" t="str">
        <f aca="false">IF($I43&gt;0%,IF(AND(OV$16&gt;=$F43,OV$16&lt;$F43+($G43*$I43)),"➤",""),"")</f>
        <v/>
      </c>
      <c r="OW43" s="76" t="str">
        <f aca="false">IF($I43&gt;0%,IF(AND(OW$16&gt;=$F43,OW$16&lt;$F43+($G43*$I43)),"➤",""),"")</f>
        <v/>
      </c>
      <c r="OX43" s="76" t="str">
        <f aca="false">IF($I43&gt;0%,IF(AND(OX$16&gt;=$F43,OX$16&lt;$F43+($G43*$I43)),"➤",""),"")</f>
        <v/>
      </c>
      <c r="OY43" s="76" t="str">
        <f aca="false">IF($I43&gt;0%,IF(AND(OY$16&gt;=$F43,OY$16&lt;$F43+($G43*$I43)),"➤",""),"")</f>
        <v/>
      </c>
      <c r="OZ43" s="76" t="str">
        <f aca="false">IF($I43&gt;0%,IF(AND(OZ$16&gt;=$F43,OZ$16&lt;$F43+($G43*$I43)),"➤",""),"")</f>
        <v/>
      </c>
      <c r="PA43" s="76" t="str">
        <f aca="false">IF($I43&gt;0%,IF(AND(PA$16&gt;=$F43,PA$16&lt;$F43+($G43*$I43)),"➤",""),"")</f>
        <v/>
      </c>
      <c r="PB43" s="76" t="str">
        <f aca="false">IF($I43&gt;0%,IF(AND(PB$16&gt;=$F43,PB$16&lt;$F43+($G43*$I43)),"➤",""),"")</f>
        <v/>
      </c>
      <c r="PC43" s="76" t="str">
        <f aca="false">IF($I43&gt;0%,IF(AND(PC$16&gt;=$F43,PC$16&lt;$F43+($G43*$I43)),"➤",""),"")</f>
        <v/>
      </c>
      <c r="PD43" s="76" t="str">
        <f aca="false">IF($I43&gt;0%,IF(AND(PD$16&gt;=$F43,PD$16&lt;$F43+($G43*$I43)),"➤",""),"")</f>
        <v/>
      </c>
      <c r="PE43" s="76" t="str">
        <f aca="false">IF($I43&gt;0%,IF(AND(PE$16&gt;=$F43,PE$16&lt;$F43+($G43*$I43)),"➤",""),"")</f>
        <v/>
      </c>
      <c r="PF43" s="76" t="str">
        <f aca="false">IF($I43&gt;0%,IF(AND(PF$16&gt;=$F43,PF$16&lt;$F43+($G43*$I43)),"➤",""),"")</f>
        <v/>
      </c>
      <c r="PG43" s="76" t="str">
        <f aca="false">IF($I43&gt;0%,IF(AND(PG$16&gt;=$F43,PG$16&lt;$F43+($G43*$I43)),"➤",""),"")</f>
        <v/>
      </c>
      <c r="PH43" s="76" t="str">
        <f aca="false">IF($I43&gt;0%,IF(AND(PH$16&gt;=$F43,PH$16&lt;$F43+($G43*$I43)),"➤",""),"")</f>
        <v/>
      </c>
      <c r="PI43" s="76" t="str">
        <f aca="false">IF($I43&gt;0%,IF(AND(PI$16&gt;=$F43,PI$16&lt;$F43+($G43*$I43)),"➤",""),"")</f>
        <v/>
      </c>
      <c r="PJ43" s="76" t="str">
        <f aca="false">IF($I43&gt;0%,IF(AND(PJ$16&gt;=$F43,PJ$16&lt;$F43+($G43*$I43)),"➤",""),"")</f>
        <v/>
      </c>
      <c r="PK43" s="76" t="str">
        <f aca="false">IF($I43&gt;0%,IF(AND(PK$16&gt;=$F43,PK$16&lt;$F43+($G43*$I43)),"➤",""),"")</f>
        <v/>
      </c>
      <c r="PL43" s="76" t="str">
        <f aca="false">IF($I43&gt;0%,IF(AND(PL$16&gt;=$F43,PL$16&lt;$F43+($G43*$I43)),"➤",""),"")</f>
        <v/>
      </c>
      <c r="PM43" s="76" t="str">
        <f aca="false">IF($I43&gt;0%,IF(AND(PM$16&gt;=$F43,PM$16&lt;$F43+($G43*$I43)),"➤",""),"")</f>
        <v/>
      </c>
      <c r="PN43" s="76" t="str">
        <f aca="false">IF($I43&gt;0%,IF(AND(PN$16&gt;=$F43,PN$16&lt;$F43+($G43*$I43)),"➤",""),"")</f>
        <v/>
      </c>
      <c r="PO43" s="76" t="str">
        <f aca="false">IF($I43&gt;0%,IF(AND(PO$16&gt;=$F43,PO$16&lt;$F43+($G43*$I43)),"➤",""),"")</f>
        <v/>
      </c>
      <c r="PP43" s="76" t="str">
        <f aca="false">IF($I43&gt;0%,IF(AND(PP$16&gt;=$F43,PP$16&lt;$F43+($G43*$I43)),"➤",""),"")</f>
        <v/>
      </c>
      <c r="PQ43" s="76" t="str">
        <f aca="false">IF($I43&gt;0%,IF(AND(PQ$16&gt;=$F43,PQ$16&lt;$F43+($G43*$I43)),"➤",""),"")</f>
        <v/>
      </c>
      <c r="PR43" s="76" t="str">
        <f aca="false">IF($I43&gt;0%,IF(AND(PR$16&gt;=$F43,PR$16&lt;$F43+($G43*$I43)),"➤",""),"")</f>
        <v/>
      </c>
      <c r="PS43" s="76" t="str">
        <f aca="false">IF($I43&gt;0%,IF(AND(PS$16&gt;=$F43,PS$16&lt;$F43+($G43*$I43)),"➤",""),"")</f>
        <v/>
      </c>
      <c r="PT43" s="76" t="str">
        <f aca="false">IF($I43&gt;0%,IF(AND(PT$16&gt;=$F43,PT$16&lt;$F43+($G43*$I43)),"➤",""),"")</f>
        <v/>
      </c>
      <c r="PU43" s="76" t="str">
        <f aca="false">IF($I43&gt;0%,IF(AND(PU$16&gt;=$F43,PU$16&lt;$F43+($G43*$I43)),"➤",""),"")</f>
        <v/>
      </c>
      <c r="PV43" s="76" t="str">
        <f aca="false">IF($I43&gt;0%,IF(AND(PV$16&gt;=$F43,PV$16&lt;$F43+($G43*$I43)),"➤",""),"")</f>
        <v/>
      </c>
      <c r="PW43" s="76" t="str">
        <f aca="false">IF($I43&gt;0%,IF(AND(PW$16&gt;=$F43,PW$16&lt;$F43+($G43*$I43)),"➤",""),"")</f>
        <v/>
      </c>
      <c r="PX43" s="76" t="str">
        <f aca="false">IF($I43&gt;0%,IF(AND(PX$16&gt;=$F43,PX$16&lt;$F43+($G43*$I43)),"➤",""),"")</f>
        <v/>
      </c>
      <c r="PY43" s="76" t="str">
        <f aca="false">IF($I43&gt;0%,IF(AND(PY$16&gt;=$F43,PY$16&lt;$F43+($G43*$I43)),"➤",""),"")</f>
        <v/>
      </c>
      <c r="PZ43" s="76" t="str">
        <f aca="false">IF($I43&gt;0%,IF(AND(PZ$16&gt;=$F43,PZ$16&lt;$F43+($G43*$I43)),"➤",""),"")</f>
        <v/>
      </c>
      <c r="QA43" s="76" t="str">
        <f aca="false">IF($I43&gt;0%,IF(AND(QA$16&gt;=$F43,QA$16&lt;$F43+($G43*$I43)),"➤",""),"")</f>
        <v/>
      </c>
      <c r="QB43" s="76" t="str">
        <f aca="false">IF($I43&gt;0%,IF(AND(QB$16&gt;=$F43,QB$16&lt;$F43+($G43*$I43)),"➤",""),"")</f>
        <v/>
      </c>
      <c r="QC43" s="76" t="str">
        <f aca="false">IF($I43&gt;0%,IF(AND(QC$16&gt;=$F43,QC$16&lt;$F43+($G43*$I43)),"➤",""),"")</f>
        <v/>
      </c>
      <c r="QD43" s="76" t="str">
        <f aca="false">IF($I43&gt;0%,IF(AND(QD$16&gt;=$F43,QD$16&lt;$F43+($G43*$I43)),"➤",""),"")</f>
        <v/>
      </c>
      <c r="QE43" s="76" t="str">
        <f aca="false">IF($I43&gt;0%,IF(AND(QE$16&gt;=$F43,QE$16&lt;$F43+($G43*$I43)),"➤",""),"")</f>
        <v/>
      </c>
      <c r="QF43" s="76" t="str">
        <f aca="false">IF($I43&gt;0%,IF(AND(QF$16&gt;=$F43,QF$16&lt;$F43+($G43*$I43)),"➤",""),"")</f>
        <v/>
      </c>
      <c r="QG43" s="76" t="str">
        <f aca="false">IF($I43&gt;0%,IF(AND(QG$16&gt;=$F43,QG$16&lt;$F43+($G43*$I43)),"➤",""),"")</f>
        <v/>
      </c>
      <c r="QH43" s="76" t="str">
        <f aca="false">IF($I43&gt;0%,IF(AND(QH$16&gt;=$F43,QH$16&lt;$F43+($G43*$I43)),"➤",""),"")</f>
        <v/>
      </c>
      <c r="QI43" s="76" t="str">
        <f aca="false">IF($I43&gt;0%,IF(AND(QI$16&gt;=$F43,QI$16&lt;$F43+($G43*$I43)),"➤",""),"")</f>
        <v/>
      </c>
      <c r="QJ43" s="76" t="str">
        <f aca="false">IF($I43&gt;0%,IF(AND(QJ$16&gt;=$F43,QJ$16&lt;$F43+($G43*$I43)),"➤",""),"")</f>
        <v/>
      </c>
      <c r="QK43" s="76" t="str">
        <f aca="false">IF($I43&gt;0%,IF(AND(QK$16&gt;=$F43,QK$16&lt;$F43+($G43*$I43)),"➤",""),"")</f>
        <v/>
      </c>
      <c r="QL43" s="76" t="str">
        <f aca="false">IF($I43&gt;0%,IF(AND(QL$16&gt;=$F43,QL$16&lt;$F43+($G43*$I43)),"➤",""),"")</f>
        <v/>
      </c>
      <c r="QM43" s="76" t="str">
        <f aca="false">IF($I43&gt;0%,IF(AND(QM$16&gt;=$F43,QM$16&lt;$F43+($G43*$I43)),"➤",""),"")</f>
        <v/>
      </c>
      <c r="QN43" s="76" t="str">
        <f aca="false">IF($I43&gt;0%,IF(AND(QN$16&gt;=$F43,QN$16&lt;$F43+($G43*$I43)),"➤",""),"")</f>
        <v/>
      </c>
      <c r="QO43" s="76" t="str">
        <f aca="false">IF($I43&gt;0%,IF(AND(QO$16&gt;=$F43,QO$16&lt;$F43+($G43*$I43)),"➤",""),"")</f>
        <v/>
      </c>
      <c r="QP43" s="76" t="str">
        <f aca="false">IF($I43&gt;0%,IF(AND(QP$16&gt;=$F43,QP$16&lt;$F43+($G43*$I43)),"➤",""),"")</f>
        <v/>
      </c>
      <c r="QQ43" s="76" t="str">
        <f aca="false">IF($I43&gt;0%,IF(AND(QQ$16&gt;=$F43,QQ$16&lt;$F43+($G43*$I43)),"➤",""),"")</f>
        <v/>
      </c>
      <c r="QR43" s="76" t="str">
        <f aca="false">IF($I43&gt;0%,IF(AND(QR$16&gt;=$F43,QR$16&lt;$F43+($G43*$I43)),"➤",""),"")</f>
        <v/>
      </c>
      <c r="QS43" s="76" t="str">
        <f aca="false">IF($I43&gt;0%,IF(AND(QS$16&gt;=$F43,QS$16&lt;$F43+($G43*$I43)),"➤",""),"")</f>
        <v/>
      </c>
      <c r="QT43" s="76" t="str">
        <f aca="false">IF($I43&gt;0%,IF(AND(QT$16&gt;=$F43,QT$16&lt;$F43+($G43*$I43)),"➤",""),"")</f>
        <v/>
      </c>
      <c r="QU43" s="76" t="str">
        <f aca="false">IF($I43&gt;0%,IF(AND(QU$16&gt;=$F43,QU$16&lt;$F43+($G43*$I43)),"➤",""),"")</f>
        <v/>
      </c>
      <c r="QV43" s="76" t="str">
        <f aca="false">IF($I43&gt;0%,IF(AND(QV$16&gt;=$F43,QV$16&lt;$F43+($G43*$I43)),"➤",""),"")</f>
        <v/>
      </c>
      <c r="QW43" s="76" t="str">
        <f aca="false">IF($I43&gt;0%,IF(AND(QW$16&gt;=$F43,QW$16&lt;$F43+($G43*$I43)),"➤",""),"")</f>
        <v/>
      </c>
      <c r="QX43" s="76" t="str">
        <f aca="false">IF($I43&gt;0%,IF(AND(QX$16&gt;=$F43,QX$16&lt;$F43+($G43*$I43)),"➤",""),"")</f>
        <v/>
      </c>
      <c r="QY43" s="76" t="str">
        <f aca="false">IF($I43&gt;0%,IF(AND(QY$16&gt;=$F43,QY$16&lt;$F43+($G43*$I43)),"➤",""),"")</f>
        <v/>
      </c>
      <c r="QZ43" s="76" t="str">
        <f aca="false">IF($I43&gt;0%,IF(AND(QZ$16&gt;=$F43,QZ$16&lt;$F43+($G43*$I43)),"➤",""),"")</f>
        <v/>
      </c>
      <c r="RA43" s="76" t="str">
        <f aca="false">IF($I43&gt;0%,IF(AND(RA$16&gt;=$F43,RA$16&lt;$F43+($G43*$I43)),"➤",""),"")</f>
        <v/>
      </c>
      <c r="RB43" s="76" t="str">
        <f aca="false">IF($I43&gt;0%,IF(AND(RB$16&gt;=$F43,RB$16&lt;$F43+($G43*$I43)),"➤",""),"")</f>
        <v/>
      </c>
      <c r="RC43" s="76" t="str">
        <f aca="false">IF($I43&gt;0%,IF(AND(RC$16&gt;=$F43,RC$16&lt;$F43+($G43*$I43)),"➤",""),"")</f>
        <v/>
      </c>
      <c r="RD43" s="76" t="str">
        <f aca="false">IF($I43&gt;0%,IF(AND(RD$16&gt;=$F43,RD$16&lt;$F43+($G43*$I43)),"➤",""),"")</f>
        <v/>
      </c>
      <c r="RE43" s="76" t="str">
        <f aca="false">IF($I43&gt;0%,IF(AND(RE$16&gt;=$F43,RE$16&lt;$F43+($G43*$I43)),"➤",""),"")</f>
        <v/>
      </c>
      <c r="RF43" s="76" t="str">
        <f aca="false">IF($I43&gt;0%,IF(AND(RF$16&gt;=$F43,RF$16&lt;$F43+($G43*$I43)),"➤",""),"")</f>
        <v/>
      </c>
      <c r="RG43" s="76" t="str">
        <f aca="false">IF($I43&gt;0%,IF(AND(RG$16&gt;=$F43,RG$16&lt;$F43+($G43*$I43)),"➤",""),"")</f>
        <v/>
      </c>
      <c r="RH43" s="76" t="str">
        <f aca="false">IF($I43&gt;0%,IF(AND(RH$16&gt;=$F43,RH$16&lt;$F43+($G43*$I43)),"➤",""),"")</f>
        <v/>
      </c>
      <c r="RI43" s="76" t="str">
        <f aca="false">IF($I43&gt;0%,IF(AND(RI$16&gt;=$F43,RI$16&lt;$F43+($G43*$I43)),"➤",""),"")</f>
        <v/>
      </c>
      <c r="RJ43" s="76" t="str">
        <f aca="false">IF($I43&gt;0%,IF(AND(RJ$16&gt;=$F43,RJ$16&lt;$F43+($G43*$I43)),"➤",""),"")</f>
        <v/>
      </c>
      <c r="RK43" s="76" t="str">
        <f aca="false">IF($I43&gt;0%,IF(AND(RK$16&gt;=$F43,RK$16&lt;$F43+($G43*$I43)),"➤",""),"")</f>
        <v/>
      </c>
      <c r="RL43" s="76" t="str">
        <f aca="false">IF($I43&gt;0%,IF(AND(RL$16&gt;=$F43,RL$16&lt;$F43+($G43*$I43)),"➤",""),"")</f>
        <v/>
      </c>
      <c r="RM43" s="76" t="str">
        <f aca="false">IF($I43&gt;0%,IF(AND(RM$16&gt;=$F43,RM$16&lt;$F43+($G43*$I43)),"➤",""),"")</f>
        <v/>
      </c>
      <c r="RN43" s="76" t="str">
        <f aca="false">IF($I43&gt;0%,IF(AND(RN$16&gt;=$F43,RN$16&lt;$F43+($G43*$I43)),"➤",""),"")</f>
        <v/>
      </c>
      <c r="RO43" s="76" t="str">
        <f aca="false">IF($I43&gt;0%,IF(AND(RO$16&gt;=$F43,RO$16&lt;$F43+($G43*$I43)),"➤",""),"")</f>
        <v/>
      </c>
      <c r="RP43" s="76" t="str">
        <f aca="false">IF($I43&gt;0%,IF(AND(RP$16&gt;=$F43,RP$16&lt;$F43+($G43*$I43)),"➤",""),"")</f>
        <v/>
      </c>
      <c r="RQ43" s="76" t="str">
        <f aca="false">IF($I43&gt;0%,IF(AND(RQ$16&gt;=$F43,RQ$16&lt;$F43+($G43*$I43)),"➤",""),"")</f>
        <v/>
      </c>
      <c r="RR43" s="76" t="str">
        <f aca="false">IF($I43&gt;0%,IF(AND(RR$16&gt;=$F43,RR$16&lt;$F43+($G43*$I43)),"➤",""),"")</f>
        <v/>
      </c>
      <c r="RS43" s="76" t="str">
        <f aca="false">IF($I43&gt;0%,IF(AND(RS$16&gt;=$F43,RS$16&lt;$F43+($G43*$I43)),"➤",""),"")</f>
        <v/>
      </c>
      <c r="RT43" s="76" t="str">
        <f aca="false">IF($I43&gt;0%,IF(AND(RT$16&gt;=$F43,RT$16&lt;$F43+($G43*$I43)),"➤",""),"")</f>
        <v/>
      </c>
      <c r="RU43" s="76" t="str">
        <f aca="false">IF($I43&gt;0%,IF(AND(RU$16&gt;=$F43,RU$16&lt;$F43+($G43*$I43)),"➤",""),"")</f>
        <v/>
      </c>
      <c r="RV43" s="76" t="str">
        <f aca="false">IF($I43&gt;0%,IF(AND(RV$16&gt;=$F43,RV$16&lt;$F43+($G43*$I43)),"➤",""),"")</f>
        <v/>
      </c>
      <c r="RW43" s="76" t="str">
        <f aca="false">IF($I43&gt;0%,IF(AND(RW$16&gt;=$F43,RW$16&lt;$F43+($G43*$I43)),"➤",""),"")</f>
        <v/>
      </c>
      <c r="RX43" s="76" t="str">
        <f aca="false">IF($I43&gt;0%,IF(AND(RX$16&gt;=$F43,RX$16&lt;$F43+($G43*$I43)),"➤",""),"")</f>
        <v/>
      </c>
      <c r="RY43" s="76" t="str">
        <f aca="false">IF($I43&gt;0%,IF(AND(RY$16&gt;=$F43,RY$16&lt;$F43+($G43*$I43)),"➤",""),"")</f>
        <v/>
      </c>
      <c r="RZ43" s="76" t="str">
        <f aca="false">IF($I43&gt;0%,IF(AND(RZ$16&gt;=$F43,RZ$16&lt;$F43+($G43*$I43)),"➤",""),"")</f>
        <v/>
      </c>
      <c r="SA43" s="76" t="str">
        <f aca="false">IF($I43&gt;0%,IF(AND(SA$16&gt;=$F43,SA$16&lt;$F43+($G43*$I43)),"➤",""),"")</f>
        <v/>
      </c>
      <c r="SB43" s="76" t="str">
        <f aca="false">IF($I43&gt;0%,IF(AND(SB$16&gt;=$F43,SB$16&lt;$F43+($G43*$I43)),"➤",""),"")</f>
        <v/>
      </c>
      <c r="SC43" s="76" t="str">
        <f aca="false">IF($I43&gt;0%,IF(AND(SC$16&gt;=$F43,SC$16&lt;$F43+($G43*$I43)),"➤",""),"")</f>
        <v/>
      </c>
      <c r="SD43" s="76" t="str">
        <f aca="false">IF($I43&gt;0%,IF(AND(SD$16&gt;=$F43,SD$16&lt;$F43+($G43*$I43)),"➤",""),"")</f>
        <v/>
      </c>
      <c r="SE43" s="76" t="str">
        <f aca="false">IF($I43&gt;0%,IF(AND(SE$16&gt;=$F43,SE$16&lt;$F43+($G43*$I43)),"➤",""),"")</f>
        <v/>
      </c>
      <c r="SF43" s="76" t="str">
        <f aca="false">IF($I43&gt;0%,IF(AND(SF$16&gt;=$F43,SF$16&lt;$F43+($G43*$I43)),"➤",""),"")</f>
        <v/>
      </c>
      <c r="SG43" s="76" t="str">
        <f aca="false">IF($I43&gt;0%,IF(AND(SG$16&gt;=$F43,SG$16&lt;$F43+($G43*$I43)),"➤",""),"")</f>
        <v/>
      </c>
      <c r="SH43" s="76" t="str">
        <f aca="false">IF($I43&gt;0%,IF(AND(SH$16&gt;=$F43,SH$16&lt;$F43+($G43*$I43)),"➤",""),"")</f>
        <v/>
      </c>
      <c r="SI43" s="76" t="str">
        <f aca="false">IF($I43&gt;0%,IF(AND(SI$16&gt;=$F43,SI$16&lt;$F43+($G43*$I43)),"➤",""),"")</f>
        <v/>
      </c>
      <c r="SJ43" s="76" t="str">
        <f aca="false">IF($I43&gt;0%,IF(AND(SJ$16&gt;=$F43,SJ$16&lt;$F43+($G43*$I43)),"➤",""),"")</f>
        <v/>
      </c>
      <c r="SK43" s="76" t="str">
        <f aca="false">IF($I43&gt;0%,IF(AND(SK$16&gt;=$F43,SK$16&lt;$F43+($G43*$I43)),"➤",""),"")</f>
        <v/>
      </c>
      <c r="SL43" s="76" t="str">
        <f aca="false">IF($I43&gt;0%,IF(AND(SL$16&gt;=$F43,SL$16&lt;$F43+($G43*$I43)),"➤",""),"")</f>
        <v/>
      </c>
      <c r="SM43" s="76" t="str">
        <f aca="false">IF($I43&gt;0%,IF(AND(SM$16&gt;=$F43,SM$16&lt;$F43+($G43*$I43)),"➤",""),"")</f>
        <v/>
      </c>
      <c r="SN43" s="76" t="str">
        <f aca="false">IF($I43&gt;0%,IF(AND(SN$16&gt;=$F43,SN$16&lt;$F43+($G43*$I43)),"➤",""),"")</f>
        <v/>
      </c>
      <c r="SO43" s="76" t="str">
        <f aca="false">IF($I43&gt;0%,IF(AND(SO$16&gt;=$F43,SO$16&lt;$F43+($G43*$I43)),"➤",""),"")</f>
        <v/>
      </c>
      <c r="SP43" s="76" t="str">
        <f aca="false">IF($I43&gt;0%,IF(AND(SP$16&gt;=$F43,SP$16&lt;$F43+($G43*$I43)),"➤",""),"")</f>
        <v/>
      </c>
      <c r="SQ43" s="76" t="str">
        <f aca="false">IF($I43&gt;0%,IF(AND(SQ$16&gt;=$F43,SQ$16&lt;$F43+($G43*$I43)),"➤",""),"")</f>
        <v/>
      </c>
      <c r="SR43" s="76" t="str">
        <f aca="false">IF($I43&gt;0%,IF(AND(SR$16&gt;=$F43,SR$16&lt;$F43+($G43*$I43)),"➤",""),"")</f>
        <v/>
      </c>
      <c r="SS43" s="76" t="str">
        <f aca="false">IF($I43&gt;0%,IF(AND(SS$16&gt;=$F43,SS$16&lt;$F43+($G43*$I43)),"➤",""),"")</f>
        <v/>
      </c>
      <c r="ST43" s="76" t="str">
        <f aca="false">IF($I43&gt;0%,IF(AND(ST$16&gt;=$F43,ST$16&lt;$F43+($G43*$I43)),"➤",""),"")</f>
        <v/>
      </c>
      <c r="SU43" s="76" t="str">
        <f aca="false">IF($I43&gt;0%,IF(AND(SU$16&gt;=$F43,SU$16&lt;$F43+($G43*$I43)),"➤",""),"")</f>
        <v/>
      </c>
      <c r="SV43" s="76" t="str">
        <f aca="false">IF($I43&gt;0%,IF(AND(SV$16&gt;=$F43,SV$16&lt;$F43+($G43*$I43)),"➤",""),"")</f>
        <v/>
      </c>
      <c r="SW43" s="77" t="str">
        <f aca="false">IF($I43&gt;0%,IF(AND(SW$16&gt;=$F43,SW$16&lt;$F43+($G43*$I43)),"➤",""),"")</f>
        <v/>
      </c>
    </row>
    <row r="44" customFormat="false" ht="14.25" hidden="false" customHeight="false" outlineLevel="1" collapsed="false">
      <c r="C44" s="10"/>
      <c r="D44" s="78"/>
      <c r="E44" s="79"/>
      <c r="F44" s="80" t="n">
        <v>44163</v>
      </c>
      <c r="G44" s="81" t="n">
        <v>2</v>
      </c>
      <c r="H44" s="94" t="n">
        <f aca="false">(F44+G44)-1</f>
        <v>44164</v>
      </c>
      <c r="I44" s="98" t="n">
        <v>0</v>
      </c>
      <c r="J44" s="84"/>
      <c r="K44" s="85"/>
      <c r="L44" s="75" t="str">
        <f aca="false">IF($I44&gt;0%,IF(AND(L$16&gt;=$F44,L$16&lt;$F44+($G44*$I44)),"➤",""),"")</f>
        <v/>
      </c>
      <c r="M44" s="76" t="str">
        <f aca="false">IF($I44&gt;0%,IF(AND(M$16&gt;=$F44,M$16&lt;$F44+($G44*$I44)),"➤",""),"")</f>
        <v/>
      </c>
      <c r="N44" s="76" t="str">
        <f aca="false">IF($I44&gt;0%,IF(AND(N$16&gt;=$F44,N$16&lt;$F44+($G44*$I44)),"➤",""),"")</f>
        <v/>
      </c>
      <c r="O44" s="76" t="str">
        <f aca="false">IF($I44&gt;0%,IF(AND(O$16&gt;=$F44,O$16&lt;$F44+($G44*$I44)),"➤",""),"")</f>
        <v/>
      </c>
      <c r="P44" s="76" t="str">
        <f aca="false">IF($I44&gt;0%,IF(AND(P$16&gt;=$F44,P$16&lt;$F44+($G44*$I44)),"➤",""),"")</f>
        <v/>
      </c>
      <c r="Q44" s="76" t="str">
        <f aca="false">IF($I44&gt;0%,IF(AND(Q$16&gt;=$F44,Q$16&lt;$F44+($G44*$I44)),"➤",""),"")</f>
        <v/>
      </c>
      <c r="R44" s="76" t="str">
        <f aca="false">IF($I44&gt;0%,IF(AND(R$16&gt;=$F44,R$16&lt;$F44+($G44*$I44)),"➤",""),"")</f>
        <v/>
      </c>
      <c r="S44" s="76" t="str">
        <f aca="false">IF($I44&gt;0%,IF(AND(S$16&gt;=$F44,S$16&lt;$F44+($G44*$I44)),"➤",""),"")</f>
        <v/>
      </c>
      <c r="T44" s="76" t="str">
        <f aca="false">IF($I44&gt;0%,IF(AND(T$16&gt;=$F44,T$16&lt;$F44+($G44*$I44)),"➤",""),"")</f>
        <v/>
      </c>
      <c r="U44" s="76" t="str">
        <f aca="false">IF($I44&gt;0%,IF(AND(U$16&gt;=$F44,U$16&lt;$F44+($G44*$I44)),"➤",""),"")</f>
        <v/>
      </c>
      <c r="V44" s="76" t="str">
        <f aca="false">IF($I44&gt;0%,IF(AND(V$16&gt;=$F44,V$16&lt;$F44+($G44*$I44)),"➤",""),"")</f>
        <v/>
      </c>
      <c r="W44" s="76" t="str">
        <f aca="false">IF($I44&gt;0%,IF(AND(W$16&gt;=$F44,W$16&lt;$F44+($G44*$I44)),"➤",""),"")</f>
        <v/>
      </c>
      <c r="X44" s="76" t="str">
        <f aca="false">IF($I44&gt;0%,IF(AND(X$16&gt;=$F44,X$16&lt;$F44+($G44*$I44)),"➤",""),"")</f>
        <v/>
      </c>
      <c r="Y44" s="76" t="str">
        <f aca="false">IF($I44&gt;0%,IF(AND(Y$16&gt;=$F44,Y$16&lt;$F44+($G44*$I44)),"➤",""),"")</f>
        <v/>
      </c>
      <c r="Z44" s="76" t="str">
        <f aca="false">IF($I44&gt;0%,IF(AND(Z$16&gt;=$F44,Z$16&lt;$F44+($G44*$I44)),"➤",""),"")</f>
        <v/>
      </c>
      <c r="AA44" s="76" t="str">
        <f aca="false">IF($I44&gt;0%,IF(AND(AA$16&gt;=$F44,AA$16&lt;$F44+($G44*$I44)),"➤",""),"")</f>
        <v/>
      </c>
      <c r="AB44" s="76" t="str">
        <f aca="false">IF($I44&gt;0%,IF(AND(AB$16&gt;=$F44,AB$16&lt;$F44+($G44*$I44)),"➤",""),"")</f>
        <v/>
      </c>
      <c r="AC44" s="76" t="str">
        <f aca="false">IF($I44&gt;0%,IF(AND(AC$16&gt;=$F44,AC$16&lt;$F44+($G44*$I44)),"➤",""),"")</f>
        <v/>
      </c>
      <c r="AD44" s="76" t="str">
        <f aca="false">IF($I44&gt;0%,IF(AND(AD$16&gt;=$F44,AD$16&lt;$F44+($G44*$I44)),"➤",""),"")</f>
        <v/>
      </c>
      <c r="AE44" s="76" t="str">
        <f aca="false">IF($I44&gt;0%,IF(AND(AE$16&gt;=$F44,AE$16&lt;$F44+($G44*$I44)),"➤",""),"")</f>
        <v/>
      </c>
      <c r="AF44" s="76" t="str">
        <f aca="false">IF($I44&gt;0%,IF(AND(AF$16&gt;=$F44,AF$16&lt;$F44+($G44*$I44)),"➤",""),"")</f>
        <v/>
      </c>
      <c r="AG44" s="76" t="str">
        <f aca="false">IF($I44&gt;0%,IF(AND(AG$16&gt;=$F44,AG$16&lt;$F44+($G44*$I44)),"➤",""),"")</f>
        <v/>
      </c>
      <c r="AH44" s="76" t="str">
        <f aca="false">IF($I44&gt;0%,IF(AND(AH$16&gt;=$F44,AH$16&lt;$F44+($G44*$I44)),"➤",""),"")</f>
        <v/>
      </c>
      <c r="AI44" s="76" t="str">
        <f aca="false">IF($I44&gt;0%,IF(AND(AI$16&gt;=$F44,AI$16&lt;$F44+($G44*$I44)),"➤",""),"")</f>
        <v/>
      </c>
      <c r="AJ44" s="76" t="str">
        <f aca="false">IF($I44&gt;0%,IF(AND(AJ$16&gt;=$F44,AJ$16&lt;$F44+($G44*$I44)),"➤",""),"")</f>
        <v/>
      </c>
      <c r="AK44" s="76" t="str">
        <f aca="false">IF($I44&gt;0%,IF(AND(AK$16&gt;=$F44,AK$16&lt;$F44+($G44*$I44)),"➤",""),"")</f>
        <v/>
      </c>
      <c r="AL44" s="76" t="str">
        <f aca="false">IF($I44&gt;0%,IF(AND(AL$16&gt;=$F44,AL$16&lt;$F44+($G44*$I44)),"➤",""),"")</f>
        <v/>
      </c>
      <c r="AM44" s="76" t="str">
        <f aca="false">IF($I44&gt;0%,IF(AND(AM$16&gt;=$F44,AM$16&lt;$F44+($G44*$I44)),"➤",""),"")</f>
        <v/>
      </c>
      <c r="AN44" s="76" t="str">
        <f aca="false">IF($I44&gt;0%,IF(AND(AN$16&gt;=$F44,AN$16&lt;$F44+($G44*$I44)),"➤",""),"")</f>
        <v/>
      </c>
      <c r="AO44" s="76" t="str">
        <f aca="false">IF($I44&gt;0%,IF(AND(AO$16&gt;=$F44,AO$16&lt;$F44+($G44*$I44)),"➤",""),"")</f>
        <v/>
      </c>
      <c r="AP44" s="76" t="str">
        <f aca="false">IF($I44&gt;0%,IF(AND(AP$16&gt;=$F44,AP$16&lt;$F44+($G44*$I44)),"➤",""),"")</f>
        <v/>
      </c>
      <c r="AQ44" s="76" t="str">
        <f aca="false">IF($I44&gt;0%,IF(AND(AQ$16&gt;=$F44,AQ$16&lt;$F44+($G44*$I44)),"➤",""),"")</f>
        <v/>
      </c>
      <c r="AR44" s="76" t="str">
        <f aca="false">IF($I44&gt;0%,IF(AND(AR$16&gt;=$F44,AR$16&lt;$F44+($G44*$I44)),"➤",""),"")</f>
        <v/>
      </c>
      <c r="AS44" s="76" t="str">
        <f aca="false">IF($I44&gt;0%,IF(AND(AS$16&gt;=$F44,AS$16&lt;$F44+($G44*$I44)),"➤",""),"")</f>
        <v/>
      </c>
      <c r="AT44" s="76" t="str">
        <f aca="false">IF($I44&gt;0%,IF(AND(AT$16&gt;=$F44,AT$16&lt;$F44+($G44*$I44)),"➤",""),"")</f>
        <v/>
      </c>
      <c r="AU44" s="76" t="str">
        <f aca="false">IF($I44&gt;0%,IF(AND(AU$16&gt;=$F44,AU$16&lt;$F44+($G44*$I44)),"➤",""),"")</f>
        <v/>
      </c>
      <c r="AV44" s="76" t="str">
        <f aca="false">IF($I44&gt;0%,IF(AND(AV$16&gt;=$F44,AV$16&lt;$F44+($G44*$I44)),"➤",""),"")</f>
        <v/>
      </c>
      <c r="AW44" s="76" t="str">
        <f aca="false">IF($I44&gt;0%,IF(AND(AW$16&gt;=$F44,AW$16&lt;$F44+($G44*$I44)),"➤",""),"")</f>
        <v/>
      </c>
      <c r="AX44" s="76" t="str">
        <f aca="false">IF($I44&gt;0%,IF(AND(AX$16&gt;=$F44,AX$16&lt;$F44+($G44*$I44)),"➤",""),"")</f>
        <v/>
      </c>
      <c r="AY44" s="76" t="str">
        <f aca="false">IF($I44&gt;0%,IF(AND(AY$16&gt;=$F44,AY$16&lt;$F44+($G44*$I44)),"➤",""),"")</f>
        <v/>
      </c>
      <c r="AZ44" s="76" t="str">
        <f aca="false">IF($I44&gt;0%,IF(AND(AZ$16&gt;=$F44,AZ$16&lt;$F44+($G44*$I44)),"➤",""),"")</f>
        <v/>
      </c>
      <c r="BA44" s="76" t="str">
        <f aca="false">IF($I44&gt;0%,IF(AND(BA$16&gt;=$F44,BA$16&lt;$F44+($G44*$I44)),"➤",""),"")</f>
        <v/>
      </c>
      <c r="BB44" s="76" t="str">
        <f aca="false">IF($I44&gt;0%,IF(AND(BB$16&gt;=$F44,BB$16&lt;$F44+($G44*$I44)),"➤",""),"")</f>
        <v/>
      </c>
      <c r="BC44" s="76" t="str">
        <f aca="false">IF($I44&gt;0%,IF(AND(BC$16&gt;=$F44,BC$16&lt;$F44+($G44*$I44)),"➤",""),"")</f>
        <v/>
      </c>
      <c r="BD44" s="76" t="str">
        <f aca="false">IF($I44&gt;0%,IF(AND(BD$16&gt;=$F44,BD$16&lt;$F44+($G44*$I44)),"➤",""),"")</f>
        <v/>
      </c>
      <c r="BE44" s="76" t="str">
        <f aca="false">IF($I44&gt;0%,IF(AND(BE$16&gt;=$F44,BE$16&lt;$F44+($G44*$I44)),"➤",""),"")</f>
        <v/>
      </c>
      <c r="BF44" s="76" t="str">
        <f aca="false">IF($I44&gt;0%,IF(AND(BF$16&gt;=$F44,BF$16&lt;$F44+($G44*$I44)),"➤",""),"")</f>
        <v/>
      </c>
      <c r="BG44" s="76" t="str">
        <f aca="false">IF($I44&gt;0%,IF(AND(BG$16&gt;=$F44,BG$16&lt;$F44+($G44*$I44)),"➤",""),"")</f>
        <v/>
      </c>
      <c r="BH44" s="76" t="str">
        <f aca="false">IF($I44&gt;0%,IF(AND(BH$16&gt;=$F44,BH$16&lt;$F44+($G44*$I44)),"➤",""),"")</f>
        <v/>
      </c>
      <c r="BI44" s="76" t="str">
        <f aca="false">IF($I44&gt;0%,IF(AND(BI$16&gt;=$F44,BI$16&lt;$F44+($G44*$I44)),"➤",""),"")</f>
        <v/>
      </c>
      <c r="BJ44" s="76" t="str">
        <f aca="false">IF($I44&gt;0%,IF(AND(BJ$16&gt;=$F44,BJ$16&lt;$F44+($G44*$I44)),"➤",""),"")</f>
        <v/>
      </c>
      <c r="BK44" s="76" t="str">
        <f aca="false">IF($I44&gt;0%,IF(AND(BK$16&gt;=$F44,BK$16&lt;$F44+($G44*$I44)),"➤",""),"")</f>
        <v/>
      </c>
      <c r="BL44" s="76" t="str">
        <f aca="false">IF($I44&gt;0%,IF(AND(BL$16&gt;=$F44,BL$16&lt;$F44+($G44*$I44)),"➤",""),"")</f>
        <v/>
      </c>
      <c r="BM44" s="76" t="str">
        <f aca="false">IF($I44&gt;0%,IF(AND(BM$16&gt;=$F44,BM$16&lt;$F44+($G44*$I44)),"➤",""),"")</f>
        <v/>
      </c>
      <c r="BN44" s="76" t="str">
        <f aca="false">IF($I44&gt;0%,IF(AND(BN$16&gt;=$F44,BN$16&lt;$F44+($G44*$I44)),"➤",""),"")</f>
        <v/>
      </c>
      <c r="BO44" s="76" t="str">
        <f aca="false">IF($I44&gt;0%,IF(AND(BO$16&gt;=$F44,BO$16&lt;$F44+($G44*$I44)),"➤",""),"")</f>
        <v/>
      </c>
      <c r="BP44" s="76" t="str">
        <f aca="false">IF($I44&gt;0%,IF(AND(BP$16&gt;=$F44,BP$16&lt;$F44+($G44*$I44)),"➤",""),"")</f>
        <v/>
      </c>
      <c r="BQ44" s="76" t="str">
        <f aca="false">IF($I44&gt;0%,IF(AND(BQ$16&gt;=$F44,BQ$16&lt;$F44+($G44*$I44)),"➤",""),"")</f>
        <v/>
      </c>
      <c r="BR44" s="76" t="str">
        <f aca="false">IF($I44&gt;0%,IF(AND(BR$16&gt;=$F44,BR$16&lt;$F44+($G44*$I44)),"➤",""),"")</f>
        <v/>
      </c>
      <c r="BS44" s="76" t="str">
        <f aca="false">IF($I44&gt;0%,IF(AND(BS$16&gt;=$F44,BS$16&lt;$F44+($G44*$I44)),"➤",""),"")</f>
        <v/>
      </c>
      <c r="BT44" s="76" t="str">
        <f aca="false">IF($I44&gt;0%,IF(AND(BT$16&gt;=$F44,BT$16&lt;$F44+($G44*$I44)),"➤",""),"")</f>
        <v/>
      </c>
      <c r="BU44" s="76" t="str">
        <f aca="false">IF($I44&gt;0%,IF(AND(BU$16&gt;=$F44,BU$16&lt;$F44+($G44*$I44)),"➤",""),"")</f>
        <v/>
      </c>
      <c r="BV44" s="76" t="str">
        <f aca="false">IF($I44&gt;0%,IF(AND(BV$16&gt;=$F44,BV$16&lt;$F44+($G44*$I44)),"➤",""),"")</f>
        <v/>
      </c>
      <c r="BW44" s="76" t="str">
        <f aca="false">IF($I44&gt;0%,IF(AND(BW$16&gt;=$F44,BW$16&lt;$F44+($G44*$I44)),"➤",""),"")</f>
        <v/>
      </c>
      <c r="BX44" s="76" t="str">
        <f aca="false">IF($I44&gt;0%,IF(AND(BX$16&gt;=$F44,BX$16&lt;$F44+($G44*$I44)),"➤",""),"")</f>
        <v/>
      </c>
      <c r="BY44" s="76" t="str">
        <f aca="false">IF($I44&gt;0%,IF(AND(BY$16&gt;=$F44,BY$16&lt;$F44+($G44*$I44)),"➤",""),"")</f>
        <v/>
      </c>
      <c r="BZ44" s="76" t="str">
        <f aca="false">IF($I44&gt;0%,IF(AND(BZ$16&gt;=$F44,BZ$16&lt;$F44+($G44*$I44)),"➤",""),"")</f>
        <v/>
      </c>
      <c r="CA44" s="76" t="str">
        <f aca="false">IF($I44&gt;0%,IF(AND(CA$16&gt;=$F44,CA$16&lt;$F44+($G44*$I44)),"➤",""),"")</f>
        <v/>
      </c>
      <c r="CB44" s="76" t="str">
        <f aca="false">IF($I44&gt;0%,IF(AND(CB$16&gt;=$F44,CB$16&lt;$F44+($G44*$I44)),"➤",""),"")</f>
        <v/>
      </c>
      <c r="CC44" s="76" t="str">
        <f aca="false">IF($I44&gt;0%,IF(AND(CC$16&gt;=$F44,CC$16&lt;$F44+($G44*$I44)),"➤",""),"")</f>
        <v/>
      </c>
      <c r="CD44" s="76" t="str">
        <f aca="false">IF($I44&gt;0%,IF(AND(CD$16&gt;=$F44,CD$16&lt;$F44+($G44*$I44)),"➤",""),"")</f>
        <v/>
      </c>
      <c r="CE44" s="76" t="str">
        <f aca="false">IF($I44&gt;0%,IF(AND(CE$16&gt;=$F44,CE$16&lt;$F44+($G44*$I44)),"➤",""),"")</f>
        <v/>
      </c>
      <c r="CF44" s="76" t="str">
        <f aca="false">IF($I44&gt;0%,IF(AND(CF$16&gt;=$F44,CF$16&lt;$F44+($G44*$I44)),"➤",""),"")</f>
        <v/>
      </c>
      <c r="CG44" s="76" t="str">
        <f aca="false">IF($I44&gt;0%,IF(AND(CG$16&gt;=$F44,CG$16&lt;$F44+($G44*$I44)),"➤",""),"")</f>
        <v/>
      </c>
      <c r="CH44" s="76" t="str">
        <f aca="false">IF($I44&gt;0%,IF(AND(CH$16&gt;=$F44,CH$16&lt;$F44+($G44*$I44)),"➤",""),"")</f>
        <v/>
      </c>
      <c r="CI44" s="76" t="str">
        <f aca="false">IF($I44&gt;0%,IF(AND(CI$16&gt;=$F44,CI$16&lt;$F44+($G44*$I44)),"➤",""),"")</f>
        <v/>
      </c>
      <c r="CJ44" s="76" t="str">
        <f aca="false">IF($I44&gt;0%,IF(AND(CJ$16&gt;=$F44,CJ$16&lt;$F44+($G44*$I44)),"➤",""),"")</f>
        <v/>
      </c>
      <c r="CK44" s="76" t="str">
        <f aca="false">IF($I44&gt;0%,IF(AND(CK$16&gt;=$F44,CK$16&lt;$F44+($G44*$I44)),"➤",""),"")</f>
        <v/>
      </c>
      <c r="CL44" s="76" t="str">
        <f aca="false">IF($I44&gt;0%,IF(AND(CL$16&gt;=$F44,CL$16&lt;$F44+($G44*$I44)),"➤",""),"")</f>
        <v/>
      </c>
      <c r="CM44" s="76" t="str">
        <f aca="false">IF($I44&gt;0%,IF(AND(CM$16&gt;=$F44,CM$16&lt;$F44+($G44*$I44)),"➤",""),"")</f>
        <v/>
      </c>
      <c r="CN44" s="76" t="str">
        <f aca="false">IF($I44&gt;0%,IF(AND(CN$16&gt;=$F44,CN$16&lt;$F44+($G44*$I44)),"➤",""),"")</f>
        <v/>
      </c>
      <c r="CO44" s="76" t="str">
        <f aca="false">IF($I44&gt;0%,IF(AND(CO$16&gt;=$F44,CO$16&lt;$F44+($G44*$I44)),"➤",""),"")</f>
        <v/>
      </c>
      <c r="CP44" s="76" t="str">
        <f aca="false">IF($I44&gt;0%,IF(AND(CP$16&gt;=$F44,CP$16&lt;$F44+($G44*$I44)),"➤",""),"")</f>
        <v/>
      </c>
      <c r="CQ44" s="76" t="str">
        <f aca="false">IF($I44&gt;0%,IF(AND(CQ$16&gt;=$F44,CQ$16&lt;$F44+($G44*$I44)),"➤",""),"")</f>
        <v/>
      </c>
      <c r="CR44" s="76" t="str">
        <f aca="false">IF($I44&gt;0%,IF(AND(CR$16&gt;=$F44,CR$16&lt;$F44+($G44*$I44)),"➤",""),"")</f>
        <v/>
      </c>
      <c r="CS44" s="76" t="str">
        <f aca="false">IF($I44&gt;0%,IF(AND(CS$16&gt;=$F44,CS$16&lt;$F44+($G44*$I44)),"➤",""),"")</f>
        <v/>
      </c>
      <c r="CT44" s="76" t="str">
        <f aca="false">IF($I44&gt;0%,IF(AND(CT$16&gt;=$F44,CT$16&lt;$F44+($G44*$I44)),"➤",""),"")</f>
        <v/>
      </c>
      <c r="CU44" s="76" t="str">
        <f aca="false">IF($I44&gt;0%,IF(AND(CU$16&gt;=$F44,CU$16&lt;$F44+($G44*$I44)),"➤",""),"")</f>
        <v/>
      </c>
      <c r="CV44" s="76" t="str">
        <f aca="false">IF($I44&gt;0%,IF(AND(CV$16&gt;=$F44,CV$16&lt;$F44+($G44*$I44)),"➤",""),"")</f>
        <v/>
      </c>
      <c r="CW44" s="76" t="str">
        <f aca="false">IF($I44&gt;0%,IF(AND(CW$16&gt;=$F44,CW$16&lt;$F44+($G44*$I44)),"➤",""),"")</f>
        <v/>
      </c>
      <c r="CX44" s="76" t="str">
        <f aca="false">IF($I44&gt;0%,IF(AND(CX$16&gt;=$F44,CX$16&lt;$F44+($G44*$I44)),"➤",""),"")</f>
        <v/>
      </c>
      <c r="CY44" s="76" t="str">
        <f aca="false">IF($I44&gt;0%,IF(AND(CY$16&gt;=$F44,CY$16&lt;$F44+($G44*$I44)),"➤",""),"")</f>
        <v/>
      </c>
      <c r="CZ44" s="76" t="str">
        <f aca="false">IF($I44&gt;0%,IF(AND(CZ$16&gt;=$F44,CZ$16&lt;$F44+($G44*$I44)),"➤",""),"")</f>
        <v/>
      </c>
      <c r="DA44" s="76" t="str">
        <f aca="false">IF($I44&gt;0%,IF(AND(DA$16&gt;=$F44,DA$16&lt;$F44+($G44*$I44)),"➤",""),"")</f>
        <v/>
      </c>
      <c r="DB44" s="76" t="str">
        <f aca="false">IF($I44&gt;0%,IF(AND(DB$16&gt;=$F44,DB$16&lt;$F44+($G44*$I44)),"➤",""),"")</f>
        <v/>
      </c>
      <c r="DC44" s="76" t="str">
        <f aca="false">IF($I44&gt;0%,IF(AND(DC$16&gt;=$F44,DC$16&lt;$F44+($G44*$I44)),"➤",""),"")</f>
        <v/>
      </c>
      <c r="DD44" s="76" t="str">
        <f aca="false">IF($I44&gt;0%,IF(AND(DD$16&gt;=$F44,DD$16&lt;$F44+($G44*$I44)),"➤",""),"")</f>
        <v/>
      </c>
      <c r="DE44" s="76" t="str">
        <f aca="false">IF($I44&gt;0%,IF(AND(DE$16&gt;=$F44,DE$16&lt;$F44+($G44*$I44)),"➤",""),"")</f>
        <v/>
      </c>
      <c r="DF44" s="76" t="str">
        <f aca="false">IF($I44&gt;0%,IF(AND(DF$16&gt;=$F44,DF$16&lt;$F44+($G44*$I44)),"➤",""),"")</f>
        <v/>
      </c>
      <c r="DG44" s="76" t="str">
        <f aca="false">IF($I44&gt;0%,IF(AND(DG$16&gt;=$F44,DG$16&lt;$F44+($G44*$I44)),"➤",""),"")</f>
        <v/>
      </c>
      <c r="DH44" s="76" t="str">
        <f aca="false">IF($I44&gt;0%,IF(AND(DH$16&gt;=$F44,DH$16&lt;$F44+($G44*$I44)),"➤",""),"")</f>
        <v/>
      </c>
      <c r="DI44" s="76" t="str">
        <f aca="false">IF($I44&gt;0%,IF(AND(DI$16&gt;=$F44,DI$16&lt;$F44+($G44*$I44)),"➤",""),"")</f>
        <v/>
      </c>
      <c r="DJ44" s="76" t="str">
        <f aca="false">IF($I44&gt;0%,IF(AND(DJ$16&gt;=$F44,DJ$16&lt;$F44+($G44*$I44)),"➤",""),"")</f>
        <v/>
      </c>
      <c r="DK44" s="76" t="str">
        <f aca="false">IF($I44&gt;0%,IF(AND(DK$16&gt;=$F44,DK$16&lt;$F44+($G44*$I44)),"➤",""),"")</f>
        <v/>
      </c>
      <c r="DL44" s="76" t="str">
        <f aca="false">IF($I44&gt;0%,IF(AND(DL$16&gt;=$F44,DL$16&lt;$F44+($G44*$I44)),"➤",""),"")</f>
        <v/>
      </c>
      <c r="DM44" s="76" t="str">
        <f aca="false">IF($I44&gt;0%,IF(AND(DM$16&gt;=$F44,DM$16&lt;$F44+($G44*$I44)),"➤",""),"")</f>
        <v/>
      </c>
      <c r="DN44" s="76" t="str">
        <f aca="false">IF($I44&gt;0%,IF(AND(DN$16&gt;=$F44,DN$16&lt;$F44+($G44*$I44)),"➤",""),"")</f>
        <v/>
      </c>
      <c r="DO44" s="76" t="str">
        <f aca="false">IF($I44&gt;0%,IF(AND(DO$16&gt;=$F44,DO$16&lt;$F44+($G44*$I44)),"➤",""),"")</f>
        <v/>
      </c>
      <c r="DP44" s="76" t="str">
        <f aca="false">IF($I44&gt;0%,IF(AND(DP$16&gt;=$F44,DP$16&lt;$F44+($G44*$I44)),"➤",""),"")</f>
        <v/>
      </c>
      <c r="DQ44" s="76" t="str">
        <f aca="false">IF($I44&gt;0%,IF(AND(DQ$16&gt;=$F44,DQ$16&lt;$F44+($G44*$I44)),"➤",""),"")</f>
        <v/>
      </c>
      <c r="DR44" s="76" t="str">
        <f aca="false">IF($I44&gt;0%,IF(AND(DR$16&gt;=$F44,DR$16&lt;$F44+($G44*$I44)),"➤",""),"")</f>
        <v/>
      </c>
      <c r="DS44" s="76" t="str">
        <f aca="false">IF($I44&gt;0%,IF(AND(DS$16&gt;=$F44,DS$16&lt;$F44+($G44*$I44)),"➤",""),"")</f>
        <v/>
      </c>
      <c r="DT44" s="76" t="str">
        <f aca="false">IF($I44&gt;0%,IF(AND(DT$16&gt;=$F44,DT$16&lt;$F44+($G44*$I44)),"➤",""),"")</f>
        <v/>
      </c>
      <c r="DU44" s="76" t="str">
        <f aca="false">IF($I44&gt;0%,IF(AND(DU$16&gt;=$F44,DU$16&lt;$F44+($G44*$I44)),"➤",""),"")</f>
        <v/>
      </c>
      <c r="DV44" s="76" t="str">
        <f aca="false">IF($I44&gt;0%,IF(AND(DV$16&gt;=$F44,DV$16&lt;$F44+($G44*$I44)),"➤",""),"")</f>
        <v/>
      </c>
      <c r="DW44" s="76" t="str">
        <f aca="false">IF($I44&gt;0%,IF(AND(DW$16&gt;=$F44,DW$16&lt;$F44+($G44*$I44)),"➤",""),"")</f>
        <v/>
      </c>
      <c r="DX44" s="76" t="str">
        <f aca="false">IF($I44&gt;0%,IF(AND(DX$16&gt;=$F44,DX$16&lt;$F44+($G44*$I44)),"➤",""),"")</f>
        <v/>
      </c>
      <c r="DY44" s="76" t="str">
        <f aca="false">IF($I44&gt;0%,IF(AND(DY$16&gt;=$F44,DY$16&lt;$F44+($G44*$I44)),"➤",""),"")</f>
        <v/>
      </c>
      <c r="DZ44" s="76" t="str">
        <f aca="false">IF($I44&gt;0%,IF(AND(DZ$16&gt;=$F44,DZ$16&lt;$F44+($G44*$I44)),"➤",""),"")</f>
        <v/>
      </c>
      <c r="EA44" s="76" t="str">
        <f aca="false">IF($I44&gt;0%,IF(AND(EA$16&gt;=$F44,EA$16&lt;$F44+($G44*$I44)),"➤",""),"")</f>
        <v/>
      </c>
      <c r="EB44" s="76" t="str">
        <f aca="false">IF($I44&gt;0%,IF(AND(EB$16&gt;=$F44,EB$16&lt;$F44+($G44*$I44)),"➤",""),"")</f>
        <v/>
      </c>
      <c r="EC44" s="76" t="str">
        <f aca="false">IF($I44&gt;0%,IF(AND(EC$16&gt;=$F44,EC$16&lt;$F44+($G44*$I44)),"➤",""),"")</f>
        <v/>
      </c>
      <c r="ED44" s="76" t="str">
        <f aca="false">IF($I44&gt;0%,IF(AND(ED$16&gt;=$F44,ED$16&lt;$F44+($G44*$I44)),"➤",""),"")</f>
        <v/>
      </c>
      <c r="EE44" s="76" t="str">
        <f aca="false">IF($I44&gt;0%,IF(AND(EE$16&gt;=$F44,EE$16&lt;$F44+($G44*$I44)),"➤",""),"")</f>
        <v/>
      </c>
      <c r="EF44" s="76" t="str">
        <f aca="false">IF($I44&gt;0%,IF(AND(EF$16&gt;=$F44,EF$16&lt;$F44+($G44*$I44)),"➤",""),"")</f>
        <v/>
      </c>
      <c r="EG44" s="76" t="str">
        <f aca="false">IF($I44&gt;0%,IF(AND(EG$16&gt;=$F44,EG$16&lt;$F44+($G44*$I44)),"➤",""),"")</f>
        <v/>
      </c>
      <c r="EH44" s="76" t="str">
        <f aca="false">IF($I44&gt;0%,IF(AND(EH$16&gt;=$F44,EH$16&lt;$F44+($G44*$I44)),"➤",""),"")</f>
        <v/>
      </c>
      <c r="EI44" s="76" t="str">
        <f aca="false">IF($I44&gt;0%,IF(AND(EI$16&gt;=$F44,EI$16&lt;$F44+($G44*$I44)),"➤",""),"")</f>
        <v/>
      </c>
      <c r="EJ44" s="76" t="str">
        <f aca="false">IF($I44&gt;0%,IF(AND(EJ$16&gt;=$F44,EJ$16&lt;$F44+($G44*$I44)),"➤",""),"")</f>
        <v/>
      </c>
      <c r="EK44" s="76" t="str">
        <f aca="false">IF($I44&gt;0%,IF(AND(EK$16&gt;=$F44,EK$16&lt;$F44+($G44*$I44)),"➤",""),"")</f>
        <v/>
      </c>
      <c r="EL44" s="76" t="str">
        <f aca="false">IF($I44&gt;0%,IF(AND(EL$16&gt;=$F44,EL$16&lt;$F44+($G44*$I44)),"➤",""),"")</f>
        <v/>
      </c>
      <c r="EM44" s="76" t="str">
        <f aca="false">IF($I44&gt;0%,IF(AND(EM$16&gt;=$F44,EM$16&lt;$F44+($G44*$I44)),"➤",""),"")</f>
        <v/>
      </c>
      <c r="EN44" s="76" t="str">
        <f aca="false">IF($I44&gt;0%,IF(AND(EN$16&gt;=$F44,EN$16&lt;$F44+($G44*$I44)),"➤",""),"")</f>
        <v/>
      </c>
      <c r="EO44" s="76" t="str">
        <f aca="false">IF($I44&gt;0%,IF(AND(EO$16&gt;=$F44,EO$16&lt;$F44+($G44*$I44)),"➤",""),"")</f>
        <v/>
      </c>
      <c r="EP44" s="76" t="str">
        <f aca="false">IF($I44&gt;0%,IF(AND(EP$16&gt;=$F44,EP$16&lt;$F44+($G44*$I44)),"➤",""),"")</f>
        <v/>
      </c>
      <c r="EQ44" s="76" t="str">
        <f aca="false">IF($I44&gt;0%,IF(AND(EQ$16&gt;=$F44,EQ$16&lt;$F44+($G44*$I44)),"➤",""),"")</f>
        <v/>
      </c>
      <c r="ER44" s="76" t="str">
        <f aca="false">IF($I44&gt;0%,IF(AND(ER$16&gt;=$F44,ER$16&lt;$F44+($G44*$I44)),"➤",""),"")</f>
        <v/>
      </c>
      <c r="ES44" s="76" t="str">
        <f aca="false">IF($I44&gt;0%,IF(AND(ES$16&gt;=$F44,ES$16&lt;$F44+($G44*$I44)),"➤",""),"")</f>
        <v/>
      </c>
      <c r="ET44" s="76" t="str">
        <f aca="false">IF($I44&gt;0%,IF(AND(ET$16&gt;=$F44,ET$16&lt;$F44+($G44*$I44)),"➤",""),"")</f>
        <v/>
      </c>
      <c r="EU44" s="76" t="str">
        <f aca="false">IF($I44&gt;0%,IF(AND(EU$16&gt;=$F44,EU$16&lt;$F44+($G44*$I44)),"➤",""),"")</f>
        <v/>
      </c>
      <c r="EV44" s="76" t="str">
        <f aca="false">IF($I44&gt;0%,IF(AND(EV$16&gt;=$F44,EV$16&lt;$F44+($G44*$I44)),"➤",""),"")</f>
        <v/>
      </c>
      <c r="EW44" s="76" t="str">
        <f aca="false">IF($I44&gt;0%,IF(AND(EW$16&gt;=$F44,EW$16&lt;$F44+($G44*$I44)),"➤",""),"")</f>
        <v/>
      </c>
      <c r="EX44" s="76" t="str">
        <f aca="false">IF($I44&gt;0%,IF(AND(EX$16&gt;=$F44,EX$16&lt;$F44+($G44*$I44)),"➤",""),"")</f>
        <v/>
      </c>
      <c r="EY44" s="76" t="str">
        <f aca="false">IF($I44&gt;0%,IF(AND(EY$16&gt;=$F44,EY$16&lt;$F44+($G44*$I44)),"➤",""),"")</f>
        <v/>
      </c>
      <c r="EZ44" s="76" t="str">
        <f aca="false">IF($I44&gt;0%,IF(AND(EZ$16&gt;=$F44,EZ$16&lt;$F44+($G44*$I44)),"➤",""),"")</f>
        <v/>
      </c>
      <c r="FA44" s="76" t="str">
        <f aca="false">IF($I44&gt;0%,IF(AND(FA$16&gt;=$F44,FA$16&lt;$F44+($G44*$I44)),"➤",""),"")</f>
        <v/>
      </c>
      <c r="FB44" s="76" t="str">
        <f aca="false">IF($I44&gt;0%,IF(AND(FB$16&gt;=$F44,FB$16&lt;$F44+($G44*$I44)),"➤",""),"")</f>
        <v/>
      </c>
      <c r="FC44" s="76" t="str">
        <f aca="false">IF($I44&gt;0%,IF(AND(FC$16&gt;=$F44,FC$16&lt;$F44+($G44*$I44)),"➤",""),"")</f>
        <v/>
      </c>
      <c r="FD44" s="76" t="str">
        <f aca="false">IF($I44&gt;0%,IF(AND(FD$16&gt;=$F44,FD$16&lt;$F44+($G44*$I44)),"➤",""),"")</f>
        <v/>
      </c>
      <c r="FE44" s="76" t="str">
        <f aca="false">IF($I44&gt;0%,IF(AND(FE$16&gt;=$F44,FE$16&lt;$F44+($G44*$I44)),"➤",""),"")</f>
        <v/>
      </c>
      <c r="FF44" s="76" t="str">
        <f aca="false">IF($I44&gt;0%,IF(AND(FF$16&gt;=$F44,FF$16&lt;$F44+($G44*$I44)),"➤",""),"")</f>
        <v/>
      </c>
      <c r="FG44" s="76" t="str">
        <f aca="false">IF($I44&gt;0%,IF(AND(FG$16&gt;=$F44,FG$16&lt;$F44+($G44*$I44)),"➤",""),"")</f>
        <v/>
      </c>
      <c r="FH44" s="76" t="str">
        <f aca="false">IF($I44&gt;0%,IF(AND(FH$16&gt;=$F44,FH$16&lt;$F44+($G44*$I44)),"➤",""),"")</f>
        <v/>
      </c>
      <c r="FI44" s="76" t="str">
        <f aca="false">IF($I44&gt;0%,IF(AND(FI$16&gt;=$F44,FI$16&lt;$F44+($G44*$I44)),"➤",""),"")</f>
        <v/>
      </c>
      <c r="FJ44" s="76" t="str">
        <f aca="false">IF($I44&gt;0%,IF(AND(FJ$16&gt;=$F44,FJ$16&lt;$F44+($G44*$I44)),"➤",""),"")</f>
        <v/>
      </c>
      <c r="FK44" s="76" t="str">
        <f aca="false">IF($I44&gt;0%,IF(AND(FK$16&gt;=$F44,FK$16&lt;$F44+($G44*$I44)),"➤",""),"")</f>
        <v/>
      </c>
      <c r="FL44" s="76" t="str">
        <f aca="false">IF($I44&gt;0%,IF(AND(FL$16&gt;=$F44,FL$16&lt;$F44+($G44*$I44)),"➤",""),"")</f>
        <v/>
      </c>
      <c r="FM44" s="76" t="str">
        <f aca="false">IF($I44&gt;0%,IF(AND(FM$16&gt;=$F44,FM$16&lt;$F44+($G44*$I44)),"➤",""),"")</f>
        <v/>
      </c>
      <c r="FN44" s="76" t="str">
        <f aca="false">IF($I44&gt;0%,IF(AND(FN$16&gt;=$F44,FN$16&lt;$F44+($G44*$I44)),"➤",""),"")</f>
        <v/>
      </c>
      <c r="FO44" s="76" t="str">
        <f aca="false">IF($I44&gt;0%,IF(AND(FO$16&gt;=$F44,FO$16&lt;$F44+($G44*$I44)),"➤",""),"")</f>
        <v/>
      </c>
      <c r="FP44" s="76" t="str">
        <f aca="false">IF($I44&gt;0%,IF(AND(FP$16&gt;=$F44,FP$16&lt;$F44+($G44*$I44)),"➤",""),"")</f>
        <v/>
      </c>
      <c r="FQ44" s="76" t="str">
        <f aca="false">IF($I44&gt;0%,IF(AND(FQ$16&gt;=$F44,FQ$16&lt;$F44+($G44*$I44)),"➤",""),"")</f>
        <v/>
      </c>
      <c r="FR44" s="76" t="str">
        <f aca="false">IF($I44&gt;0%,IF(AND(FR$16&gt;=$F44,FR$16&lt;$F44+($G44*$I44)),"➤",""),"")</f>
        <v/>
      </c>
      <c r="FS44" s="76" t="str">
        <f aca="false">IF($I44&gt;0%,IF(AND(FS$16&gt;=$F44,FS$16&lt;$F44+($G44*$I44)),"➤",""),"")</f>
        <v/>
      </c>
      <c r="FT44" s="76" t="str">
        <f aca="false">IF($I44&gt;0%,IF(AND(FT$16&gt;=$F44,FT$16&lt;$F44+($G44*$I44)),"➤",""),"")</f>
        <v/>
      </c>
      <c r="FU44" s="76" t="str">
        <f aca="false">IF($I44&gt;0%,IF(AND(FU$16&gt;=$F44,FU$16&lt;$F44+($G44*$I44)),"➤",""),"")</f>
        <v/>
      </c>
      <c r="FV44" s="76" t="str">
        <f aca="false">IF($I44&gt;0%,IF(AND(FV$16&gt;=$F44,FV$16&lt;$F44+($G44*$I44)),"➤",""),"")</f>
        <v/>
      </c>
      <c r="FW44" s="76" t="str">
        <f aca="false">IF($I44&gt;0%,IF(AND(FW$16&gt;=$F44,FW$16&lt;$F44+($G44*$I44)),"➤",""),"")</f>
        <v/>
      </c>
      <c r="FX44" s="76" t="str">
        <f aca="false">IF($I44&gt;0%,IF(AND(FX$16&gt;=$F44,FX$16&lt;$F44+($G44*$I44)),"➤",""),"")</f>
        <v/>
      </c>
      <c r="FY44" s="76" t="str">
        <f aca="false">IF($I44&gt;0%,IF(AND(FY$16&gt;=$F44,FY$16&lt;$F44+($G44*$I44)),"➤",""),"")</f>
        <v/>
      </c>
      <c r="FZ44" s="76" t="str">
        <f aca="false">IF($I44&gt;0%,IF(AND(FZ$16&gt;=$F44,FZ$16&lt;$F44+($G44*$I44)),"➤",""),"")</f>
        <v/>
      </c>
      <c r="GA44" s="76" t="str">
        <f aca="false">IF($I44&gt;0%,IF(AND(GA$16&gt;=$F44,GA$16&lt;$F44+($G44*$I44)),"➤",""),"")</f>
        <v/>
      </c>
      <c r="GB44" s="76" t="str">
        <f aca="false">IF($I44&gt;0%,IF(AND(GB$16&gt;=$F44,GB$16&lt;$F44+($G44*$I44)),"➤",""),"")</f>
        <v/>
      </c>
      <c r="GC44" s="76" t="str">
        <f aca="false">IF($I44&gt;0%,IF(AND(GC$16&gt;=$F44,GC$16&lt;$F44+($G44*$I44)),"➤",""),"")</f>
        <v/>
      </c>
      <c r="GD44" s="76" t="str">
        <f aca="false">IF($I44&gt;0%,IF(AND(GD$16&gt;=$F44,GD$16&lt;$F44+($G44*$I44)),"➤",""),"")</f>
        <v/>
      </c>
      <c r="GE44" s="76" t="str">
        <f aca="false">IF($I44&gt;0%,IF(AND(GE$16&gt;=$F44,GE$16&lt;$F44+($G44*$I44)),"➤",""),"")</f>
        <v/>
      </c>
      <c r="GF44" s="76" t="str">
        <f aca="false">IF($I44&gt;0%,IF(AND(GF$16&gt;=$F44,GF$16&lt;$F44+($G44*$I44)),"➤",""),"")</f>
        <v/>
      </c>
      <c r="GG44" s="76" t="str">
        <f aca="false">IF($I44&gt;0%,IF(AND(GG$16&gt;=$F44,GG$16&lt;$F44+($G44*$I44)),"➤",""),"")</f>
        <v/>
      </c>
      <c r="GH44" s="76" t="str">
        <f aca="false">IF($I44&gt;0%,IF(AND(GH$16&gt;=$F44,GH$16&lt;$F44+($G44*$I44)),"➤",""),"")</f>
        <v/>
      </c>
      <c r="GI44" s="76" t="str">
        <f aca="false">IF($I44&gt;0%,IF(AND(GI$16&gt;=$F44,GI$16&lt;$F44+($G44*$I44)),"➤",""),"")</f>
        <v/>
      </c>
      <c r="GJ44" s="76" t="str">
        <f aca="false">IF($I44&gt;0%,IF(AND(GJ$16&gt;=$F44,GJ$16&lt;$F44+($G44*$I44)),"➤",""),"")</f>
        <v/>
      </c>
      <c r="GK44" s="76" t="str">
        <f aca="false">IF($I44&gt;0%,IF(AND(GK$16&gt;=$F44,GK$16&lt;$F44+($G44*$I44)),"➤",""),"")</f>
        <v/>
      </c>
      <c r="GL44" s="76" t="str">
        <f aca="false">IF($I44&gt;0%,IF(AND(GL$16&gt;=$F44,GL$16&lt;$F44+($G44*$I44)),"➤",""),"")</f>
        <v/>
      </c>
      <c r="GM44" s="76" t="str">
        <f aca="false">IF($I44&gt;0%,IF(AND(GM$16&gt;=$F44,GM$16&lt;$F44+($G44*$I44)),"➤",""),"")</f>
        <v/>
      </c>
      <c r="GN44" s="76" t="str">
        <f aca="false">IF($I44&gt;0%,IF(AND(GN$16&gt;=$F44,GN$16&lt;$F44+($G44*$I44)),"➤",""),"")</f>
        <v/>
      </c>
      <c r="GO44" s="76" t="str">
        <f aca="false">IF($I44&gt;0%,IF(AND(GO$16&gt;=$F44,GO$16&lt;$F44+($G44*$I44)),"➤",""),"")</f>
        <v/>
      </c>
      <c r="GP44" s="76" t="str">
        <f aca="false">IF($I44&gt;0%,IF(AND(GP$16&gt;=$F44,GP$16&lt;$F44+($G44*$I44)),"➤",""),"")</f>
        <v/>
      </c>
      <c r="GQ44" s="76" t="str">
        <f aca="false">IF($I44&gt;0%,IF(AND(GQ$16&gt;=$F44,GQ$16&lt;$F44+($G44*$I44)),"➤",""),"")</f>
        <v/>
      </c>
      <c r="GR44" s="76" t="str">
        <f aca="false">IF($I44&gt;0%,IF(AND(GR$16&gt;=$F44,GR$16&lt;$F44+($G44*$I44)),"➤",""),"")</f>
        <v/>
      </c>
      <c r="GS44" s="76" t="str">
        <f aca="false">IF($I44&gt;0%,IF(AND(GS$16&gt;=$F44,GS$16&lt;$F44+($G44*$I44)),"➤",""),"")</f>
        <v/>
      </c>
      <c r="GT44" s="76" t="str">
        <f aca="false">IF($I44&gt;0%,IF(AND(GT$16&gt;=$F44,GT$16&lt;$F44+($G44*$I44)),"➤",""),"")</f>
        <v/>
      </c>
      <c r="GU44" s="76" t="str">
        <f aca="false">IF($I44&gt;0%,IF(AND(GU$16&gt;=$F44,GU$16&lt;$F44+($G44*$I44)),"➤",""),"")</f>
        <v/>
      </c>
      <c r="GV44" s="76" t="str">
        <f aca="false">IF($I44&gt;0%,IF(AND(GV$16&gt;=$F44,GV$16&lt;$F44+($G44*$I44)),"➤",""),"")</f>
        <v/>
      </c>
      <c r="GW44" s="76" t="str">
        <f aca="false">IF($I44&gt;0%,IF(AND(GW$16&gt;=$F44,GW$16&lt;$F44+($G44*$I44)),"➤",""),"")</f>
        <v/>
      </c>
      <c r="GX44" s="76" t="str">
        <f aca="false">IF($I44&gt;0%,IF(AND(GX$16&gt;=$F44,GX$16&lt;$F44+($G44*$I44)),"➤",""),"")</f>
        <v/>
      </c>
      <c r="GY44" s="76" t="str">
        <f aca="false">IF($I44&gt;0%,IF(AND(GY$16&gt;=$F44,GY$16&lt;$F44+($G44*$I44)),"➤",""),"")</f>
        <v/>
      </c>
      <c r="GZ44" s="76" t="str">
        <f aca="false">IF($I44&gt;0%,IF(AND(GZ$16&gt;=$F44,GZ$16&lt;$F44+($G44*$I44)),"➤",""),"")</f>
        <v/>
      </c>
      <c r="HA44" s="76" t="str">
        <f aca="false">IF($I44&gt;0%,IF(AND(HA$16&gt;=$F44,HA$16&lt;$F44+($G44*$I44)),"➤",""),"")</f>
        <v/>
      </c>
      <c r="HB44" s="76" t="str">
        <f aca="false">IF($I44&gt;0%,IF(AND(HB$16&gt;=$F44,HB$16&lt;$F44+($G44*$I44)),"➤",""),"")</f>
        <v/>
      </c>
      <c r="HC44" s="76" t="str">
        <f aca="false">IF($I44&gt;0%,IF(AND(HC$16&gt;=$F44,HC$16&lt;$F44+($G44*$I44)),"➤",""),"")</f>
        <v/>
      </c>
      <c r="HD44" s="76" t="str">
        <f aca="false">IF($I44&gt;0%,IF(AND(HD$16&gt;=$F44,HD$16&lt;$F44+($G44*$I44)),"➤",""),"")</f>
        <v/>
      </c>
      <c r="HE44" s="76" t="str">
        <f aca="false">IF($I44&gt;0%,IF(AND(HE$16&gt;=$F44,HE$16&lt;$F44+($G44*$I44)),"➤",""),"")</f>
        <v/>
      </c>
      <c r="HF44" s="76" t="str">
        <f aca="false">IF($I44&gt;0%,IF(AND(HF$16&gt;=$F44,HF$16&lt;$F44+($G44*$I44)),"➤",""),"")</f>
        <v/>
      </c>
      <c r="HG44" s="76" t="str">
        <f aca="false">IF($I44&gt;0%,IF(AND(HG$16&gt;=$F44,HG$16&lt;$F44+($G44*$I44)),"➤",""),"")</f>
        <v/>
      </c>
      <c r="HH44" s="76" t="str">
        <f aca="false">IF($I44&gt;0%,IF(AND(HH$16&gt;=$F44,HH$16&lt;$F44+($G44*$I44)),"➤",""),"")</f>
        <v/>
      </c>
      <c r="HI44" s="76" t="str">
        <f aca="false">IF($I44&gt;0%,IF(AND(HI$16&gt;=$F44,HI$16&lt;$F44+($G44*$I44)),"➤",""),"")</f>
        <v/>
      </c>
      <c r="HJ44" s="76" t="str">
        <f aca="false">IF($I44&gt;0%,IF(AND(HJ$16&gt;=$F44,HJ$16&lt;$F44+($G44*$I44)),"➤",""),"")</f>
        <v/>
      </c>
      <c r="HK44" s="76" t="str">
        <f aca="false">IF($I44&gt;0%,IF(AND(HK$16&gt;=$F44,HK$16&lt;$F44+($G44*$I44)),"➤",""),"")</f>
        <v/>
      </c>
      <c r="HL44" s="76" t="str">
        <f aca="false">IF($I44&gt;0%,IF(AND(HL$16&gt;=$F44,HL$16&lt;$F44+($G44*$I44)),"➤",""),"")</f>
        <v/>
      </c>
      <c r="HM44" s="76" t="str">
        <f aca="false">IF($I44&gt;0%,IF(AND(HM$16&gt;=$F44,HM$16&lt;$F44+($G44*$I44)),"➤",""),"")</f>
        <v/>
      </c>
      <c r="HN44" s="76" t="str">
        <f aca="false">IF($I44&gt;0%,IF(AND(HN$16&gt;=$F44,HN$16&lt;$F44+($G44*$I44)),"➤",""),"")</f>
        <v/>
      </c>
      <c r="HO44" s="76" t="str">
        <f aca="false">IF($I44&gt;0%,IF(AND(HO$16&gt;=$F44,HO$16&lt;$F44+($G44*$I44)),"➤",""),"")</f>
        <v/>
      </c>
      <c r="HP44" s="76" t="str">
        <f aca="false">IF($I44&gt;0%,IF(AND(HP$16&gt;=$F44,HP$16&lt;$F44+($G44*$I44)),"➤",""),"")</f>
        <v/>
      </c>
      <c r="HQ44" s="76" t="str">
        <f aca="false">IF($I44&gt;0%,IF(AND(HQ$16&gt;=$F44,HQ$16&lt;$F44+($G44*$I44)),"➤",""),"")</f>
        <v/>
      </c>
      <c r="HR44" s="76" t="str">
        <f aca="false">IF($I44&gt;0%,IF(AND(HR$16&gt;=$F44,HR$16&lt;$F44+($G44*$I44)),"➤",""),"")</f>
        <v/>
      </c>
      <c r="HS44" s="76" t="str">
        <f aca="false">IF($I44&gt;0%,IF(AND(HS$16&gt;=$F44,HS$16&lt;$F44+($G44*$I44)),"➤",""),"")</f>
        <v/>
      </c>
      <c r="HT44" s="76" t="str">
        <f aca="false">IF($I44&gt;0%,IF(AND(HT$16&gt;=$F44,HT$16&lt;$F44+($G44*$I44)),"➤",""),"")</f>
        <v/>
      </c>
      <c r="HU44" s="76" t="str">
        <f aca="false">IF($I44&gt;0%,IF(AND(HU$16&gt;=$F44,HU$16&lt;$F44+($G44*$I44)),"➤",""),"")</f>
        <v/>
      </c>
      <c r="HV44" s="76" t="str">
        <f aca="false">IF($I44&gt;0%,IF(AND(HV$16&gt;=$F44,HV$16&lt;$F44+($G44*$I44)),"➤",""),"")</f>
        <v/>
      </c>
      <c r="HW44" s="76" t="str">
        <f aca="false">IF($I44&gt;0%,IF(AND(HW$16&gt;=$F44,HW$16&lt;$F44+($G44*$I44)),"➤",""),"")</f>
        <v/>
      </c>
      <c r="HX44" s="76" t="str">
        <f aca="false">IF($I44&gt;0%,IF(AND(HX$16&gt;=$F44,HX$16&lt;$F44+($G44*$I44)),"➤",""),"")</f>
        <v/>
      </c>
      <c r="HY44" s="76" t="str">
        <f aca="false">IF($I44&gt;0%,IF(AND(HY$16&gt;=$F44,HY$16&lt;$F44+($G44*$I44)),"➤",""),"")</f>
        <v/>
      </c>
      <c r="HZ44" s="76" t="str">
        <f aca="false">IF($I44&gt;0%,IF(AND(HZ$16&gt;=$F44,HZ$16&lt;$F44+($G44*$I44)),"➤",""),"")</f>
        <v/>
      </c>
      <c r="IA44" s="76" t="str">
        <f aca="false">IF($I44&gt;0%,IF(AND(IA$16&gt;=$F44,IA$16&lt;$F44+($G44*$I44)),"➤",""),"")</f>
        <v/>
      </c>
      <c r="IB44" s="76" t="str">
        <f aca="false">IF($I44&gt;0%,IF(AND(IB$16&gt;=$F44,IB$16&lt;$F44+($G44*$I44)),"➤",""),"")</f>
        <v/>
      </c>
      <c r="IC44" s="76" t="str">
        <f aca="false">IF($I44&gt;0%,IF(AND(IC$16&gt;=$F44,IC$16&lt;$F44+($G44*$I44)),"➤",""),"")</f>
        <v/>
      </c>
      <c r="ID44" s="76" t="str">
        <f aca="false">IF($I44&gt;0%,IF(AND(ID$16&gt;=$F44,ID$16&lt;$F44+($G44*$I44)),"➤",""),"")</f>
        <v/>
      </c>
      <c r="IE44" s="76" t="str">
        <f aca="false">IF($I44&gt;0%,IF(AND(IE$16&gt;=$F44,IE$16&lt;$F44+($G44*$I44)),"➤",""),"")</f>
        <v/>
      </c>
      <c r="IF44" s="76" t="str">
        <f aca="false">IF($I44&gt;0%,IF(AND(IF$16&gt;=$F44,IF$16&lt;$F44+($G44*$I44)),"➤",""),"")</f>
        <v/>
      </c>
      <c r="IG44" s="76" t="str">
        <f aca="false">IF($I44&gt;0%,IF(AND(IG$16&gt;=$F44,IG$16&lt;$F44+($G44*$I44)),"➤",""),"")</f>
        <v/>
      </c>
      <c r="IH44" s="76" t="str">
        <f aca="false">IF($I44&gt;0%,IF(AND(IH$16&gt;=$F44,IH$16&lt;$F44+($G44*$I44)),"➤",""),"")</f>
        <v/>
      </c>
      <c r="II44" s="76" t="str">
        <f aca="false">IF($I44&gt;0%,IF(AND(II$16&gt;=$F44,II$16&lt;$F44+($G44*$I44)),"➤",""),"")</f>
        <v/>
      </c>
      <c r="IJ44" s="76" t="str">
        <f aca="false">IF($I44&gt;0%,IF(AND(IJ$16&gt;=$F44,IJ$16&lt;$F44+($G44*$I44)),"➤",""),"")</f>
        <v/>
      </c>
      <c r="IK44" s="76" t="str">
        <f aca="false">IF($I44&gt;0%,IF(AND(IK$16&gt;=$F44,IK$16&lt;$F44+($G44*$I44)),"➤",""),"")</f>
        <v/>
      </c>
      <c r="IL44" s="76" t="str">
        <f aca="false">IF($I44&gt;0%,IF(AND(IL$16&gt;=$F44,IL$16&lt;$F44+($G44*$I44)),"➤",""),"")</f>
        <v/>
      </c>
      <c r="IM44" s="76" t="str">
        <f aca="false">IF($I44&gt;0%,IF(AND(IM$16&gt;=$F44,IM$16&lt;$F44+($G44*$I44)),"➤",""),"")</f>
        <v/>
      </c>
      <c r="IN44" s="76" t="str">
        <f aca="false">IF($I44&gt;0%,IF(AND(IN$16&gt;=$F44,IN$16&lt;$F44+($G44*$I44)),"➤",""),"")</f>
        <v/>
      </c>
      <c r="IO44" s="76" t="str">
        <f aca="false">IF($I44&gt;0%,IF(AND(IO$16&gt;=$F44,IO$16&lt;$F44+($G44*$I44)),"➤",""),"")</f>
        <v/>
      </c>
      <c r="IP44" s="76" t="str">
        <f aca="false">IF($I44&gt;0%,IF(AND(IP$16&gt;=$F44,IP$16&lt;$F44+($G44*$I44)),"➤",""),"")</f>
        <v/>
      </c>
      <c r="IQ44" s="76" t="str">
        <f aca="false">IF($I44&gt;0%,IF(AND(IQ$16&gt;=$F44,IQ$16&lt;$F44+($G44*$I44)),"➤",""),"")</f>
        <v/>
      </c>
      <c r="IR44" s="76" t="str">
        <f aca="false">IF($I44&gt;0%,IF(AND(IR$16&gt;=$F44,IR$16&lt;$F44+($G44*$I44)),"➤",""),"")</f>
        <v/>
      </c>
      <c r="IS44" s="76" t="str">
        <f aca="false">IF($I44&gt;0%,IF(AND(IS$16&gt;=$F44,IS$16&lt;$F44+($G44*$I44)),"➤",""),"")</f>
        <v/>
      </c>
      <c r="IT44" s="76" t="str">
        <f aca="false">IF($I44&gt;0%,IF(AND(IT$16&gt;=$F44,IT$16&lt;$F44+($G44*$I44)),"➤",""),"")</f>
        <v/>
      </c>
      <c r="IU44" s="76" t="str">
        <f aca="false">IF($I44&gt;0%,IF(AND(IU$16&gt;=$F44,IU$16&lt;$F44+($G44*$I44)),"➤",""),"")</f>
        <v/>
      </c>
      <c r="IV44" s="76" t="str">
        <f aca="false">IF($I44&gt;0%,IF(AND(IV$16&gt;=$F44,IV$16&lt;$F44+($G44*$I44)),"➤",""),"")</f>
        <v/>
      </c>
      <c r="IW44" s="76" t="str">
        <f aca="false">IF($I44&gt;0%,IF(AND(IW$16&gt;=$F44,IW$16&lt;$F44+($G44*$I44)),"➤",""),"")</f>
        <v/>
      </c>
      <c r="IX44" s="76" t="str">
        <f aca="false">IF($I44&gt;0%,IF(AND(IX$16&gt;=$F44,IX$16&lt;$F44+($G44*$I44)),"➤",""),"")</f>
        <v/>
      </c>
      <c r="IY44" s="76" t="str">
        <f aca="false">IF($I44&gt;0%,IF(AND(IY$16&gt;=$F44,IY$16&lt;$F44+($G44*$I44)),"➤",""),"")</f>
        <v/>
      </c>
      <c r="IZ44" s="76" t="str">
        <f aca="false">IF($I44&gt;0%,IF(AND(IZ$16&gt;=$F44,IZ$16&lt;$F44+($G44*$I44)),"➤",""),"")</f>
        <v/>
      </c>
      <c r="JA44" s="76" t="str">
        <f aca="false">IF($I44&gt;0%,IF(AND(JA$16&gt;=$F44,JA$16&lt;$F44+($G44*$I44)),"➤",""),"")</f>
        <v/>
      </c>
      <c r="JB44" s="76" t="str">
        <f aca="false">IF($I44&gt;0%,IF(AND(JB$16&gt;=$F44,JB$16&lt;$F44+($G44*$I44)),"➤",""),"")</f>
        <v/>
      </c>
      <c r="JC44" s="76" t="str">
        <f aca="false">IF($I44&gt;0%,IF(AND(JC$16&gt;=$F44,JC$16&lt;$F44+($G44*$I44)),"➤",""),"")</f>
        <v/>
      </c>
      <c r="JD44" s="76" t="str">
        <f aca="false">IF($I44&gt;0%,IF(AND(JD$16&gt;=$F44,JD$16&lt;$F44+($G44*$I44)),"➤",""),"")</f>
        <v/>
      </c>
      <c r="JE44" s="76" t="str">
        <f aca="false">IF($I44&gt;0%,IF(AND(JE$16&gt;=$F44,JE$16&lt;$F44+($G44*$I44)),"➤",""),"")</f>
        <v/>
      </c>
      <c r="JF44" s="76" t="str">
        <f aca="false">IF($I44&gt;0%,IF(AND(JF$16&gt;=$F44,JF$16&lt;$F44+($G44*$I44)),"➤",""),"")</f>
        <v/>
      </c>
      <c r="JG44" s="76" t="str">
        <f aca="false">IF($I44&gt;0%,IF(AND(JG$16&gt;=$F44,JG$16&lt;$F44+($G44*$I44)),"➤",""),"")</f>
        <v/>
      </c>
      <c r="JH44" s="76" t="str">
        <f aca="false">IF($I44&gt;0%,IF(AND(JH$16&gt;=$F44,JH$16&lt;$F44+($G44*$I44)),"➤",""),"")</f>
        <v/>
      </c>
      <c r="JI44" s="76" t="str">
        <f aca="false">IF($I44&gt;0%,IF(AND(JI$16&gt;=$F44,JI$16&lt;$F44+($G44*$I44)),"➤",""),"")</f>
        <v/>
      </c>
      <c r="JJ44" s="76" t="str">
        <f aca="false">IF($I44&gt;0%,IF(AND(JJ$16&gt;=$F44,JJ$16&lt;$F44+($G44*$I44)),"➤",""),"")</f>
        <v/>
      </c>
      <c r="JK44" s="76" t="str">
        <f aca="false">IF($I44&gt;0%,IF(AND(JK$16&gt;=$F44,JK$16&lt;$F44+($G44*$I44)),"➤",""),"")</f>
        <v/>
      </c>
      <c r="JL44" s="76" t="str">
        <f aca="false">IF($I44&gt;0%,IF(AND(JL$16&gt;=$F44,JL$16&lt;$F44+($G44*$I44)),"➤",""),"")</f>
        <v/>
      </c>
      <c r="JM44" s="76" t="str">
        <f aca="false">IF($I44&gt;0%,IF(AND(JM$16&gt;=$F44,JM$16&lt;$F44+($G44*$I44)),"➤",""),"")</f>
        <v/>
      </c>
      <c r="JN44" s="76" t="str">
        <f aca="false">IF($I44&gt;0%,IF(AND(JN$16&gt;=$F44,JN$16&lt;$F44+($G44*$I44)),"➤",""),"")</f>
        <v/>
      </c>
      <c r="JO44" s="76" t="str">
        <f aca="false">IF($I44&gt;0%,IF(AND(JO$16&gt;=$F44,JO$16&lt;$F44+($G44*$I44)),"➤",""),"")</f>
        <v/>
      </c>
      <c r="JP44" s="76" t="str">
        <f aca="false">IF($I44&gt;0%,IF(AND(JP$16&gt;=$F44,JP$16&lt;$F44+($G44*$I44)),"➤",""),"")</f>
        <v/>
      </c>
      <c r="JQ44" s="76" t="str">
        <f aca="false">IF($I44&gt;0%,IF(AND(JQ$16&gt;=$F44,JQ$16&lt;$F44+($G44*$I44)),"➤",""),"")</f>
        <v/>
      </c>
      <c r="JR44" s="76" t="str">
        <f aca="false">IF($I44&gt;0%,IF(AND(JR$16&gt;=$F44,JR$16&lt;$F44+($G44*$I44)),"➤",""),"")</f>
        <v/>
      </c>
      <c r="JS44" s="76" t="str">
        <f aca="false">IF($I44&gt;0%,IF(AND(JS$16&gt;=$F44,JS$16&lt;$F44+($G44*$I44)),"➤",""),"")</f>
        <v/>
      </c>
      <c r="JT44" s="76" t="str">
        <f aca="false">IF($I44&gt;0%,IF(AND(JT$16&gt;=$F44,JT$16&lt;$F44+($G44*$I44)),"➤",""),"")</f>
        <v/>
      </c>
      <c r="JU44" s="76" t="str">
        <f aca="false">IF($I44&gt;0%,IF(AND(JU$16&gt;=$F44,JU$16&lt;$F44+($G44*$I44)),"➤",""),"")</f>
        <v/>
      </c>
      <c r="JV44" s="76" t="str">
        <f aca="false">IF($I44&gt;0%,IF(AND(JV$16&gt;=$F44,JV$16&lt;$F44+($G44*$I44)),"➤",""),"")</f>
        <v/>
      </c>
      <c r="JW44" s="76" t="str">
        <f aca="false">IF($I44&gt;0%,IF(AND(JW$16&gt;=$F44,JW$16&lt;$F44+($G44*$I44)),"➤",""),"")</f>
        <v/>
      </c>
      <c r="JX44" s="76" t="str">
        <f aca="false">IF($I44&gt;0%,IF(AND(JX$16&gt;=$F44,JX$16&lt;$F44+($G44*$I44)),"➤",""),"")</f>
        <v/>
      </c>
      <c r="JY44" s="76" t="str">
        <f aca="false">IF($I44&gt;0%,IF(AND(JY$16&gt;=$F44,JY$16&lt;$F44+($G44*$I44)),"➤",""),"")</f>
        <v/>
      </c>
      <c r="JZ44" s="76" t="str">
        <f aca="false">IF($I44&gt;0%,IF(AND(JZ$16&gt;=$F44,JZ$16&lt;$F44+($G44*$I44)),"➤",""),"")</f>
        <v/>
      </c>
      <c r="KA44" s="76" t="str">
        <f aca="false">IF($I44&gt;0%,IF(AND(KA$16&gt;=$F44,KA$16&lt;$F44+($G44*$I44)),"➤",""),"")</f>
        <v/>
      </c>
      <c r="KB44" s="76" t="str">
        <f aca="false">IF($I44&gt;0%,IF(AND(KB$16&gt;=$F44,KB$16&lt;$F44+($G44*$I44)),"➤",""),"")</f>
        <v/>
      </c>
      <c r="KC44" s="76" t="str">
        <f aca="false">IF($I44&gt;0%,IF(AND(KC$16&gt;=$F44,KC$16&lt;$F44+($G44*$I44)),"➤",""),"")</f>
        <v/>
      </c>
      <c r="KD44" s="76" t="str">
        <f aca="false">IF($I44&gt;0%,IF(AND(KD$16&gt;=$F44,KD$16&lt;$F44+($G44*$I44)),"➤",""),"")</f>
        <v/>
      </c>
      <c r="KE44" s="76" t="str">
        <f aca="false">IF($I44&gt;0%,IF(AND(KE$16&gt;=$F44,KE$16&lt;$F44+($G44*$I44)),"➤",""),"")</f>
        <v/>
      </c>
      <c r="KF44" s="76" t="str">
        <f aca="false">IF($I44&gt;0%,IF(AND(KF$16&gt;=$F44,KF$16&lt;$F44+($G44*$I44)),"➤",""),"")</f>
        <v/>
      </c>
      <c r="KG44" s="76" t="str">
        <f aca="false">IF($I44&gt;0%,IF(AND(KG$16&gt;=$F44,KG$16&lt;$F44+($G44*$I44)),"➤",""),"")</f>
        <v/>
      </c>
      <c r="KH44" s="76" t="str">
        <f aca="false">IF($I44&gt;0%,IF(AND(KH$16&gt;=$F44,KH$16&lt;$F44+($G44*$I44)),"➤",""),"")</f>
        <v/>
      </c>
      <c r="KI44" s="76" t="str">
        <f aca="false">IF($I44&gt;0%,IF(AND(KI$16&gt;=$F44,KI$16&lt;$F44+($G44*$I44)),"➤",""),"")</f>
        <v/>
      </c>
      <c r="KJ44" s="76" t="str">
        <f aca="false">IF($I44&gt;0%,IF(AND(KJ$16&gt;=$F44,KJ$16&lt;$F44+($G44*$I44)),"➤",""),"")</f>
        <v/>
      </c>
      <c r="KK44" s="76" t="str">
        <f aca="false">IF($I44&gt;0%,IF(AND(KK$16&gt;=$F44,KK$16&lt;$F44+($G44*$I44)),"➤",""),"")</f>
        <v/>
      </c>
      <c r="KL44" s="76" t="str">
        <f aca="false">IF($I44&gt;0%,IF(AND(KL$16&gt;=$F44,KL$16&lt;$F44+($G44*$I44)),"➤",""),"")</f>
        <v/>
      </c>
      <c r="KM44" s="76" t="str">
        <f aca="false">IF($I44&gt;0%,IF(AND(KM$16&gt;=$F44,KM$16&lt;$F44+($G44*$I44)),"➤",""),"")</f>
        <v/>
      </c>
      <c r="KN44" s="76" t="str">
        <f aca="false">IF($I44&gt;0%,IF(AND(KN$16&gt;=$F44,KN$16&lt;$F44+($G44*$I44)),"➤",""),"")</f>
        <v/>
      </c>
      <c r="KO44" s="76" t="str">
        <f aca="false">IF($I44&gt;0%,IF(AND(KO$16&gt;=$F44,KO$16&lt;$F44+($G44*$I44)),"➤",""),"")</f>
        <v/>
      </c>
      <c r="KP44" s="76" t="str">
        <f aca="false">IF($I44&gt;0%,IF(AND(KP$16&gt;=$F44,KP$16&lt;$F44+($G44*$I44)),"➤",""),"")</f>
        <v/>
      </c>
      <c r="KQ44" s="76" t="str">
        <f aca="false">IF($I44&gt;0%,IF(AND(KQ$16&gt;=$F44,KQ$16&lt;$F44+($G44*$I44)),"➤",""),"")</f>
        <v/>
      </c>
      <c r="KR44" s="76" t="str">
        <f aca="false">IF($I44&gt;0%,IF(AND(KR$16&gt;=$F44,KR$16&lt;$F44+($G44*$I44)),"➤",""),"")</f>
        <v/>
      </c>
      <c r="KS44" s="76" t="str">
        <f aca="false">IF($I44&gt;0%,IF(AND(KS$16&gt;=$F44,KS$16&lt;$F44+($G44*$I44)),"➤",""),"")</f>
        <v/>
      </c>
      <c r="KT44" s="76" t="str">
        <f aca="false">IF($I44&gt;0%,IF(AND(KT$16&gt;=$F44,KT$16&lt;$F44+($G44*$I44)),"➤",""),"")</f>
        <v/>
      </c>
      <c r="KU44" s="76" t="str">
        <f aca="false">IF($I44&gt;0%,IF(AND(KU$16&gt;=$F44,KU$16&lt;$F44+($G44*$I44)),"➤",""),"")</f>
        <v/>
      </c>
      <c r="KV44" s="76" t="str">
        <f aca="false">IF($I44&gt;0%,IF(AND(KV$16&gt;=$F44,KV$16&lt;$F44+($G44*$I44)),"➤",""),"")</f>
        <v/>
      </c>
      <c r="KW44" s="76" t="str">
        <f aca="false">IF($I44&gt;0%,IF(AND(KW$16&gt;=$F44,KW$16&lt;$F44+($G44*$I44)),"➤",""),"")</f>
        <v/>
      </c>
      <c r="KX44" s="76" t="str">
        <f aca="false">IF($I44&gt;0%,IF(AND(KX$16&gt;=$F44,KX$16&lt;$F44+($G44*$I44)),"➤",""),"")</f>
        <v/>
      </c>
      <c r="KY44" s="76" t="str">
        <f aca="false">IF($I44&gt;0%,IF(AND(KY$16&gt;=$F44,KY$16&lt;$F44+($G44*$I44)),"➤",""),"")</f>
        <v/>
      </c>
      <c r="KZ44" s="76" t="str">
        <f aca="false">IF($I44&gt;0%,IF(AND(KZ$16&gt;=$F44,KZ$16&lt;$F44+($G44*$I44)),"➤",""),"")</f>
        <v/>
      </c>
      <c r="LA44" s="76" t="str">
        <f aca="false">IF($I44&gt;0%,IF(AND(LA$16&gt;=$F44,LA$16&lt;$F44+($G44*$I44)),"➤",""),"")</f>
        <v/>
      </c>
      <c r="LB44" s="76" t="str">
        <f aca="false">IF($I44&gt;0%,IF(AND(LB$16&gt;=$F44,LB$16&lt;$F44+($G44*$I44)),"➤",""),"")</f>
        <v/>
      </c>
      <c r="LC44" s="76" t="str">
        <f aca="false">IF($I44&gt;0%,IF(AND(LC$16&gt;=$F44,LC$16&lt;$F44+($G44*$I44)),"➤",""),"")</f>
        <v/>
      </c>
      <c r="LD44" s="76" t="str">
        <f aca="false">IF($I44&gt;0%,IF(AND(LD$16&gt;=$F44,LD$16&lt;$F44+($G44*$I44)),"➤",""),"")</f>
        <v/>
      </c>
      <c r="LE44" s="76" t="str">
        <f aca="false">IF($I44&gt;0%,IF(AND(LE$16&gt;=$F44,LE$16&lt;$F44+($G44*$I44)),"➤",""),"")</f>
        <v/>
      </c>
      <c r="LF44" s="76" t="str">
        <f aca="false">IF($I44&gt;0%,IF(AND(LF$16&gt;=$F44,LF$16&lt;$F44+($G44*$I44)),"➤",""),"")</f>
        <v/>
      </c>
      <c r="LG44" s="76" t="str">
        <f aca="false">IF($I44&gt;0%,IF(AND(LG$16&gt;=$F44,LG$16&lt;$F44+($G44*$I44)),"➤",""),"")</f>
        <v/>
      </c>
      <c r="LH44" s="76" t="str">
        <f aca="false">IF($I44&gt;0%,IF(AND(LH$16&gt;=$F44,LH$16&lt;$F44+($G44*$I44)),"➤",""),"")</f>
        <v/>
      </c>
      <c r="LI44" s="76" t="str">
        <f aca="false">IF($I44&gt;0%,IF(AND(LI$16&gt;=$F44,LI$16&lt;$F44+($G44*$I44)),"➤",""),"")</f>
        <v/>
      </c>
      <c r="LJ44" s="76" t="str">
        <f aca="false">IF($I44&gt;0%,IF(AND(LJ$16&gt;=$F44,LJ$16&lt;$F44+($G44*$I44)),"➤",""),"")</f>
        <v/>
      </c>
      <c r="LK44" s="76" t="str">
        <f aca="false">IF($I44&gt;0%,IF(AND(LK$16&gt;=$F44,LK$16&lt;$F44+($G44*$I44)),"➤",""),"")</f>
        <v/>
      </c>
      <c r="LL44" s="76" t="str">
        <f aca="false">IF($I44&gt;0%,IF(AND(LL$16&gt;=$F44,LL$16&lt;$F44+($G44*$I44)),"➤",""),"")</f>
        <v/>
      </c>
      <c r="LM44" s="76" t="str">
        <f aca="false">IF($I44&gt;0%,IF(AND(LM$16&gt;=$F44,LM$16&lt;$F44+($G44*$I44)),"➤",""),"")</f>
        <v/>
      </c>
      <c r="LN44" s="76" t="str">
        <f aca="false">IF($I44&gt;0%,IF(AND(LN$16&gt;=$F44,LN$16&lt;$F44+($G44*$I44)),"➤",""),"")</f>
        <v/>
      </c>
      <c r="LO44" s="76" t="str">
        <f aca="false">IF($I44&gt;0%,IF(AND(LO$16&gt;=$F44,LO$16&lt;$F44+($G44*$I44)),"➤",""),"")</f>
        <v/>
      </c>
      <c r="LP44" s="76" t="str">
        <f aca="false">IF($I44&gt;0%,IF(AND(LP$16&gt;=$F44,LP$16&lt;$F44+($G44*$I44)),"➤",""),"")</f>
        <v/>
      </c>
      <c r="LQ44" s="76" t="str">
        <f aca="false">IF($I44&gt;0%,IF(AND(LQ$16&gt;=$F44,LQ$16&lt;$F44+($G44*$I44)),"➤",""),"")</f>
        <v/>
      </c>
      <c r="LR44" s="76" t="str">
        <f aca="false">IF($I44&gt;0%,IF(AND(LR$16&gt;=$F44,LR$16&lt;$F44+($G44*$I44)),"➤",""),"")</f>
        <v/>
      </c>
      <c r="LS44" s="76" t="str">
        <f aca="false">IF($I44&gt;0%,IF(AND(LS$16&gt;=$F44,LS$16&lt;$F44+($G44*$I44)),"➤",""),"")</f>
        <v/>
      </c>
      <c r="LT44" s="76" t="str">
        <f aca="false">IF($I44&gt;0%,IF(AND(LT$16&gt;=$F44,LT$16&lt;$F44+($G44*$I44)),"➤",""),"")</f>
        <v/>
      </c>
      <c r="LU44" s="76" t="str">
        <f aca="false">IF($I44&gt;0%,IF(AND(LU$16&gt;=$F44,LU$16&lt;$F44+($G44*$I44)),"➤",""),"")</f>
        <v/>
      </c>
      <c r="LV44" s="76" t="str">
        <f aca="false">IF($I44&gt;0%,IF(AND(LV$16&gt;=$F44,LV$16&lt;$F44+($G44*$I44)),"➤",""),"")</f>
        <v/>
      </c>
      <c r="LW44" s="76" t="str">
        <f aca="false">IF($I44&gt;0%,IF(AND(LW$16&gt;=$F44,LW$16&lt;$F44+($G44*$I44)),"➤",""),"")</f>
        <v/>
      </c>
      <c r="LX44" s="76" t="str">
        <f aca="false">IF($I44&gt;0%,IF(AND(LX$16&gt;=$F44,LX$16&lt;$F44+($G44*$I44)),"➤",""),"")</f>
        <v/>
      </c>
      <c r="LY44" s="76" t="str">
        <f aca="false">IF($I44&gt;0%,IF(AND(LY$16&gt;=$F44,LY$16&lt;$F44+($G44*$I44)),"➤",""),"")</f>
        <v/>
      </c>
      <c r="LZ44" s="76" t="str">
        <f aca="false">IF($I44&gt;0%,IF(AND(LZ$16&gt;=$F44,LZ$16&lt;$F44+($G44*$I44)),"➤",""),"")</f>
        <v/>
      </c>
      <c r="MA44" s="76" t="str">
        <f aca="false">IF($I44&gt;0%,IF(AND(MA$16&gt;=$F44,MA$16&lt;$F44+($G44*$I44)),"➤",""),"")</f>
        <v/>
      </c>
      <c r="MB44" s="76" t="str">
        <f aca="false">IF($I44&gt;0%,IF(AND(MB$16&gt;=$F44,MB$16&lt;$F44+($G44*$I44)),"➤",""),"")</f>
        <v/>
      </c>
      <c r="MC44" s="76" t="str">
        <f aca="false">IF($I44&gt;0%,IF(AND(MC$16&gt;=$F44,MC$16&lt;$F44+($G44*$I44)),"➤",""),"")</f>
        <v/>
      </c>
      <c r="MD44" s="76" t="str">
        <f aca="false">IF($I44&gt;0%,IF(AND(MD$16&gt;=$F44,MD$16&lt;$F44+($G44*$I44)),"➤",""),"")</f>
        <v/>
      </c>
      <c r="ME44" s="76" t="str">
        <f aca="false">IF($I44&gt;0%,IF(AND(ME$16&gt;=$F44,ME$16&lt;$F44+($G44*$I44)),"➤",""),"")</f>
        <v/>
      </c>
      <c r="MF44" s="76" t="str">
        <f aca="false">IF($I44&gt;0%,IF(AND(MF$16&gt;=$F44,MF$16&lt;$F44+($G44*$I44)),"➤",""),"")</f>
        <v/>
      </c>
      <c r="MG44" s="76" t="str">
        <f aca="false">IF($I44&gt;0%,IF(AND(MG$16&gt;=$F44,MG$16&lt;$F44+($G44*$I44)),"➤",""),"")</f>
        <v/>
      </c>
      <c r="MH44" s="76" t="str">
        <f aca="false">IF($I44&gt;0%,IF(AND(MH$16&gt;=$F44,MH$16&lt;$F44+($G44*$I44)),"➤",""),"")</f>
        <v/>
      </c>
      <c r="MI44" s="76" t="str">
        <f aca="false">IF($I44&gt;0%,IF(AND(MI$16&gt;=$F44,MI$16&lt;$F44+($G44*$I44)),"➤",""),"")</f>
        <v/>
      </c>
      <c r="MJ44" s="76" t="str">
        <f aca="false">IF($I44&gt;0%,IF(AND(MJ$16&gt;=$F44,MJ$16&lt;$F44+($G44*$I44)),"➤",""),"")</f>
        <v/>
      </c>
      <c r="MK44" s="76" t="str">
        <f aca="false">IF($I44&gt;0%,IF(AND(MK$16&gt;=$F44,MK$16&lt;$F44+($G44*$I44)),"➤",""),"")</f>
        <v/>
      </c>
      <c r="ML44" s="76" t="str">
        <f aca="false">IF($I44&gt;0%,IF(AND(ML$16&gt;=$F44,ML$16&lt;$F44+($G44*$I44)),"➤",""),"")</f>
        <v/>
      </c>
      <c r="MM44" s="76" t="str">
        <f aca="false">IF($I44&gt;0%,IF(AND(MM$16&gt;=$F44,MM$16&lt;$F44+($G44*$I44)),"➤",""),"")</f>
        <v/>
      </c>
      <c r="MN44" s="76" t="str">
        <f aca="false">IF($I44&gt;0%,IF(AND(MN$16&gt;=$F44,MN$16&lt;$F44+($G44*$I44)),"➤",""),"")</f>
        <v/>
      </c>
      <c r="MO44" s="76" t="str">
        <f aca="false">IF($I44&gt;0%,IF(AND(MO$16&gt;=$F44,MO$16&lt;$F44+($G44*$I44)),"➤",""),"")</f>
        <v/>
      </c>
      <c r="MP44" s="76" t="str">
        <f aca="false">IF($I44&gt;0%,IF(AND(MP$16&gt;=$F44,MP$16&lt;$F44+($G44*$I44)),"➤",""),"")</f>
        <v/>
      </c>
      <c r="MQ44" s="76" t="str">
        <f aca="false">IF($I44&gt;0%,IF(AND(MQ$16&gt;=$F44,MQ$16&lt;$F44+($G44*$I44)),"➤",""),"")</f>
        <v/>
      </c>
      <c r="MR44" s="76" t="str">
        <f aca="false">IF($I44&gt;0%,IF(AND(MR$16&gt;=$F44,MR$16&lt;$F44+($G44*$I44)),"➤",""),"")</f>
        <v/>
      </c>
      <c r="MS44" s="76" t="str">
        <f aca="false">IF($I44&gt;0%,IF(AND(MS$16&gt;=$F44,MS$16&lt;$F44+($G44*$I44)),"➤",""),"")</f>
        <v/>
      </c>
      <c r="MT44" s="76" t="str">
        <f aca="false">IF($I44&gt;0%,IF(AND(MT$16&gt;=$F44,MT$16&lt;$F44+($G44*$I44)),"➤",""),"")</f>
        <v/>
      </c>
      <c r="MU44" s="76" t="str">
        <f aca="false">IF($I44&gt;0%,IF(AND(MU$16&gt;=$F44,MU$16&lt;$F44+($G44*$I44)),"➤",""),"")</f>
        <v/>
      </c>
      <c r="MV44" s="76" t="str">
        <f aca="false">IF($I44&gt;0%,IF(AND(MV$16&gt;=$F44,MV$16&lt;$F44+($G44*$I44)),"➤",""),"")</f>
        <v/>
      </c>
      <c r="MW44" s="76" t="str">
        <f aca="false">IF($I44&gt;0%,IF(AND(MW$16&gt;=$F44,MW$16&lt;$F44+($G44*$I44)),"➤",""),"")</f>
        <v/>
      </c>
      <c r="MX44" s="76" t="str">
        <f aca="false">IF($I44&gt;0%,IF(AND(MX$16&gt;=$F44,MX$16&lt;$F44+($G44*$I44)),"➤",""),"")</f>
        <v/>
      </c>
      <c r="MY44" s="76" t="str">
        <f aca="false">IF($I44&gt;0%,IF(AND(MY$16&gt;=$F44,MY$16&lt;$F44+($G44*$I44)),"➤",""),"")</f>
        <v/>
      </c>
      <c r="MZ44" s="76" t="str">
        <f aca="false">IF($I44&gt;0%,IF(AND(MZ$16&gt;=$F44,MZ$16&lt;$F44+($G44*$I44)),"➤",""),"")</f>
        <v/>
      </c>
      <c r="NA44" s="76" t="str">
        <f aca="false">IF($I44&gt;0%,IF(AND(NA$16&gt;=$F44,NA$16&lt;$F44+($G44*$I44)),"➤",""),"")</f>
        <v/>
      </c>
      <c r="NB44" s="76" t="str">
        <f aca="false">IF($I44&gt;0%,IF(AND(NB$16&gt;=$F44,NB$16&lt;$F44+($G44*$I44)),"➤",""),"")</f>
        <v/>
      </c>
      <c r="NC44" s="76" t="str">
        <f aca="false">IF($I44&gt;0%,IF(AND(NC$16&gt;=$F44,NC$16&lt;$F44+($G44*$I44)),"➤",""),"")</f>
        <v/>
      </c>
      <c r="ND44" s="76" t="str">
        <f aca="false">IF($I44&gt;0%,IF(AND(ND$16&gt;=$F44,ND$16&lt;$F44+($G44*$I44)),"➤",""),"")</f>
        <v/>
      </c>
      <c r="NE44" s="76" t="str">
        <f aca="false">IF($I44&gt;0%,IF(AND(NE$16&gt;=$F44,NE$16&lt;$F44+($G44*$I44)),"➤",""),"")</f>
        <v/>
      </c>
      <c r="NF44" s="76" t="str">
        <f aca="false">IF($I44&gt;0%,IF(AND(NF$16&gt;=$F44,NF$16&lt;$F44+($G44*$I44)),"➤",""),"")</f>
        <v/>
      </c>
      <c r="NG44" s="76" t="str">
        <f aca="false">IF($I44&gt;0%,IF(AND(NG$16&gt;=$F44,NG$16&lt;$F44+($G44*$I44)),"➤",""),"")</f>
        <v/>
      </c>
      <c r="NH44" s="76" t="str">
        <f aca="false">IF($I44&gt;0%,IF(AND(NH$16&gt;=$F44,NH$16&lt;$F44+($G44*$I44)),"➤",""),"")</f>
        <v/>
      </c>
      <c r="NI44" s="76" t="str">
        <f aca="false">IF($I44&gt;0%,IF(AND(NI$16&gt;=$F44,NI$16&lt;$F44+($G44*$I44)),"➤",""),"")</f>
        <v/>
      </c>
      <c r="NJ44" s="76" t="str">
        <f aca="false">IF($I44&gt;0%,IF(AND(NJ$16&gt;=$F44,NJ$16&lt;$F44+($G44*$I44)),"➤",""),"")</f>
        <v/>
      </c>
      <c r="NK44" s="76" t="str">
        <f aca="false">IF($I44&gt;0%,IF(AND(NK$16&gt;=$F44,NK$16&lt;$F44+($G44*$I44)),"➤",""),"")</f>
        <v/>
      </c>
      <c r="NL44" s="76" t="str">
        <f aca="false">IF($I44&gt;0%,IF(AND(NL$16&gt;=$F44,NL$16&lt;$F44+($G44*$I44)),"➤",""),"")</f>
        <v/>
      </c>
      <c r="NM44" s="76" t="str">
        <f aca="false">IF($I44&gt;0%,IF(AND(NM$16&gt;=$F44,NM$16&lt;$F44+($G44*$I44)),"➤",""),"")</f>
        <v/>
      </c>
      <c r="NN44" s="76" t="str">
        <f aca="false">IF($I44&gt;0%,IF(AND(NN$16&gt;=$F44,NN$16&lt;$F44+($G44*$I44)),"➤",""),"")</f>
        <v/>
      </c>
      <c r="NO44" s="76" t="str">
        <f aca="false">IF($I44&gt;0%,IF(AND(NO$16&gt;=$F44,NO$16&lt;$F44+($G44*$I44)),"➤",""),"")</f>
        <v/>
      </c>
      <c r="NP44" s="76" t="str">
        <f aca="false">IF($I44&gt;0%,IF(AND(NP$16&gt;=$F44,NP$16&lt;$F44+($G44*$I44)),"➤",""),"")</f>
        <v/>
      </c>
      <c r="NQ44" s="76" t="str">
        <f aca="false">IF($I44&gt;0%,IF(AND(NQ$16&gt;=$F44,NQ$16&lt;$F44+($G44*$I44)),"➤",""),"")</f>
        <v/>
      </c>
      <c r="NR44" s="76" t="str">
        <f aca="false">IF($I44&gt;0%,IF(AND(NR$16&gt;=$F44,NR$16&lt;$F44+($G44*$I44)),"➤",""),"")</f>
        <v/>
      </c>
      <c r="NS44" s="76" t="str">
        <f aca="false">IF($I44&gt;0%,IF(AND(NS$16&gt;=$F44,NS$16&lt;$F44+($G44*$I44)),"➤",""),"")</f>
        <v/>
      </c>
      <c r="NT44" s="76" t="str">
        <f aca="false">IF($I44&gt;0%,IF(AND(NT$16&gt;=$F44,NT$16&lt;$F44+($G44*$I44)),"➤",""),"")</f>
        <v/>
      </c>
      <c r="NU44" s="76" t="str">
        <f aca="false">IF($I44&gt;0%,IF(AND(NU$16&gt;=$F44,NU$16&lt;$F44+($G44*$I44)),"➤",""),"")</f>
        <v/>
      </c>
      <c r="NV44" s="76" t="str">
        <f aca="false">IF($I44&gt;0%,IF(AND(NV$16&gt;=$F44,NV$16&lt;$F44+($G44*$I44)),"➤",""),"")</f>
        <v/>
      </c>
      <c r="NW44" s="76" t="str">
        <f aca="false">IF($I44&gt;0%,IF(AND(NW$16&gt;=$F44,NW$16&lt;$F44+($G44*$I44)),"➤",""),"")</f>
        <v/>
      </c>
      <c r="NX44" s="76" t="str">
        <f aca="false">IF($I44&gt;0%,IF(AND(NX$16&gt;=$F44,NX$16&lt;$F44+($G44*$I44)),"➤",""),"")</f>
        <v/>
      </c>
      <c r="NY44" s="76" t="str">
        <f aca="false">IF($I44&gt;0%,IF(AND(NY$16&gt;=$F44,NY$16&lt;$F44+($G44*$I44)),"➤",""),"")</f>
        <v/>
      </c>
      <c r="NZ44" s="76" t="str">
        <f aca="false">IF($I44&gt;0%,IF(AND(NZ$16&gt;=$F44,NZ$16&lt;$F44+($G44*$I44)),"➤",""),"")</f>
        <v/>
      </c>
      <c r="OA44" s="76" t="str">
        <f aca="false">IF($I44&gt;0%,IF(AND(OA$16&gt;=$F44,OA$16&lt;$F44+($G44*$I44)),"➤",""),"")</f>
        <v/>
      </c>
      <c r="OB44" s="76" t="str">
        <f aca="false">IF($I44&gt;0%,IF(AND(OB$16&gt;=$F44,OB$16&lt;$F44+($G44*$I44)),"➤",""),"")</f>
        <v/>
      </c>
      <c r="OC44" s="76" t="str">
        <f aca="false">IF($I44&gt;0%,IF(AND(OC$16&gt;=$F44,OC$16&lt;$F44+($G44*$I44)),"➤",""),"")</f>
        <v/>
      </c>
      <c r="OD44" s="76" t="str">
        <f aca="false">IF($I44&gt;0%,IF(AND(OD$16&gt;=$F44,OD$16&lt;$F44+($G44*$I44)),"➤",""),"")</f>
        <v/>
      </c>
      <c r="OE44" s="76" t="str">
        <f aca="false">IF($I44&gt;0%,IF(AND(OE$16&gt;=$F44,OE$16&lt;$F44+($G44*$I44)),"➤",""),"")</f>
        <v/>
      </c>
      <c r="OF44" s="76" t="str">
        <f aca="false">IF($I44&gt;0%,IF(AND(OF$16&gt;=$F44,OF$16&lt;$F44+($G44*$I44)),"➤",""),"")</f>
        <v/>
      </c>
      <c r="OG44" s="76" t="str">
        <f aca="false">IF($I44&gt;0%,IF(AND(OG$16&gt;=$F44,OG$16&lt;$F44+($G44*$I44)),"➤",""),"")</f>
        <v/>
      </c>
      <c r="OH44" s="76" t="str">
        <f aca="false">IF($I44&gt;0%,IF(AND(OH$16&gt;=$F44,OH$16&lt;$F44+($G44*$I44)),"➤",""),"")</f>
        <v/>
      </c>
      <c r="OI44" s="76" t="str">
        <f aca="false">IF($I44&gt;0%,IF(AND(OI$16&gt;=$F44,OI$16&lt;$F44+($G44*$I44)),"➤",""),"")</f>
        <v/>
      </c>
      <c r="OJ44" s="76" t="str">
        <f aca="false">IF($I44&gt;0%,IF(AND(OJ$16&gt;=$F44,OJ$16&lt;$F44+($G44*$I44)),"➤",""),"")</f>
        <v/>
      </c>
      <c r="OK44" s="76" t="str">
        <f aca="false">IF($I44&gt;0%,IF(AND(OK$16&gt;=$F44,OK$16&lt;$F44+($G44*$I44)),"➤",""),"")</f>
        <v/>
      </c>
      <c r="OL44" s="76" t="str">
        <f aca="false">IF($I44&gt;0%,IF(AND(OL$16&gt;=$F44,OL$16&lt;$F44+($G44*$I44)),"➤",""),"")</f>
        <v/>
      </c>
      <c r="OM44" s="76" t="str">
        <f aca="false">IF($I44&gt;0%,IF(AND(OM$16&gt;=$F44,OM$16&lt;$F44+($G44*$I44)),"➤",""),"")</f>
        <v/>
      </c>
      <c r="ON44" s="76" t="str">
        <f aca="false">IF($I44&gt;0%,IF(AND(ON$16&gt;=$F44,ON$16&lt;$F44+($G44*$I44)),"➤",""),"")</f>
        <v/>
      </c>
      <c r="OO44" s="76" t="str">
        <f aca="false">IF($I44&gt;0%,IF(AND(OO$16&gt;=$F44,OO$16&lt;$F44+($G44*$I44)),"➤",""),"")</f>
        <v/>
      </c>
      <c r="OP44" s="76" t="str">
        <f aca="false">IF($I44&gt;0%,IF(AND(OP$16&gt;=$F44,OP$16&lt;$F44+($G44*$I44)),"➤",""),"")</f>
        <v/>
      </c>
      <c r="OQ44" s="76" t="str">
        <f aca="false">IF($I44&gt;0%,IF(AND(OQ$16&gt;=$F44,OQ$16&lt;$F44+($G44*$I44)),"➤",""),"")</f>
        <v/>
      </c>
      <c r="OR44" s="76" t="str">
        <f aca="false">IF($I44&gt;0%,IF(AND(OR$16&gt;=$F44,OR$16&lt;$F44+($G44*$I44)),"➤",""),"")</f>
        <v/>
      </c>
      <c r="OS44" s="76" t="str">
        <f aca="false">IF($I44&gt;0%,IF(AND(OS$16&gt;=$F44,OS$16&lt;$F44+($G44*$I44)),"➤",""),"")</f>
        <v/>
      </c>
      <c r="OT44" s="76" t="str">
        <f aca="false">IF($I44&gt;0%,IF(AND(OT$16&gt;=$F44,OT$16&lt;$F44+($G44*$I44)),"➤",""),"")</f>
        <v/>
      </c>
      <c r="OU44" s="76" t="str">
        <f aca="false">IF($I44&gt;0%,IF(AND(OU$16&gt;=$F44,OU$16&lt;$F44+($G44*$I44)),"➤",""),"")</f>
        <v/>
      </c>
      <c r="OV44" s="76" t="str">
        <f aca="false">IF($I44&gt;0%,IF(AND(OV$16&gt;=$F44,OV$16&lt;$F44+($G44*$I44)),"➤",""),"")</f>
        <v/>
      </c>
      <c r="OW44" s="76" t="str">
        <f aca="false">IF($I44&gt;0%,IF(AND(OW$16&gt;=$F44,OW$16&lt;$F44+($G44*$I44)),"➤",""),"")</f>
        <v/>
      </c>
      <c r="OX44" s="76" t="str">
        <f aca="false">IF($I44&gt;0%,IF(AND(OX$16&gt;=$F44,OX$16&lt;$F44+($G44*$I44)),"➤",""),"")</f>
        <v/>
      </c>
      <c r="OY44" s="76" t="str">
        <f aca="false">IF($I44&gt;0%,IF(AND(OY$16&gt;=$F44,OY$16&lt;$F44+($G44*$I44)),"➤",""),"")</f>
        <v/>
      </c>
      <c r="OZ44" s="76" t="str">
        <f aca="false">IF($I44&gt;0%,IF(AND(OZ$16&gt;=$F44,OZ$16&lt;$F44+($G44*$I44)),"➤",""),"")</f>
        <v/>
      </c>
      <c r="PA44" s="76" t="str">
        <f aca="false">IF($I44&gt;0%,IF(AND(PA$16&gt;=$F44,PA$16&lt;$F44+($G44*$I44)),"➤",""),"")</f>
        <v/>
      </c>
      <c r="PB44" s="76" t="str">
        <f aca="false">IF($I44&gt;0%,IF(AND(PB$16&gt;=$F44,PB$16&lt;$F44+($G44*$I44)),"➤",""),"")</f>
        <v/>
      </c>
      <c r="PC44" s="76" t="str">
        <f aca="false">IF($I44&gt;0%,IF(AND(PC$16&gt;=$F44,PC$16&lt;$F44+($G44*$I44)),"➤",""),"")</f>
        <v/>
      </c>
      <c r="PD44" s="76" t="str">
        <f aca="false">IF($I44&gt;0%,IF(AND(PD$16&gt;=$F44,PD$16&lt;$F44+($G44*$I44)),"➤",""),"")</f>
        <v/>
      </c>
      <c r="PE44" s="76" t="str">
        <f aca="false">IF($I44&gt;0%,IF(AND(PE$16&gt;=$F44,PE$16&lt;$F44+($G44*$I44)),"➤",""),"")</f>
        <v/>
      </c>
      <c r="PF44" s="76" t="str">
        <f aca="false">IF($I44&gt;0%,IF(AND(PF$16&gt;=$F44,PF$16&lt;$F44+($G44*$I44)),"➤",""),"")</f>
        <v/>
      </c>
      <c r="PG44" s="76" t="str">
        <f aca="false">IF($I44&gt;0%,IF(AND(PG$16&gt;=$F44,PG$16&lt;$F44+($G44*$I44)),"➤",""),"")</f>
        <v/>
      </c>
      <c r="PH44" s="76" t="str">
        <f aca="false">IF($I44&gt;0%,IF(AND(PH$16&gt;=$F44,PH$16&lt;$F44+($G44*$I44)),"➤",""),"")</f>
        <v/>
      </c>
      <c r="PI44" s="76" t="str">
        <f aca="false">IF($I44&gt;0%,IF(AND(PI$16&gt;=$F44,PI$16&lt;$F44+($G44*$I44)),"➤",""),"")</f>
        <v/>
      </c>
      <c r="PJ44" s="76" t="str">
        <f aca="false">IF($I44&gt;0%,IF(AND(PJ$16&gt;=$F44,PJ$16&lt;$F44+($G44*$I44)),"➤",""),"")</f>
        <v/>
      </c>
      <c r="PK44" s="76" t="str">
        <f aca="false">IF($I44&gt;0%,IF(AND(PK$16&gt;=$F44,PK$16&lt;$F44+($G44*$I44)),"➤",""),"")</f>
        <v/>
      </c>
      <c r="PL44" s="76" t="str">
        <f aca="false">IF($I44&gt;0%,IF(AND(PL$16&gt;=$F44,PL$16&lt;$F44+($G44*$I44)),"➤",""),"")</f>
        <v/>
      </c>
      <c r="PM44" s="76" t="str">
        <f aca="false">IF($I44&gt;0%,IF(AND(PM$16&gt;=$F44,PM$16&lt;$F44+($G44*$I44)),"➤",""),"")</f>
        <v/>
      </c>
      <c r="PN44" s="76" t="str">
        <f aca="false">IF($I44&gt;0%,IF(AND(PN$16&gt;=$F44,PN$16&lt;$F44+($G44*$I44)),"➤",""),"")</f>
        <v/>
      </c>
      <c r="PO44" s="76" t="str">
        <f aca="false">IF($I44&gt;0%,IF(AND(PO$16&gt;=$F44,PO$16&lt;$F44+($G44*$I44)),"➤",""),"")</f>
        <v/>
      </c>
      <c r="PP44" s="76" t="str">
        <f aca="false">IF($I44&gt;0%,IF(AND(PP$16&gt;=$F44,PP$16&lt;$F44+($G44*$I44)),"➤",""),"")</f>
        <v/>
      </c>
      <c r="PQ44" s="76" t="str">
        <f aca="false">IF($I44&gt;0%,IF(AND(PQ$16&gt;=$F44,PQ$16&lt;$F44+($G44*$I44)),"➤",""),"")</f>
        <v/>
      </c>
      <c r="PR44" s="76" t="str">
        <f aca="false">IF($I44&gt;0%,IF(AND(PR$16&gt;=$F44,PR$16&lt;$F44+($G44*$I44)),"➤",""),"")</f>
        <v/>
      </c>
      <c r="PS44" s="76" t="str">
        <f aca="false">IF($I44&gt;0%,IF(AND(PS$16&gt;=$F44,PS$16&lt;$F44+($G44*$I44)),"➤",""),"")</f>
        <v/>
      </c>
      <c r="PT44" s="76" t="str">
        <f aca="false">IF($I44&gt;0%,IF(AND(PT$16&gt;=$F44,PT$16&lt;$F44+($G44*$I44)),"➤",""),"")</f>
        <v/>
      </c>
      <c r="PU44" s="76" t="str">
        <f aca="false">IF($I44&gt;0%,IF(AND(PU$16&gt;=$F44,PU$16&lt;$F44+($G44*$I44)),"➤",""),"")</f>
        <v/>
      </c>
      <c r="PV44" s="76" t="str">
        <f aca="false">IF($I44&gt;0%,IF(AND(PV$16&gt;=$F44,PV$16&lt;$F44+($G44*$I44)),"➤",""),"")</f>
        <v/>
      </c>
      <c r="PW44" s="76" t="str">
        <f aca="false">IF($I44&gt;0%,IF(AND(PW$16&gt;=$F44,PW$16&lt;$F44+($G44*$I44)),"➤",""),"")</f>
        <v/>
      </c>
      <c r="PX44" s="76" t="str">
        <f aca="false">IF($I44&gt;0%,IF(AND(PX$16&gt;=$F44,PX$16&lt;$F44+($G44*$I44)),"➤",""),"")</f>
        <v/>
      </c>
      <c r="PY44" s="76" t="str">
        <f aca="false">IF($I44&gt;0%,IF(AND(PY$16&gt;=$F44,PY$16&lt;$F44+($G44*$I44)),"➤",""),"")</f>
        <v/>
      </c>
      <c r="PZ44" s="76" t="str">
        <f aca="false">IF($I44&gt;0%,IF(AND(PZ$16&gt;=$F44,PZ$16&lt;$F44+($G44*$I44)),"➤",""),"")</f>
        <v/>
      </c>
      <c r="QA44" s="76" t="str">
        <f aca="false">IF($I44&gt;0%,IF(AND(QA$16&gt;=$F44,QA$16&lt;$F44+($G44*$I44)),"➤",""),"")</f>
        <v/>
      </c>
      <c r="QB44" s="76" t="str">
        <f aca="false">IF($I44&gt;0%,IF(AND(QB$16&gt;=$F44,QB$16&lt;$F44+($G44*$I44)),"➤",""),"")</f>
        <v/>
      </c>
      <c r="QC44" s="76" t="str">
        <f aca="false">IF($I44&gt;0%,IF(AND(QC$16&gt;=$F44,QC$16&lt;$F44+($G44*$I44)),"➤",""),"")</f>
        <v/>
      </c>
      <c r="QD44" s="76" t="str">
        <f aca="false">IF($I44&gt;0%,IF(AND(QD$16&gt;=$F44,QD$16&lt;$F44+($G44*$I44)),"➤",""),"")</f>
        <v/>
      </c>
      <c r="QE44" s="76" t="str">
        <f aca="false">IF($I44&gt;0%,IF(AND(QE$16&gt;=$F44,QE$16&lt;$F44+($G44*$I44)),"➤",""),"")</f>
        <v/>
      </c>
      <c r="QF44" s="76" t="str">
        <f aca="false">IF($I44&gt;0%,IF(AND(QF$16&gt;=$F44,QF$16&lt;$F44+($G44*$I44)),"➤",""),"")</f>
        <v/>
      </c>
      <c r="QG44" s="76" t="str">
        <f aca="false">IF($I44&gt;0%,IF(AND(QG$16&gt;=$F44,QG$16&lt;$F44+($G44*$I44)),"➤",""),"")</f>
        <v/>
      </c>
      <c r="QH44" s="76" t="str">
        <f aca="false">IF($I44&gt;0%,IF(AND(QH$16&gt;=$F44,QH$16&lt;$F44+($G44*$I44)),"➤",""),"")</f>
        <v/>
      </c>
      <c r="QI44" s="76" t="str">
        <f aca="false">IF($I44&gt;0%,IF(AND(QI$16&gt;=$F44,QI$16&lt;$F44+($G44*$I44)),"➤",""),"")</f>
        <v/>
      </c>
      <c r="QJ44" s="76" t="str">
        <f aca="false">IF($I44&gt;0%,IF(AND(QJ$16&gt;=$F44,QJ$16&lt;$F44+($G44*$I44)),"➤",""),"")</f>
        <v/>
      </c>
      <c r="QK44" s="76" t="str">
        <f aca="false">IF($I44&gt;0%,IF(AND(QK$16&gt;=$F44,QK$16&lt;$F44+($G44*$I44)),"➤",""),"")</f>
        <v/>
      </c>
      <c r="QL44" s="76" t="str">
        <f aca="false">IF($I44&gt;0%,IF(AND(QL$16&gt;=$F44,QL$16&lt;$F44+($G44*$I44)),"➤",""),"")</f>
        <v/>
      </c>
      <c r="QM44" s="76" t="str">
        <f aca="false">IF($I44&gt;0%,IF(AND(QM$16&gt;=$F44,QM$16&lt;$F44+($G44*$I44)),"➤",""),"")</f>
        <v/>
      </c>
      <c r="QN44" s="76" t="str">
        <f aca="false">IF($I44&gt;0%,IF(AND(QN$16&gt;=$F44,QN$16&lt;$F44+($G44*$I44)),"➤",""),"")</f>
        <v/>
      </c>
      <c r="QO44" s="76" t="str">
        <f aca="false">IF($I44&gt;0%,IF(AND(QO$16&gt;=$F44,QO$16&lt;$F44+($G44*$I44)),"➤",""),"")</f>
        <v/>
      </c>
      <c r="QP44" s="76" t="str">
        <f aca="false">IF($I44&gt;0%,IF(AND(QP$16&gt;=$F44,QP$16&lt;$F44+($G44*$I44)),"➤",""),"")</f>
        <v/>
      </c>
      <c r="QQ44" s="76" t="str">
        <f aca="false">IF($I44&gt;0%,IF(AND(QQ$16&gt;=$F44,QQ$16&lt;$F44+($G44*$I44)),"➤",""),"")</f>
        <v/>
      </c>
      <c r="QR44" s="76" t="str">
        <f aca="false">IF($I44&gt;0%,IF(AND(QR$16&gt;=$F44,QR$16&lt;$F44+($G44*$I44)),"➤",""),"")</f>
        <v/>
      </c>
      <c r="QS44" s="76" t="str">
        <f aca="false">IF($I44&gt;0%,IF(AND(QS$16&gt;=$F44,QS$16&lt;$F44+($G44*$I44)),"➤",""),"")</f>
        <v/>
      </c>
      <c r="QT44" s="76" t="str">
        <f aca="false">IF($I44&gt;0%,IF(AND(QT$16&gt;=$F44,QT$16&lt;$F44+($G44*$I44)),"➤",""),"")</f>
        <v/>
      </c>
      <c r="QU44" s="76" t="str">
        <f aca="false">IF($I44&gt;0%,IF(AND(QU$16&gt;=$F44,QU$16&lt;$F44+($G44*$I44)),"➤",""),"")</f>
        <v/>
      </c>
      <c r="QV44" s="76" t="str">
        <f aca="false">IF($I44&gt;0%,IF(AND(QV$16&gt;=$F44,QV$16&lt;$F44+($G44*$I44)),"➤",""),"")</f>
        <v/>
      </c>
      <c r="QW44" s="76" t="str">
        <f aca="false">IF($I44&gt;0%,IF(AND(QW$16&gt;=$F44,QW$16&lt;$F44+($G44*$I44)),"➤",""),"")</f>
        <v/>
      </c>
      <c r="QX44" s="76" t="str">
        <f aca="false">IF($I44&gt;0%,IF(AND(QX$16&gt;=$F44,QX$16&lt;$F44+($G44*$I44)),"➤",""),"")</f>
        <v/>
      </c>
      <c r="QY44" s="76" t="str">
        <f aca="false">IF($I44&gt;0%,IF(AND(QY$16&gt;=$F44,QY$16&lt;$F44+($G44*$I44)),"➤",""),"")</f>
        <v/>
      </c>
      <c r="QZ44" s="76" t="str">
        <f aca="false">IF($I44&gt;0%,IF(AND(QZ$16&gt;=$F44,QZ$16&lt;$F44+($G44*$I44)),"➤",""),"")</f>
        <v/>
      </c>
      <c r="RA44" s="76" t="str">
        <f aca="false">IF($I44&gt;0%,IF(AND(RA$16&gt;=$F44,RA$16&lt;$F44+($G44*$I44)),"➤",""),"")</f>
        <v/>
      </c>
      <c r="RB44" s="76" t="str">
        <f aca="false">IF($I44&gt;0%,IF(AND(RB$16&gt;=$F44,RB$16&lt;$F44+($G44*$I44)),"➤",""),"")</f>
        <v/>
      </c>
      <c r="RC44" s="76" t="str">
        <f aca="false">IF($I44&gt;0%,IF(AND(RC$16&gt;=$F44,RC$16&lt;$F44+($G44*$I44)),"➤",""),"")</f>
        <v/>
      </c>
      <c r="RD44" s="76" t="str">
        <f aca="false">IF($I44&gt;0%,IF(AND(RD$16&gt;=$F44,RD$16&lt;$F44+($G44*$I44)),"➤",""),"")</f>
        <v/>
      </c>
      <c r="RE44" s="76" t="str">
        <f aca="false">IF($I44&gt;0%,IF(AND(RE$16&gt;=$F44,RE$16&lt;$F44+($G44*$I44)),"➤",""),"")</f>
        <v/>
      </c>
      <c r="RF44" s="76" t="str">
        <f aca="false">IF($I44&gt;0%,IF(AND(RF$16&gt;=$F44,RF$16&lt;$F44+($G44*$I44)),"➤",""),"")</f>
        <v/>
      </c>
      <c r="RG44" s="76" t="str">
        <f aca="false">IF($I44&gt;0%,IF(AND(RG$16&gt;=$F44,RG$16&lt;$F44+($G44*$I44)),"➤",""),"")</f>
        <v/>
      </c>
      <c r="RH44" s="76" t="str">
        <f aca="false">IF($I44&gt;0%,IF(AND(RH$16&gt;=$F44,RH$16&lt;$F44+($G44*$I44)),"➤",""),"")</f>
        <v/>
      </c>
      <c r="RI44" s="76" t="str">
        <f aca="false">IF($I44&gt;0%,IF(AND(RI$16&gt;=$F44,RI$16&lt;$F44+($G44*$I44)),"➤",""),"")</f>
        <v/>
      </c>
      <c r="RJ44" s="76" t="str">
        <f aca="false">IF($I44&gt;0%,IF(AND(RJ$16&gt;=$F44,RJ$16&lt;$F44+($G44*$I44)),"➤",""),"")</f>
        <v/>
      </c>
      <c r="RK44" s="76" t="str">
        <f aca="false">IF($I44&gt;0%,IF(AND(RK$16&gt;=$F44,RK$16&lt;$F44+($G44*$I44)),"➤",""),"")</f>
        <v/>
      </c>
      <c r="RL44" s="76" t="str">
        <f aca="false">IF($I44&gt;0%,IF(AND(RL$16&gt;=$F44,RL$16&lt;$F44+($G44*$I44)),"➤",""),"")</f>
        <v/>
      </c>
      <c r="RM44" s="76" t="str">
        <f aca="false">IF($I44&gt;0%,IF(AND(RM$16&gt;=$F44,RM$16&lt;$F44+($G44*$I44)),"➤",""),"")</f>
        <v/>
      </c>
      <c r="RN44" s="76" t="str">
        <f aca="false">IF($I44&gt;0%,IF(AND(RN$16&gt;=$F44,RN$16&lt;$F44+($G44*$I44)),"➤",""),"")</f>
        <v/>
      </c>
      <c r="RO44" s="76" t="str">
        <f aca="false">IF($I44&gt;0%,IF(AND(RO$16&gt;=$F44,RO$16&lt;$F44+($G44*$I44)),"➤",""),"")</f>
        <v/>
      </c>
      <c r="RP44" s="76" t="str">
        <f aca="false">IF($I44&gt;0%,IF(AND(RP$16&gt;=$F44,RP$16&lt;$F44+($G44*$I44)),"➤",""),"")</f>
        <v/>
      </c>
      <c r="RQ44" s="76" t="str">
        <f aca="false">IF($I44&gt;0%,IF(AND(RQ$16&gt;=$F44,RQ$16&lt;$F44+($G44*$I44)),"➤",""),"")</f>
        <v/>
      </c>
      <c r="RR44" s="76" t="str">
        <f aca="false">IF($I44&gt;0%,IF(AND(RR$16&gt;=$F44,RR$16&lt;$F44+($G44*$I44)),"➤",""),"")</f>
        <v/>
      </c>
      <c r="RS44" s="76" t="str">
        <f aca="false">IF($I44&gt;0%,IF(AND(RS$16&gt;=$F44,RS$16&lt;$F44+($G44*$I44)),"➤",""),"")</f>
        <v/>
      </c>
      <c r="RT44" s="76" t="str">
        <f aca="false">IF($I44&gt;0%,IF(AND(RT$16&gt;=$F44,RT$16&lt;$F44+($G44*$I44)),"➤",""),"")</f>
        <v/>
      </c>
      <c r="RU44" s="76" t="str">
        <f aca="false">IF($I44&gt;0%,IF(AND(RU$16&gt;=$F44,RU$16&lt;$F44+($G44*$I44)),"➤",""),"")</f>
        <v/>
      </c>
      <c r="RV44" s="76" t="str">
        <f aca="false">IF($I44&gt;0%,IF(AND(RV$16&gt;=$F44,RV$16&lt;$F44+($G44*$I44)),"➤",""),"")</f>
        <v/>
      </c>
      <c r="RW44" s="76" t="str">
        <f aca="false">IF($I44&gt;0%,IF(AND(RW$16&gt;=$F44,RW$16&lt;$F44+($G44*$I44)),"➤",""),"")</f>
        <v/>
      </c>
      <c r="RX44" s="76" t="str">
        <f aca="false">IF($I44&gt;0%,IF(AND(RX$16&gt;=$F44,RX$16&lt;$F44+($G44*$I44)),"➤",""),"")</f>
        <v/>
      </c>
      <c r="RY44" s="76" t="str">
        <f aca="false">IF($I44&gt;0%,IF(AND(RY$16&gt;=$F44,RY$16&lt;$F44+($G44*$I44)),"➤",""),"")</f>
        <v/>
      </c>
      <c r="RZ44" s="76" t="str">
        <f aca="false">IF($I44&gt;0%,IF(AND(RZ$16&gt;=$F44,RZ$16&lt;$F44+($G44*$I44)),"➤",""),"")</f>
        <v/>
      </c>
      <c r="SA44" s="76" t="str">
        <f aca="false">IF($I44&gt;0%,IF(AND(SA$16&gt;=$F44,SA$16&lt;$F44+($G44*$I44)),"➤",""),"")</f>
        <v/>
      </c>
      <c r="SB44" s="76" t="str">
        <f aca="false">IF($I44&gt;0%,IF(AND(SB$16&gt;=$F44,SB$16&lt;$F44+($G44*$I44)),"➤",""),"")</f>
        <v/>
      </c>
      <c r="SC44" s="76" t="str">
        <f aca="false">IF($I44&gt;0%,IF(AND(SC$16&gt;=$F44,SC$16&lt;$F44+($G44*$I44)),"➤",""),"")</f>
        <v/>
      </c>
      <c r="SD44" s="76" t="str">
        <f aca="false">IF($I44&gt;0%,IF(AND(SD$16&gt;=$F44,SD$16&lt;$F44+($G44*$I44)),"➤",""),"")</f>
        <v/>
      </c>
      <c r="SE44" s="76" t="str">
        <f aca="false">IF($I44&gt;0%,IF(AND(SE$16&gt;=$F44,SE$16&lt;$F44+($G44*$I44)),"➤",""),"")</f>
        <v/>
      </c>
      <c r="SF44" s="76" t="str">
        <f aca="false">IF($I44&gt;0%,IF(AND(SF$16&gt;=$F44,SF$16&lt;$F44+($G44*$I44)),"➤",""),"")</f>
        <v/>
      </c>
      <c r="SG44" s="76" t="str">
        <f aca="false">IF($I44&gt;0%,IF(AND(SG$16&gt;=$F44,SG$16&lt;$F44+($G44*$I44)),"➤",""),"")</f>
        <v/>
      </c>
      <c r="SH44" s="76" t="str">
        <f aca="false">IF($I44&gt;0%,IF(AND(SH$16&gt;=$F44,SH$16&lt;$F44+($G44*$I44)),"➤",""),"")</f>
        <v/>
      </c>
      <c r="SI44" s="76" t="str">
        <f aca="false">IF($I44&gt;0%,IF(AND(SI$16&gt;=$F44,SI$16&lt;$F44+($G44*$I44)),"➤",""),"")</f>
        <v/>
      </c>
      <c r="SJ44" s="76" t="str">
        <f aca="false">IF($I44&gt;0%,IF(AND(SJ$16&gt;=$F44,SJ$16&lt;$F44+($G44*$I44)),"➤",""),"")</f>
        <v/>
      </c>
      <c r="SK44" s="76" t="str">
        <f aca="false">IF($I44&gt;0%,IF(AND(SK$16&gt;=$F44,SK$16&lt;$F44+($G44*$I44)),"➤",""),"")</f>
        <v/>
      </c>
      <c r="SL44" s="76" t="str">
        <f aca="false">IF($I44&gt;0%,IF(AND(SL$16&gt;=$F44,SL$16&lt;$F44+($G44*$I44)),"➤",""),"")</f>
        <v/>
      </c>
      <c r="SM44" s="76" t="str">
        <f aca="false">IF($I44&gt;0%,IF(AND(SM$16&gt;=$F44,SM$16&lt;$F44+($G44*$I44)),"➤",""),"")</f>
        <v/>
      </c>
      <c r="SN44" s="76" t="str">
        <f aca="false">IF($I44&gt;0%,IF(AND(SN$16&gt;=$F44,SN$16&lt;$F44+($G44*$I44)),"➤",""),"")</f>
        <v/>
      </c>
      <c r="SO44" s="76" t="str">
        <f aca="false">IF($I44&gt;0%,IF(AND(SO$16&gt;=$F44,SO$16&lt;$F44+($G44*$I44)),"➤",""),"")</f>
        <v/>
      </c>
      <c r="SP44" s="76" t="str">
        <f aca="false">IF($I44&gt;0%,IF(AND(SP$16&gt;=$F44,SP$16&lt;$F44+($G44*$I44)),"➤",""),"")</f>
        <v/>
      </c>
      <c r="SQ44" s="76" t="str">
        <f aca="false">IF($I44&gt;0%,IF(AND(SQ$16&gt;=$F44,SQ$16&lt;$F44+($G44*$I44)),"➤",""),"")</f>
        <v/>
      </c>
      <c r="SR44" s="76" t="str">
        <f aca="false">IF($I44&gt;0%,IF(AND(SR$16&gt;=$F44,SR$16&lt;$F44+($G44*$I44)),"➤",""),"")</f>
        <v/>
      </c>
      <c r="SS44" s="76" t="str">
        <f aca="false">IF($I44&gt;0%,IF(AND(SS$16&gt;=$F44,SS$16&lt;$F44+($G44*$I44)),"➤",""),"")</f>
        <v/>
      </c>
      <c r="ST44" s="76" t="str">
        <f aca="false">IF($I44&gt;0%,IF(AND(ST$16&gt;=$F44,ST$16&lt;$F44+($G44*$I44)),"➤",""),"")</f>
        <v/>
      </c>
      <c r="SU44" s="76" t="str">
        <f aca="false">IF($I44&gt;0%,IF(AND(SU$16&gt;=$F44,SU$16&lt;$F44+($G44*$I44)),"➤",""),"")</f>
        <v/>
      </c>
      <c r="SV44" s="76" t="str">
        <f aca="false">IF($I44&gt;0%,IF(AND(SV$16&gt;=$F44,SV$16&lt;$F44+($G44*$I44)),"➤",""),"")</f>
        <v/>
      </c>
      <c r="SW44" s="77" t="str">
        <f aca="false">IF($I44&gt;0%,IF(AND(SW$16&gt;=$F44,SW$16&lt;$F44+($G44*$I44)),"➤",""),"")</f>
        <v/>
      </c>
    </row>
    <row r="45" customFormat="false" ht="14.25" hidden="false" customHeight="false" outlineLevel="1" collapsed="false">
      <c r="C45" s="10"/>
      <c r="D45" s="78"/>
      <c r="E45" s="79"/>
      <c r="F45" s="80" t="n">
        <v>44165</v>
      </c>
      <c r="G45" s="81" t="n">
        <v>8</v>
      </c>
      <c r="H45" s="94" t="n">
        <f aca="false">(F45+G45)-1</f>
        <v>44172</v>
      </c>
      <c r="I45" s="98" t="n">
        <v>0</v>
      </c>
      <c r="J45" s="84"/>
      <c r="K45" s="85"/>
      <c r="L45" s="75" t="str">
        <f aca="false">IF($I45&gt;0%,IF(AND(L$16&gt;=$F45,L$16&lt;$F45+($G45*$I45)),"➤",""),"")</f>
        <v/>
      </c>
      <c r="M45" s="76" t="str">
        <f aca="false">IF($I45&gt;0%,IF(AND(M$16&gt;=$F45,M$16&lt;$F45+($G45*$I45)),"➤",""),"")</f>
        <v/>
      </c>
      <c r="N45" s="76" t="str">
        <f aca="false">IF($I45&gt;0%,IF(AND(N$16&gt;=$F45,N$16&lt;$F45+($G45*$I45)),"➤",""),"")</f>
        <v/>
      </c>
      <c r="O45" s="76" t="str">
        <f aca="false">IF($I45&gt;0%,IF(AND(O$16&gt;=$F45,O$16&lt;$F45+($G45*$I45)),"➤",""),"")</f>
        <v/>
      </c>
      <c r="P45" s="76" t="str">
        <f aca="false">IF($I45&gt;0%,IF(AND(P$16&gt;=$F45,P$16&lt;$F45+($G45*$I45)),"➤",""),"")</f>
        <v/>
      </c>
      <c r="Q45" s="76" t="str">
        <f aca="false">IF($I45&gt;0%,IF(AND(Q$16&gt;=$F45,Q$16&lt;$F45+($G45*$I45)),"➤",""),"")</f>
        <v/>
      </c>
      <c r="R45" s="76" t="str">
        <f aca="false">IF($I45&gt;0%,IF(AND(R$16&gt;=$F45,R$16&lt;$F45+($G45*$I45)),"➤",""),"")</f>
        <v/>
      </c>
      <c r="S45" s="76" t="str">
        <f aca="false">IF($I45&gt;0%,IF(AND(S$16&gt;=$F45,S$16&lt;$F45+($G45*$I45)),"➤",""),"")</f>
        <v/>
      </c>
      <c r="T45" s="76" t="str">
        <f aca="false">IF($I45&gt;0%,IF(AND(T$16&gt;=$F45,T$16&lt;$F45+($G45*$I45)),"➤",""),"")</f>
        <v/>
      </c>
      <c r="U45" s="76" t="str">
        <f aca="false">IF($I45&gt;0%,IF(AND(U$16&gt;=$F45,U$16&lt;$F45+($G45*$I45)),"➤",""),"")</f>
        <v/>
      </c>
      <c r="V45" s="76" t="str">
        <f aca="false">IF($I45&gt;0%,IF(AND(V$16&gt;=$F45,V$16&lt;$F45+($G45*$I45)),"➤",""),"")</f>
        <v/>
      </c>
      <c r="W45" s="76" t="str">
        <f aca="false">IF($I45&gt;0%,IF(AND(W$16&gt;=$F45,W$16&lt;$F45+($G45*$I45)),"➤",""),"")</f>
        <v/>
      </c>
      <c r="X45" s="76" t="str">
        <f aca="false">IF($I45&gt;0%,IF(AND(X$16&gt;=$F45,X$16&lt;$F45+($G45*$I45)),"➤",""),"")</f>
        <v/>
      </c>
      <c r="Y45" s="76" t="str">
        <f aca="false">IF($I45&gt;0%,IF(AND(Y$16&gt;=$F45,Y$16&lt;$F45+($G45*$I45)),"➤",""),"")</f>
        <v/>
      </c>
      <c r="Z45" s="76" t="str">
        <f aca="false">IF($I45&gt;0%,IF(AND(Z$16&gt;=$F45,Z$16&lt;$F45+($G45*$I45)),"➤",""),"")</f>
        <v/>
      </c>
      <c r="AA45" s="76" t="str">
        <f aca="false">IF($I45&gt;0%,IF(AND(AA$16&gt;=$F45,AA$16&lt;$F45+($G45*$I45)),"➤",""),"")</f>
        <v/>
      </c>
      <c r="AB45" s="76" t="str">
        <f aca="false">IF($I45&gt;0%,IF(AND(AB$16&gt;=$F45,AB$16&lt;$F45+($G45*$I45)),"➤",""),"")</f>
        <v/>
      </c>
      <c r="AC45" s="76" t="str">
        <f aca="false">IF($I45&gt;0%,IF(AND(AC$16&gt;=$F45,AC$16&lt;$F45+($G45*$I45)),"➤",""),"")</f>
        <v/>
      </c>
      <c r="AD45" s="76" t="str">
        <f aca="false">IF($I45&gt;0%,IF(AND(AD$16&gt;=$F45,AD$16&lt;$F45+($G45*$I45)),"➤",""),"")</f>
        <v/>
      </c>
      <c r="AE45" s="76" t="str">
        <f aca="false">IF($I45&gt;0%,IF(AND(AE$16&gt;=$F45,AE$16&lt;$F45+($G45*$I45)),"➤",""),"")</f>
        <v/>
      </c>
      <c r="AF45" s="76" t="str">
        <f aca="false">IF($I45&gt;0%,IF(AND(AF$16&gt;=$F45,AF$16&lt;$F45+($G45*$I45)),"➤",""),"")</f>
        <v/>
      </c>
      <c r="AG45" s="76" t="str">
        <f aca="false">IF($I45&gt;0%,IF(AND(AG$16&gt;=$F45,AG$16&lt;$F45+($G45*$I45)),"➤",""),"")</f>
        <v/>
      </c>
      <c r="AH45" s="76" t="str">
        <f aca="false">IF($I45&gt;0%,IF(AND(AH$16&gt;=$F45,AH$16&lt;$F45+($G45*$I45)),"➤",""),"")</f>
        <v/>
      </c>
      <c r="AI45" s="76" t="str">
        <f aca="false">IF($I45&gt;0%,IF(AND(AI$16&gt;=$F45,AI$16&lt;$F45+($G45*$I45)),"➤",""),"")</f>
        <v/>
      </c>
      <c r="AJ45" s="76" t="str">
        <f aca="false">IF($I45&gt;0%,IF(AND(AJ$16&gt;=$F45,AJ$16&lt;$F45+($G45*$I45)),"➤",""),"")</f>
        <v/>
      </c>
      <c r="AK45" s="76" t="str">
        <f aca="false">IF($I45&gt;0%,IF(AND(AK$16&gt;=$F45,AK$16&lt;$F45+($G45*$I45)),"➤",""),"")</f>
        <v/>
      </c>
      <c r="AL45" s="76" t="str">
        <f aca="false">IF($I45&gt;0%,IF(AND(AL$16&gt;=$F45,AL$16&lt;$F45+($G45*$I45)),"➤",""),"")</f>
        <v/>
      </c>
      <c r="AM45" s="76" t="str">
        <f aca="false">IF($I45&gt;0%,IF(AND(AM$16&gt;=$F45,AM$16&lt;$F45+($G45*$I45)),"➤",""),"")</f>
        <v/>
      </c>
      <c r="AN45" s="76" t="str">
        <f aca="false">IF($I45&gt;0%,IF(AND(AN$16&gt;=$F45,AN$16&lt;$F45+($G45*$I45)),"➤",""),"")</f>
        <v/>
      </c>
      <c r="AO45" s="76" t="str">
        <f aca="false">IF($I45&gt;0%,IF(AND(AO$16&gt;=$F45,AO$16&lt;$F45+($G45*$I45)),"➤",""),"")</f>
        <v/>
      </c>
      <c r="AP45" s="76" t="str">
        <f aca="false">IF($I45&gt;0%,IF(AND(AP$16&gt;=$F45,AP$16&lt;$F45+($G45*$I45)),"➤",""),"")</f>
        <v/>
      </c>
      <c r="AQ45" s="76" t="str">
        <f aca="false">IF($I45&gt;0%,IF(AND(AQ$16&gt;=$F45,AQ$16&lt;$F45+($G45*$I45)),"➤",""),"")</f>
        <v/>
      </c>
      <c r="AR45" s="76" t="str">
        <f aca="false">IF($I45&gt;0%,IF(AND(AR$16&gt;=$F45,AR$16&lt;$F45+($G45*$I45)),"➤",""),"")</f>
        <v/>
      </c>
      <c r="AS45" s="76" t="str">
        <f aca="false">IF($I45&gt;0%,IF(AND(AS$16&gt;=$F45,AS$16&lt;$F45+($G45*$I45)),"➤",""),"")</f>
        <v/>
      </c>
      <c r="AT45" s="76" t="str">
        <f aca="false">IF($I45&gt;0%,IF(AND(AT$16&gt;=$F45,AT$16&lt;$F45+($G45*$I45)),"➤",""),"")</f>
        <v/>
      </c>
      <c r="AU45" s="76" t="str">
        <f aca="false">IF($I45&gt;0%,IF(AND(AU$16&gt;=$F45,AU$16&lt;$F45+($G45*$I45)),"➤",""),"")</f>
        <v/>
      </c>
      <c r="AV45" s="76" t="str">
        <f aca="false">IF($I45&gt;0%,IF(AND(AV$16&gt;=$F45,AV$16&lt;$F45+($G45*$I45)),"➤",""),"")</f>
        <v/>
      </c>
      <c r="AW45" s="76" t="str">
        <f aca="false">IF($I45&gt;0%,IF(AND(AW$16&gt;=$F45,AW$16&lt;$F45+($G45*$I45)),"➤",""),"")</f>
        <v/>
      </c>
      <c r="AX45" s="76" t="str">
        <f aca="false">IF($I45&gt;0%,IF(AND(AX$16&gt;=$F45,AX$16&lt;$F45+($G45*$I45)),"➤",""),"")</f>
        <v/>
      </c>
      <c r="AY45" s="76" t="str">
        <f aca="false">IF($I45&gt;0%,IF(AND(AY$16&gt;=$F45,AY$16&lt;$F45+($G45*$I45)),"➤",""),"")</f>
        <v/>
      </c>
      <c r="AZ45" s="76" t="str">
        <f aca="false">IF($I45&gt;0%,IF(AND(AZ$16&gt;=$F45,AZ$16&lt;$F45+($G45*$I45)),"➤",""),"")</f>
        <v/>
      </c>
      <c r="BA45" s="76" t="str">
        <f aca="false">IF($I45&gt;0%,IF(AND(BA$16&gt;=$F45,BA$16&lt;$F45+($G45*$I45)),"➤",""),"")</f>
        <v/>
      </c>
      <c r="BB45" s="76" t="str">
        <f aca="false">IF($I45&gt;0%,IF(AND(BB$16&gt;=$F45,BB$16&lt;$F45+($G45*$I45)),"➤",""),"")</f>
        <v/>
      </c>
      <c r="BC45" s="76" t="str">
        <f aca="false">IF($I45&gt;0%,IF(AND(BC$16&gt;=$F45,BC$16&lt;$F45+($G45*$I45)),"➤",""),"")</f>
        <v/>
      </c>
      <c r="BD45" s="76" t="str">
        <f aca="false">IF($I45&gt;0%,IF(AND(BD$16&gt;=$F45,BD$16&lt;$F45+($G45*$I45)),"➤",""),"")</f>
        <v/>
      </c>
      <c r="BE45" s="76" t="str">
        <f aca="false">IF($I45&gt;0%,IF(AND(BE$16&gt;=$F45,BE$16&lt;$F45+($G45*$I45)),"➤",""),"")</f>
        <v/>
      </c>
      <c r="BF45" s="76" t="str">
        <f aca="false">IF($I45&gt;0%,IF(AND(BF$16&gt;=$F45,BF$16&lt;$F45+($G45*$I45)),"➤",""),"")</f>
        <v/>
      </c>
      <c r="BG45" s="76" t="str">
        <f aca="false">IF($I45&gt;0%,IF(AND(BG$16&gt;=$F45,BG$16&lt;$F45+($G45*$I45)),"➤",""),"")</f>
        <v/>
      </c>
      <c r="BH45" s="76" t="str">
        <f aca="false">IF($I45&gt;0%,IF(AND(BH$16&gt;=$F45,BH$16&lt;$F45+($G45*$I45)),"➤",""),"")</f>
        <v/>
      </c>
      <c r="BI45" s="76" t="str">
        <f aca="false">IF($I45&gt;0%,IF(AND(BI$16&gt;=$F45,BI$16&lt;$F45+($G45*$I45)),"➤",""),"")</f>
        <v/>
      </c>
      <c r="BJ45" s="76" t="str">
        <f aca="false">IF($I45&gt;0%,IF(AND(BJ$16&gt;=$F45,BJ$16&lt;$F45+($G45*$I45)),"➤",""),"")</f>
        <v/>
      </c>
      <c r="BK45" s="76" t="str">
        <f aca="false">IF($I45&gt;0%,IF(AND(BK$16&gt;=$F45,BK$16&lt;$F45+($G45*$I45)),"➤",""),"")</f>
        <v/>
      </c>
      <c r="BL45" s="76" t="str">
        <f aca="false">IF($I45&gt;0%,IF(AND(BL$16&gt;=$F45,BL$16&lt;$F45+($G45*$I45)),"➤",""),"")</f>
        <v/>
      </c>
      <c r="BM45" s="76" t="str">
        <f aca="false">IF($I45&gt;0%,IF(AND(BM$16&gt;=$F45,BM$16&lt;$F45+($G45*$I45)),"➤",""),"")</f>
        <v/>
      </c>
      <c r="BN45" s="76" t="str">
        <f aca="false">IF($I45&gt;0%,IF(AND(BN$16&gt;=$F45,BN$16&lt;$F45+($G45*$I45)),"➤",""),"")</f>
        <v/>
      </c>
      <c r="BO45" s="76" t="str">
        <f aca="false">IF($I45&gt;0%,IF(AND(BO$16&gt;=$F45,BO$16&lt;$F45+($G45*$I45)),"➤",""),"")</f>
        <v/>
      </c>
      <c r="BP45" s="76" t="str">
        <f aca="false">IF($I45&gt;0%,IF(AND(BP$16&gt;=$F45,BP$16&lt;$F45+($G45*$I45)),"➤",""),"")</f>
        <v/>
      </c>
      <c r="BQ45" s="76" t="str">
        <f aca="false">IF($I45&gt;0%,IF(AND(BQ$16&gt;=$F45,BQ$16&lt;$F45+($G45*$I45)),"➤",""),"")</f>
        <v/>
      </c>
      <c r="BR45" s="76" t="str">
        <f aca="false">IF($I45&gt;0%,IF(AND(BR$16&gt;=$F45,BR$16&lt;$F45+($G45*$I45)),"➤",""),"")</f>
        <v/>
      </c>
      <c r="BS45" s="76" t="str">
        <f aca="false">IF($I45&gt;0%,IF(AND(BS$16&gt;=$F45,BS$16&lt;$F45+($G45*$I45)),"➤",""),"")</f>
        <v/>
      </c>
      <c r="BT45" s="76" t="str">
        <f aca="false">IF($I45&gt;0%,IF(AND(BT$16&gt;=$F45,BT$16&lt;$F45+($G45*$I45)),"➤",""),"")</f>
        <v/>
      </c>
      <c r="BU45" s="76" t="str">
        <f aca="false">IF($I45&gt;0%,IF(AND(BU$16&gt;=$F45,BU$16&lt;$F45+($G45*$I45)),"➤",""),"")</f>
        <v/>
      </c>
      <c r="BV45" s="76" t="str">
        <f aca="false">IF($I45&gt;0%,IF(AND(BV$16&gt;=$F45,BV$16&lt;$F45+($G45*$I45)),"➤",""),"")</f>
        <v/>
      </c>
      <c r="BW45" s="76" t="str">
        <f aca="false">IF($I45&gt;0%,IF(AND(BW$16&gt;=$F45,BW$16&lt;$F45+($G45*$I45)),"➤",""),"")</f>
        <v/>
      </c>
      <c r="BX45" s="76" t="str">
        <f aca="false">IF($I45&gt;0%,IF(AND(BX$16&gt;=$F45,BX$16&lt;$F45+($G45*$I45)),"➤",""),"")</f>
        <v/>
      </c>
      <c r="BY45" s="76" t="str">
        <f aca="false">IF($I45&gt;0%,IF(AND(BY$16&gt;=$F45,BY$16&lt;$F45+($G45*$I45)),"➤",""),"")</f>
        <v/>
      </c>
      <c r="BZ45" s="76" t="str">
        <f aca="false">IF($I45&gt;0%,IF(AND(BZ$16&gt;=$F45,BZ$16&lt;$F45+($G45*$I45)),"➤",""),"")</f>
        <v/>
      </c>
      <c r="CA45" s="76" t="str">
        <f aca="false">IF($I45&gt;0%,IF(AND(CA$16&gt;=$F45,CA$16&lt;$F45+($G45*$I45)),"➤",""),"")</f>
        <v/>
      </c>
      <c r="CB45" s="76" t="str">
        <f aca="false">IF($I45&gt;0%,IF(AND(CB$16&gt;=$F45,CB$16&lt;$F45+($G45*$I45)),"➤",""),"")</f>
        <v/>
      </c>
      <c r="CC45" s="76" t="str">
        <f aca="false">IF($I45&gt;0%,IF(AND(CC$16&gt;=$F45,CC$16&lt;$F45+($G45*$I45)),"➤",""),"")</f>
        <v/>
      </c>
      <c r="CD45" s="76" t="str">
        <f aca="false">IF($I45&gt;0%,IF(AND(CD$16&gt;=$F45,CD$16&lt;$F45+($G45*$I45)),"➤",""),"")</f>
        <v/>
      </c>
      <c r="CE45" s="76" t="str">
        <f aca="false">IF($I45&gt;0%,IF(AND(CE$16&gt;=$F45,CE$16&lt;$F45+($G45*$I45)),"➤",""),"")</f>
        <v/>
      </c>
      <c r="CF45" s="76" t="str">
        <f aca="false">IF($I45&gt;0%,IF(AND(CF$16&gt;=$F45,CF$16&lt;$F45+($G45*$I45)),"➤",""),"")</f>
        <v/>
      </c>
      <c r="CG45" s="76" t="str">
        <f aca="false">IF($I45&gt;0%,IF(AND(CG$16&gt;=$F45,CG$16&lt;$F45+($G45*$I45)),"➤",""),"")</f>
        <v/>
      </c>
      <c r="CH45" s="76" t="str">
        <f aca="false">IF($I45&gt;0%,IF(AND(CH$16&gt;=$F45,CH$16&lt;$F45+($G45*$I45)),"➤",""),"")</f>
        <v/>
      </c>
      <c r="CI45" s="76" t="str">
        <f aca="false">IF($I45&gt;0%,IF(AND(CI$16&gt;=$F45,CI$16&lt;$F45+($G45*$I45)),"➤",""),"")</f>
        <v/>
      </c>
      <c r="CJ45" s="76" t="str">
        <f aca="false">IF($I45&gt;0%,IF(AND(CJ$16&gt;=$F45,CJ$16&lt;$F45+($G45*$I45)),"➤",""),"")</f>
        <v/>
      </c>
      <c r="CK45" s="76" t="str">
        <f aca="false">IF($I45&gt;0%,IF(AND(CK$16&gt;=$F45,CK$16&lt;$F45+($G45*$I45)),"➤",""),"")</f>
        <v/>
      </c>
      <c r="CL45" s="76" t="str">
        <f aca="false">IF($I45&gt;0%,IF(AND(CL$16&gt;=$F45,CL$16&lt;$F45+($G45*$I45)),"➤",""),"")</f>
        <v/>
      </c>
      <c r="CM45" s="76" t="str">
        <f aca="false">IF($I45&gt;0%,IF(AND(CM$16&gt;=$F45,CM$16&lt;$F45+($G45*$I45)),"➤",""),"")</f>
        <v/>
      </c>
      <c r="CN45" s="76" t="str">
        <f aca="false">IF($I45&gt;0%,IF(AND(CN$16&gt;=$F45,CN$16&lt;$F45+($G45*$I45)),"➤",""),"")</f>
        <v/>
      </c>
      <c r="CO45" s="76" t="str">
        <f aca="false">IF($I45&gt;0%,IF(AND(CO$16&gt;=$F45,CO$16&lt;$F45+($G45*$I45)),"➤",""),"")</f>
        <v/>
      </c>
      <c r="CP45" s="76" t="str">
        <f aca="false">IF($I45&gt;0%,IF(AND(CP$16&gt;=$F45,CP$16&lt;$F45+($G45*$I45)),"➤",""),"")</f>
        <v/>
      </c>
      <c r="CQ45" s="76" t="str">
        <f aca="false">IF($I45&gt;0%,IF(AND(CQ$16&gt;=$F45,CQ$16&lt;$F45+($G45*$I45)),"➤",""),"")</f>
        <v/>
      </c>
      <c r="CR45" s="76" t="str">
        <f aca="false">IF($I45&gt;0%,IF(AND(CR$16&gt;=$F45,CR$16&lt;$F45+($G45*$I45)),"➤",""),"")</f>
        <v/>
      </c>
      <c r="CS45" s="76" t="str">
        <f aca="false">IF($I45&gt;0%,IF(AND(CS$16&gt;=$F45,CS$16&lt;$F45+($G45*$I45)),"➤",""),"")</f>
        <v/>
      </c>
      <c r="CT45" s="76" t="str">
        <f aca="false">IF($I45&gt;0%,IF(AND(CT$16&gt;=$F45,CT$16&lt;$F45+($G45*$I45)),"➤",""),"")</f>
        <v/>
      </c>
      <c r="CU45" s="76" t="str">
        <f aca="false">IF($I45&gt;0%,IF(AND(CU$16&gt;=$F45,CU$16&lt;$F45+($G45*$I45)),"➤",""),"")</f>
        <v/>
      </c>
      <c r="CV45" s="76" t="str">
        <f aca="false">IF($I45&gt;0%,IF(AND(CV$16&gt;=$F45,CV$16&lt;$F45+($G45*$I45)),"➤",""),"")</f>
        <v/>
      </c>
      <c r="CW45" s="76" t="str">
        <f aca="false">IF($I45&gt;0%,IF(AND(CW$16&gt;=$F45,CW$16&lt;$F45+($G45*$I45)),"➤",""),"")</f>
        <v/>
      </c>
      <c r="CX45" s="76" t="str">
        <f aca="false">IF($I45&gt;0%,IF(AND(CX$16&gt;=$F45,CX$16&lt;$F45+($G45*$I45)),"➤",""),"")</f>
        <v/>
      </c>
      <c r="CY45" s="76" t="str">
        <f aca="false">IF($I45&gt;0%,IF(AND(CY$16&gt;=$F45,CY$16&lt;$F45+($G45*$I45)),"➤",""),"")</f>
        <v/>
      </c>
      <c r="CZ45" s="76" t="str">
        <f aca="false">IF($I45&gt;0%,IF(AND(CZ$16&gt;=$F45,CZ$16&lt;$F45+($G45*$I45)),"➤",""),"")</f>
        <v/>
      </c>
      <c r="DA45" s="76" t="str">
        <f aca="false">IF($I45&gt;0%,IF(AND(DA$16&gt;=$F45,DA$16&lt;$F45+($G45*$I45)),"➤",""),"")</f>
        <v/>
      </c>
      <c r="DB45" s="76" t="str">
        <f aca="false">IF($I45&gt;0%,IF(AND(DB$16&gt;=$F45,DB$16&lt;$F45+($G45*$I45)),"➤",""),"")</f>
        <v/>
      </c>
      <c r="DC45" s="76" t="str">
        <f aca="false">IF($I45&gt;0%,IF(AND(DC$16&gt;=$F45,DC$16&lt;$F45+($G45*$I45)),"➤",""),"")</f>
        <v/>
      </c>
      <c r="DD45" s="76" t="str">
        <f aca="false">IF($I45&gt;0%,IF(AND(DD$16&gt;=$F45,DD$16&lt;$F45+($G45*$I45)),"➤",""),"")</f>
        <v/>
      </c>
      <c r="DE45" s="76" t="str">
        <f aca="false">IF($I45&gt;0%,IF(AND(DE$16&gt;=$F45,DE$16&lt;$F45+($G45*$I45)),"➤",""),"")</f>
        <v/>
      </c>
      <c r="DF45" s="76" t="str">
        <f aca="false">IF($I45&gt;0%,IF(AND(DF$16&gt;=$F45,DF$16&lt;$F45+($G45*$I45)),"➤",""),"")</f>
        <v/>
      </c>
      <c r="DG45" s="76" t="str">
        <f aca="false">IF($I45&gt;0%,IF(AND(DG$16&gt;=$F45,DG$16&lt;$F45+($G45*$I45)),"➤",""),"")</f>
        <v/>
      </c>
      <c r="DH45" s="76" t="str">
        <f aca="false">IF($I45&gt;0%,IF(AND(DH$16&gt;=$F45,DH$16&lt;$F45+($G45*$I45)),"➤",""),"")</f>
        <v/>
      </c>
      <c r="DI45" s="76" t="str">
        <f aca="false">IF($I45&gt;0%,IF(AND(DI$16&gt;=$F45,DI$16&lt;$F45+($G45*$I45)),"➤",""),"")</f>
        <v/>
      </c>
      <c r="DJ45" s="76" t="str">
        <f aca="false">IF($I45&gt;0%,IF(AND(DJ$16&gt;=$F45,DJ$16&lt;$F45+($G45*$I45)),"➤",""),"")</f>
        <v/>
      </c>
      <c r="DK45" s="76" t="str">
        <f aca="false">IF($I45&gt;0%,IF(AND(DK$16&gt;=$F45,DK$16&lt;$F45+($G45*$I45)),"➤",""),"")</f>
        <v/>
      </c>
      <c r="DL45" s="76" t="str">
        <f aca="false">IF($I45&gt;0%,IF(AND(DL$16&gt;=$F45,DL$16&lt;$F45+($G45*$I45)),"➤",""),"")</f>
        <v/>
      </c>
      <c r="DM45" s="76" t="str">
        <f aca="false">IF($I45&gt;0%,IF(AND(DM$16&gt;=$F45,DM$16&lt;$F45+($G45*$I45)),"➤",""),"")</f>
        <v/>
      </c>
      <c r="DN45" s="76" t="str">
        <f aca="false">IF($I45&gt;0%,IF(AND(DN$16&gt;=$F45,DN$16&lt;$F45+($G45*$I45)),"➤",""),"")</f>
        <v/>
      </c>
      <c r="DO45" s="76" t="str">
        <f aca="false">IF($I45&gt;0%,IF(AND(DO$16&gt;=$F45,DO$16&lt;$F45+($G45*$I45)),"➤",""),"")</f>
        <v/>
      </c>
      <c r="DP45" s="76" t="str">
        <f aca="false">IF($I45&gt;0%,IF(AND(DP$16&gt;=$F45,DP$16&lt;$F45+($G45*$I45)),"➤",""),"")</f>
        <v/>
      </c>
      <c r="DQ45" s="76" t="str">
        <f aca="false">IF($I45&gt;0%,IF(AND(DQ$16&gt;=$F45,DQ$16&lt;$F45+($G45*$I45)),"➤",""),"")</f>
        <v/>
      </c>
      <c r="DR45" s="76" t="str">
        <f aca="false">IF($I45&gt;0%,IF(AND(DR$16&gt;=$F45,DR$16&lt;$F45+($G45*$I45)),"➤",""),"")</f>
        <v/>
      </c>
      <c r="DS45" s="76" t="str">
        <f aca="false">IF($I45&gt;0%,IF(AND(DS$16&gt;=$F45,DS$16&lt;$F45+($G45*$I45)),"➤",""),"")</f>
        <v/>
      </c>
      <c r="DT45" s="76" t="str">
        <f aca="false">IF($I45&gt;0%,IF(AND(DT$16&gt;=$F45,DT$16&lt;$F45+($G45*$I45)),"➤",""),"")</f>
        <v/>
      </c>
      <c r="DU45" s="76" t="str">
        <f aca="false">IF($I45&gt;0%,IF(AND(DU$16&gt;=$F45,DU$16&lt;$F45+($G45*$I45)),"➤",""),"")</f>
        <v/>
      </c>
      <c r="DV45" s="76" t="str">
        <f aca="false">IF($I45&gt;0%,IF(AND(DV$16&gt;=$F45,DV$16&lt;$F45+($G45*$I45)),"➤",""),"")</f>
        <v/>
      </c>
      <c r="DW45" s="76" t="str">
        <f aca="false">IF($I45&gt;0%,IF(AND(DW$16&gt;=$F45,DW$16&lt;$F45+($G45*$I45)),"➤",""),"")</f>
        <v/>
      </c>
      <c r="DX45" s="76" t="str">
        <f aca="false">IF($I45&gt;0%,IF(AND(DX$16&gt;=$F45,DX$16&lt;$F45+($G45*$I45)),"➤",""),"")</f>
        <v/>
      </c>
      <c r="DY45" s="76" t="str">
        <f aca="false">IF($I45&gt;0%,IF(AND(DY$16&gt;=$F45,DY$16&lt;$F45+($G45*$I45)),"➤",""),"")</f>
        <v/>
      </c>
      <c r="DZ45" s="76" t="str">
        <f aca="false">IF($I45&gt;0%,IF(AND(DZ$16&gt;=$F45,DZ$16&lt;$F45+($G45*$I45)),"➤",""),"")</f>
        <v/>
      </c>
      <c r="EA45" s="76" t="str">
        <f aca="false">IF($I45&gt;0%,IF(AND(EA$16&gt;=$F45,EA$16&lt;$F45+($G45*$I45)),"➤",""),"")</f>
        <v/>
      </c>
      <c r="EB45" s="76" t="str">
        <f aca="false">IF($I45&gt;0%,IF(AND(EB$16&gt;=$F45,EB$16&lt;$F45+($G45*$I45)),"➤",""),"")</f>
        <v/>
      </c>
      <c r="EC45" s="76" t="str">
        <f aca="false">IF($I45&gt;0%,IF(AND(EC$16&gt;=$F45,EC$16&lt;$F45+($G45*$I45)),"➤",""),"")</f>
        <v/>
      </c>
      <c r="ED45" s="76" t="str">
        <f aca="false">IF($I45&gt;0%,IF(AND(ED$16&gt;=$F45,ED$16&lt;$F45+($G45*$I45)),"➤",""),"")</f>
        <v/>
      </c>
      <c r="EE45" s="76" t="str">
        <f aca="false">IF($I45&gt;0%,IF(AND(EE$16&gt;=$F45,EE$16&lt;$F45+($G45*$I45)),"➤",""),"")</f>
        <v/>
      </c>
      <c r="EF45" s="76" t="str">
        <f aca="false">IF($I45&gt;0%,IF(AND(EF$16&gt;=$F45,EF$16&lt;$F45+($G45*$I45)),"➤",""),"")</f>
        <v/>
      </c>
      <c r="EG45" s="76" t="str">
        <f aca="false">IF($I45&gt;0%,IF(AND(EG$16&gt;=$F45,EG$16&lt;$F45+($G45*$I45)),"➤",""),"")</f>
        <v/>
      </c>
      <c r="EH45" s="76" t="str">
        <f aca="false">IF($I45&gt;0%,IF(AND(EH$16&gt;=$F45,EH$16&lt;$F45+($G45*$I45)),"➤",""),"")</f>
        <v/>
      </c>
      <c r="EI45" s="76" t="str">
        <f aca="false">IF($I45&gt;0%,IF(AND(EI$16&gt;=$F45,EI$16&lt;$F45+($G45*$I45)),"➤",""),"")</f>
        <v/>
      </c>
      <c r="EJ45" s="76" t="str">
        <f aca="false">IF($I45&gt;0%,IF(AND(EJ$16&gt;=$F45,EJ$16&lt;$F45+($G45*$I45)),"➤",""),"")</f>
        <v/>
      </c>
      <c r="EK45" s="76" t="str">
        <f aca="false">IF($I45&gt;0%,IF(AND(EK$16&gt;=$F45,EK$16&lt;$F45+($G45*$I45)),"➤",""),"")</f>
        <v/>
      </c>
      <c r="EL45" s="76" t="str">
        <f aca="false">IF($I45&gt;0%,IF(AND(EL$16&gt;=$F45,EL$16&lt;$F45+($G45*$I45)),"➤",""),"")</f>
        <v/>
      </c>
      <c r="EM45" s="76" t="str">
        <f aca="false">IF($I45&gt;0%,IF(AND(EM$16&gt;=$F45,EM$16&lt;$F45+($G45*$I45)),"➤",""),"")</f>
        <v/>
      </c>
      <c r="EN45" s="76" t="str">
        <f aca="false">IF($I45&gt;0%,IF(AND(EN$16&gt;=$F45,EN$16&lt;$F45+($G45*$I45)),"➤",""),"")</f>
        <v/>
      </c>
      <c r="EO45" s="76" t="str">
        <f aca="false">IF($I45&gt;0%,IF(AND(EO$16&gt;=$F45,EO$16&lt;$F45+($G45*$I45)),"➤",""),"")</f>
        <v/>
      </c>
      <c r="EP45" s="76" t="str">
        <f aca="false">IF($I45&gt;0%,IF(AND(EP$16&gt;=$F45,EP$16&lt;$F45+($G45*$I45)),"➤",""),"")</f>
        <v/>
      </c>
      <c r="EQ45" s="76" t="str">
        <f aca="false">IF($I45&gt;0%,IF(AND(EQ$16&gt;=$F45,EQ$16&lt;$F45+($G45*$I45)),"➤",""),"")</f>
        <v/>
      </c>
      <c r="ER45" s="76" t="str">
        <f aca="false">IF($I45&gt;0%,IF(AND(ER$16&gt;=$F45,ER$16&lt;$F45+($G45*$I45)),"➤",""),"")</f>
        <v/>
      </c>
      <c r="ES45" s="76" t="str">
        <f aca="false">IF($I45&gt;0%,IF(AND(ES$16&gt;=$F45,ES$16&lt;$F45+($G45*$I45)),"➤",""),"")</f>
        <v/>
      </c>
      <c r="ET45" s="76" t="str">
        <f aca="false">IF($I45&gt;0%,IF(AND(ET$16&gt;=$F45,ET$16&lt;$F45+($G45*$I45)),"➤",""),"")</f>
        <v/>
      </c>
      <c r="EU45" s="76" t="str">
        <f aca="false">IF($I45&gt;0%,IF(AND(EU$16&gt;=$F45,EU$16&lt;$F45+($G45*$I45)),"➤",""),"")</f>
        <v/>
      </c>
      <c r="EV45" s="76" t="str">
        <f aca="false">IF($I45&gt;0%,IF(AND(EV$16&gt;=$F45,EV$16&lt;$F45+($G45*$I45)),"➤",""),"")</f>
        <v/>
      </c>
      <c r="EW45" s="76" t="str">
        <f aca="false">IF($I45&gt;0%,IF(AND(EW$16&gt;=$F45,EW$16&lt;$F45+($G45*$I45)),"➤",""),"")</f>
        <v/>
      </c>
      <c r="EX45" s="76" t="str">
        <f aca="false">IF($I45&gt;0%,IF(AND(EX$16&gt;=$F45,EX$16&lt;$F45+($G45*$I45)),"➤",""),"")</f>
        <v/>
      </c>
      <c r="EY45" s="76" t="str">
        <f aca="false">IF($I45&gt;0%,IF(AND(EY$16&gt;=$F45,EY$16&lt;$F45+($G45*$I45)),"➤",""),"")</f>
        <v/>
      </c>
      <c r="EZ45" s="76" t="str">
        <f aca="false">IF($I45&gt;0%,IF(AND(EZ$16&gt;=$F45,EZ$16&lt;$F45+($G45*$I45)),"➤",""),"")</f>
        <v/>
      </c>
      <c r="FA45" s="76" t="str">
        <f aca="false">IF($I45&gt;0%,IF(AND(FA$16&gt;=$F45,FA$16&lt;$F45+($G45*$I45)),"➤",""),"")</f>
        <v/>
      </c>
      <c r="FB45" s="76" t="str">
        <f aca="false">IF($I45&gt;0%,IF(AND(FB$16&gt;=$F45,FB$16&lt;$F45+($G45*$I45)),"➤",""),"")</f>
        <v/>
      </c>
      <c r="FC45" s="76" t="str">
        <f aca="false">IF($I45&gt;0%,IF(AND(FC$16&gt;=$F45,FC$16&lt;$F45+($G45*$I45)),"➤",""),"")</f>
        <v/>
      </c>
      <c r="FD45" s="76" t="str">
        <f aca="false">IF($I45&gt;0%,IF(AND(FD$16&gt;=$F45,FD$16&lt;$F45+($G45*$I45)),"➤",""),"")</f>
        <v/>
      </c>
      <c r="FE45" s="76" t="str">
        <f aca="false">IF($I45&gt;0%,IF(AND(FE$16&gt;=$F45,FE$16&lt;$F45+($G45*$I45)),"➤",""),"")</f>
        <v/>
      </c>
      <c r="FF45" s="76" t="str">
        <f aca="false">IF($I45&gt;0%,IF(AND(FF$16&gt;=$F45,FF$16&lt;$F45+($G45*$I45)),"➤",""),"")</f>
        <v/>
      </c>
      <c r="FG45" s="76" t="str">
        <f aca="false">IF($I45&gt;0%,IF(AND(FG$16&gt;=$F45,FG$16&lt;$F45+($G45*$I45)),"➤",""),"")</f>
        <v/>
      </c>
      <c r="FH45" s="76" t="str">
        <f aca="false">IF($I45&gt;0%,IF(AND(FH$16&gt;=$F45,FH$16&lt;$F45+($G45*$I45)),"➤",""),"")</f>
        <v/>
      </c>
      <c r="FI45" s="76" t="str">
        <f aca="false">IF($I45&gt;0%,IF(AND(FI$16&gt;=$F45,FI$16&lt;$F45+($G45*$I45)),"➤",""),"")</f>
        <v/>
      </c>
      <c r="FJ45" s="76" t="str">
        <f aca="false">IF($I45&gt;0%,IF(AND(FJ$16&gt;=$F45,FJ$16&lt;$F45+($G45*$I45)),"➤",""),"")</f>
        <v/>
      </c>
      <c r="FK45" s="76" t="str">
        <f aca="false">IF($I45&gt;0%,IF(AND(FK$16&gt;=$F45,FK$16&lt;$F45+($G45*$I45)),"➤",""),"")</f>
        <v/>
      </c>
      <c r="FL45" s="76" t="str">
        <f aca="false">IF($I45&gt;0%,IF(AND(FL$16&gt;=$F45,FL$16&lt;$F45+($G45*$I45)),"➤",""),"")</f>
        <v/>
      </c>
      <c r="FM45" s="76" t="str">
        <f aca="false">IF($I45&gt;0%,IF(AND(FM$16&gt;=$F45,FM$16&lt;$F45+($G45*$I45)),"➤",""),"")</f>
        <v/>
      </c>
      <c r="FN45" s="76" t="str">
        <f aca="false">IF($I45&gt;0%,IF(AND(FN$16&gt;=$F45,FN$16&lt;$F45+($G45*$I45)),"➤",""),"")</f>
        <v/>
      </c>
      <c r="FO45" s="76" t="str">
        <f aca="false">IF($I45&gt;0%,IF(AND(FO$16&gt;=$F45,FO$16&lt;$F45+($G45*$I45)),"➤",""),"")</f>
        <v/>
      </c>
      <c r="FP45" s="76" t="str">
        <f aca="false">IF($I45&gt;0%,IF(AND(FP$16&gt;=$F45,FP$16&lt;$F45+($G45*$I45)),"➤",""),"")</f>
        <v/>
      </c>
      <c r="FQ45" s="76" t="str">
        <f aca="false">IF($I45&gt;0%,IF(AND(FQ$16&gt;=$F45,FQ$16&lt;$F45+($G45*$I45)),"➤",""),"")</f>
        <v/>
      </c>
      <c r="FR45" s="76" t="str">
        <f aca="false">IF($I45&gt;0%,IF(AND(FR$16&gt;=$F45,FR$16&lt;$F45+($G45*$I45)),"➤",""),"")</f>
        <v/>
      </c>
      <c r="FS45" s="76" t="str">
        <f aca="false">IF($I45&gt;0%,IF(AND(FS$16&gt;=$F45,FS$16&lt;$F45+($G45*$I45)),"➤",""),"")</f>
        <v/>
      </c>
      <c r="FT45" s="76" t="str">
        <f aca="false">IF($I45&gt;0%,IF(AND(FT$16&gt;=$F45,FT$16&lt;$F45+($G45*$I45)),"➤",""),"")</f>
        <v/>
      </c>
      <c r="FU45" s="76" t="str">
        <f aca="false">IF($I45&gt;0%,IF(AND(FU$16&gt;=$F45,FU$16&lt;$F45+($G45*$I45)),"➤",""),"")</f>
        <v/>
      </c>
      <c r="FV45" s="76" t="str">
        <f aca="false">IF($I45&gt;0%,IF(AND(FV$16&gt;=$F45,FV$16&lt;$F45+($G45*$I45)),"➤",""),"")</f>
        <v/>
      </c>
      <c r="FW45" s="76" t="str">
        <f aca="false">IF($I45&gt;0%,IF(AND(FW$16&gt;=$F45,FW$16&lt;$F45+($G45*$I45)),"➤",""),"")</f>
        <v/>
      </c>
      <c r="FX45" s="76" t="str">
        <f aca="false">IF($I45&gt;0%,IF(AND(FX$16&gt;=$F45,FX$16&lt;$F45+($G45*$I45)),"➤",""),"")</f>
        <v/>
      </c>
      <c r="FY45" s="76" t="str">
        <f aca="false">IF($I45&gt;0%,IF(AND(FY$16&gt;=$F45,FY$16&lt;$F45+($G45*$I45)),"➤",""),"")</f>
        <v/>
      </c>
      <c r="FZ45" s="76" t="str">
        <f aca="false">IF($I45&gt;0%,IF(AND(FZ$16&gt;=$F45,FZ$16&lt;$F45+($G45*$I45)),"➤",""),"")</f>
        <v/>
      </c>
      <c r="GA45" s="76" t="str">
        <f aca="false">IF($I45&gt;0%,IF(AND(GA$16&gt;=$F45,GA$16&lt;$F45+($G45*$I45)),"➤",""),"")</f>
        <v/>
      </c>
      <c r="GB45" s="76" t="str">
        <f aca="false">IF($I45&gt;0%,IF(AND(GB$16&gt;=$F45,GB$16&lt;$F45+($G45*$I45)),"➤",""),"")</f>
        <v/>
      </c>
      <c r="GC45" s="76" t="str">
        <f aca="false">IF($I45&gt;0%,IF(AND(GC$16&gt;=$F45,GC$16&lt;$F45+($G45*$I45)),"➤",""),"")</f>
        <v/>
      </c>
      <c r="GD45" s="76" t="str">
        <f aca="false">IF($I45&gt;0%,IF(AND(GD$16&gt;=$F45,GD$16&lt;$F45+($G45*$I45)),"➤",""),"")</f>
        <v/>
      </c>
      <c r="GE45" s="76" t="str">
        <f aca="false">IF($I45&gt;0%,IF(AND(GE$16&gt;=$F45,GE$16&lt;$F45+($G45*$I45)),"➤",""),"")</f>
        <v/>
      </c>
      <c r="GF45" s="76" t="str">
        <f aca="false">IF($I45&gt;0%,IF(AND(GF$16&gt;=$F45,GF$16&lt;$F45+($G45*$I45)),"➤",""),"")</f>
        <v/>
      </c>
      <c r="GG45" s="76" t="str">
        <f aca="false">IF($I45&gt;0%,IF(AND(GG$16&gt;=$F45,GG$16&lt;$F45+($G45*$I45)),"➤",""),"")</f>
        <v/>
      </c>
      <c r="GH45" s="76" t="str">
        <f aca="false">IF($I45&gt;0%,IF(AND(GH$16&gt;=$F45,GH$16&lt;$F45+($G45*$I45)),"➤",""),"")</f>
        <v/>
      </c>
      <c r="GI45" s="76" t="str">
        <f aca="false">IF($I45&gt;0%,IF(AND(GI$16&gt;=$F45,GI$16&lt;$F45+($G45*$I45)),"➤",""),"")</f>
        <v/>
      </c>
      <c r="GJ45" s="76" t="str">
        <f aca="false">IF($I45&gt;0%,IF(AND(GJ$16&gt;=$F45,GJ$16&lt;$F45+($G45*$I45)),"➤",""),"")</f>
        <v/>
      </c>
      <c r="GK45" s="76" t="str">
        <f aca="false">IF($I45&gt;0%,IF(AND(GK$16&gt;=$F45,GK$16&lt;$F45+($G45*$I45)),"➤",""),"")</f>
        <v/>
      </c>
      <c r="GL45" s="76" t="str">
        <f aca="false">IF($I45&gt;0%,IF(AND(GL$16&gt;=$F45,GL$16&lt;$F45+($G45*$I45)),"➤",""),"")</f>
        <v/>
      </c>
      <c r="GM45" s="76" t="str">
        <f aca="false">IF($I45&gt;0%,IF(AND(GM$16&gt;=$F45,GM$16&lt;$F45+($G45*$I45)),"➤",""),"")</f>
        <v/>
      </c>
      <c r="GN45" s="76" t="str">
        <f aca="false">IF($I45&gt;0%,IF(AND(GN$16&gt;=$F45,GN$16&lt;$F45+($G45*$I45)),"➤",""),"")</f>
        <v/>
      </c>
      <c r="GO45" s="76" t="str">
        <f aca="false">IF($I45&gt;0%,IF(AND(GO$16&gt;=$F45,GO$16&lt;$F45+($G45*$I45)),"➤",""),"")</f>
        <v/>
      </c>
      <c r="GP45" s="76" t="str">
        <f aca="false">IF($I45&gt;0%,IF(AND(GP$16&gt;=$F45,GP$16&lt;$F45+($G45*$I45)),"➤",""),"")</f>
        <v/>
      </c>
      <c r="GQ45" s="76" t="str">
        <f aca="false">IF($I45&gt;0%,IF(AND(GQ$16&gt;=$F45,GQ$16&lt;$F45+($G45*$I45)),"➤",""),"")</f>
        <v/>
      </c>
      <c r="GR45" s="76" t="str">
        <f aca="false">IF($I45&gt;0%,IF(AND(GR$16&gt;=$F45,GR$16&lt;$F45+($G45*$I45)),"➤",""),"")</f>
        <v/>
      </c>
      <c r="GS45" s="76" t="str">
        <f aca="false">IF($I45&gt;0%,IF(AND(GS$16&gt;=$F45,GS$16&lt;$F45+($G45*$I45)),"➤",""),"")</f>
        <v/>
      </c>
      <c r="GT45" s="76" t="str">
        <f aca="false">IF($I45&gt;0%,IF(AND(GT$16&gt;=$F45,GT$16&lt;$F45+($G45*$I45)),"➤",""),"")</f>
        <v/>
      </c>
      <c r="GU45" s="76" t="str">
        <f aca="false">IF($I45&gt;0%,IF(AND(GU$16&gt;=$F45,GU$16&lt;$F45+($G45*$I45)),"➤",""),"")</f>
        <v/>
      </c>
      <c r="GV45" s="76" t="str">
        <f aca="false">IF($I45&gt;0%,IF(AND(GV$16&gt;=$F45,GV$16&lt;$F45+($G45*$I45)),"➤",""),"")</f>
        <v/>
      </c>
      <c r="GW45" s="76" t="str">
        <f aca="false">IF($I45&gt;0%,IF(AND(GW$16&gt;=$F45,GW$16&lt;$F45+($G45*$I45)),"➤",""),"")</f>
        <v/>
      </c>
      <c r="GX45" s="76" t="str">
        <f aca="false">IF($I45&gt;0%,IF(AND(GX$16&gt;=$F45,GX$16&lt;$F45+($G45*$I45)),"➤",""),"")</f>
        <v/>
      </c>
      <c r="GY45" s="76" t="str">
        <f aca="false">IF($I45&gt;0%,IF(AND(GY$16&gt;=$F45,GY$16&lt;$F45+($G45*$I45)),"➤",""),"")</f>
        <v/>
      </c>
      <c r="GZ45" s="76" t="str">
        <f aca="false">IF($I45&gt;0%,IF(AND(GZ$16&gt;=$F45,GZ$16&lt;$F45+($G45*$I45)),"➤",""),"")</f>
        <v/>
      </c>
      <c r="HA45" s="76" t="str">
        <f aca="false">IF($I45&gt;0%,IF(AND(HA$16&gt;=$F45,HA$16&lt;$F45+($G45*$I45)),"➤",""),"")</f>
        <v/>
      </c>
      <c r="HB45" s="76" t="str">
        <f aca="false">IF($I45&gt;0%,IF(AND(HB$16&gt;=$F45,HB$16&lt;$F45+($G45*$I45)),"➤",""),"")</f>
        <v/>
      </c>
      <c r="HC45" s="76" t="str">
        <f aca="false">IF($I45&gt;0%,IF(AND(HC$16&gt;=$F45,HC$16&lt;$F45+($G45*$I45)),"➤",""),"")</f>
        <v/>
      </c>
      <c r="HD45" s="76" t="str">
        <f aca="false">IF($I45&gt;0%,IF(AND(HD$16&gt;=$F45,HD$16&lt;$F45+($G45*$I45)),"➤",""),"")</f>
        <v/>
      </c>
      <c r="HE45" s="76" t="str">
        <f aca="false">IF($I45&gt;0%,IF(AND(HE$16&gt;=$F45,HE$16&lt;$F45+($G45*$I45)),"➤",""),"")</f>
        <v/>
      </c>
      <c r="HF45" s="76" t="str">
        <f aca="false">IF($I45&gt;0%,IF(AND(HF$16&gt;=$F45,HF$16&lt;$F45+($G45*$I45)),"➤",""),"")</f>
        <v/>
      </c>
      <c r="HG45" s="76" t="str">
        <f aca="false">IF($I45&gt;0%,IF(AND(HG$16&gt;=$F45,HG$16&lt;$F45+($G45*$I45)),"➤",""),"")</f>
        <v/>
      </c>
      <c r="HH45" s="76" t="str">
        <f aca="false">IF($I45&gt;0%,IF(AND(HH$16&gt;=$F45,HH$16&lt;$F45+($G45*$I45)),"➤",""),"")</f>
        <v/>
      </c>
      <c r="HI45" s="76" t="str">
        <f aca="false">IF($I45&gt;0%,IF(AND(HI$16&gt;=$F45,HI$16&lt;$F45+($G45*$I45)),"➤",""),"")</f>
        <v/>
      </c>
      <c r="HJ45" s="76" t="str">
        <f aca="false">IF($I45&gt;0%,IF(AND(HJ$16&gt;=$F45,HJ$16&lt;$F45+($G45*$I45)),"➤",""),"")</f>
        <v/>
      </c>
      <c r="HK45" s="76" t="str">
        <f aca="false">IF($I45&gt;0%,IF(AND(HK$16&gt;=$F45,HK$16&lt;$F45+($G45*$I45)),"➤",""),"")</f>
        <v/>
      </c>
      <c r="HL45" s="76" t="str">
        <f aca="false">IF($I45&gt;0%,IF(AND(HL$16&gt;=$F45,HL$16&lt;$F45+($G45*$I45)),"➤",""),"")</f>
        <v/>
      </c>
      <c r="HM45" s="76" t="str">
        <f aca="false">IF($I45&gt;0%,IF(AND(HM$16&gt;=$F45,HM$16&lt;$F45+($G45*$I45)),"➤",""),"")</f>
        <v/>
      </c>
      <c r="HN45" s="76" t="str">
        <f aca="false">IF($I45&gt;0%,IF(AND(HN$16&gt;=$F45,HN$16&lt;$F45+($G45*$I45)),"➤",""),"")</f>
        <v/>
      </c>
      <c r="HO45" s="76" t="str">
        <f aca="false">IF($I45&gt;0%,IF(AND(HO$16&gt;=$F45,HO$16&lt;$F45+($G45*$I45)),"➤",""),"")</f>
        <v/>
      </c>
      <c r="HP45" s="76" t="str">
        <f aca="false">IF($I45&gt;0%,IF(AND(HP$16&gt;=$F45,HP$16&lt;$F45+($G45*$I45)),"➤",""),"")</f>
        <v/>
      </c>
      <c r="HQ45" s="76" t="str">
        <f aca="false">IF($I45&gt;0%,IF(AND(HQ$16&gt;=$F45,HQ$16&lt;$F45+($G45*$I45)),"➤",""),"")</f>
        <v/>
      </c>
      <c r="HR45" s="76" t="str">
        <f aca="false">IF($I45&gt;0%,IF(AND(HR$16&gt;=$F45,HR$16&lt;$F45+($G45*$I45)),"➤",""),"")</f>
        <v/>
      </c>
      <c r="HS45" s="76" t="str">
        <f aca="false">IF($I45&gt;0%,IF(AND(HS$16&gt;=$F45,HS$16&lt;$F45+($G45*$I45)),"➤",""),"")</f>
        <v/>
      </c>
      <c r="HT45" s="76" t="str">
        <f aca="false">IF($I45&gt;0%,IF(AND(HT$16&gt;=$F45,HT$16&lt;$F45+($G45*$I45)),"➤",""),"")</f>
        <v/>
      </c>
      <c r="HU45" s="76" t="str">
        <f aca="false">IF($I45&gt;0%,IF(AND(HU$16&gt;=$F45,HU$16&lt;$F45+($G45*$I45)),"➤",""),"")</f>
        <v/>
      </c>
      <c r="HV45" s="76" t="str">
        <f aca="false">IF($I45&gt;0%,IF(AND(HV$16&gt;=$F45,HV$16&lt;$F45+($G45*$I45)),"➤",""),"")</f>
        <v/>
      </c>
      <c r="HW45" s="76" t="str">
        <f aca="false">IF($I45&gt;0%,IF(AND(HW$16&gt;=$F45,HW$16&lt;$F45+($G45*$I45)),"➤",""),"")</f>
        <v/>
      </c>
      <c r="HX45" s="76" t="str">
        <f aca="false">IF($I45&gt;0%,IF(AND(HX$16&gt;=$F45,HX$16&lt;$F45+($G45*$I45)),"➤",""),"")</f>
        <v/>
      </c>
      <c r="HY45" s="76" t="str">
        <f aca="false">IF($I45&gt;0%,IF(AND(HY$16&gt;=$F45,HY$16&lt;$F45+($G45*$I45)),"➤",""),"")</f>
        <v/>
      </c>
      <c r="HZ45" s="76" t="str">
        <f aca="false">IF($I45&gt;0%,IF(AND(HZ$16&gt;=$F45,HZ$16&lt;$F45+($G45*$I45)),"➤",""),"")</f>
        <v/>
      </c>
      <c r="IA45" s="76" t="str">
        <f aca="false">IF($I45&gt;0%,IF(AND(IA$16&gt;=$F45,IA$16&lt;$F45+($G45*$I45)),"➤",""),"")</f>
        <v/>
      </c>
      <c r="IB45" s="76" t="str">
        <f aca="false">IF($I45&gt;0%,IF(AND(IB$16&gt;=$F45,IB$16&lt;$F45+($G45*$I45)),"➤",""),"")</f>
        <v/>
      </c>
      <c r="IC45" s="76" t="str">
        <f aca="false">IF($I45&gt;0%,IF(AND(IC$16&gt;=$F45,IC$16&lt;$F45+($G45*$I45)),"➤",""),"")</f>
        <v/>
      </c>
      <c r="ID45" s="76" t="str">
        <f aca="false">IF($I45&gt;0%,IF(AND(ID$16&gt;=$F45,ID$16&lt;$F45+($G45*$I45)),"➤",""),"")</f>
        <v/>
      </c>
      <c r="IE45" s="76" t="str">
        <f aca="false">IF($I45&gt;0%,IF(AND(IE$16&gt;=$F45,IE$16&lt;$F45+($G45*$I45)),"➤",""),"")</f>
        <v/>
      </c>
      <c r="IF45" s="76" t="str">
        <f aca="false">IF($I45&gt;0%,IF(AND(IF$16&gt;=$F45,IF$16&lt;$F45+($G45*$I45)),"➤",""),"")</f>
        <v/>
      </c>
      <c r="IG45" s="76" t="str">
        <f aca="false">IF($I45&gt;0%,IF(AND(IG$16&gt;=$F45,IG$16&lt;$F45+($G45*$I45)),"➤",""),"")</f>
        <v/>
      </c>
      <c r="IH45" s="76" t="str">
        <f aca="false">IF($I45&gt;0%,IF(AND(IH$16&gt;=$F45,IH$16&lt;$F45+($G45*$I45)),"➤",""),"")</f>
        <v/>
      </c>
      <c r="II45" s="76" t="str">
        <f aca="false">IF($I45&gt;0%,IF(AND(II$16&gt;=$F45,II$16&lt;$F45+($G45*$I45)),"➤",""),"")</f>
        <v/>
      </c>
      <c r="IJ45" s="76" t="str">
        <f aca="false">IF($I45&gt;0%,IF(AND(IJ$16&gt;=$F45,IJ$16&lt;$F45+($G45*$I45)),"➤",""),"")</f>
        <v/>
      </c>
      <c r="IK45" s="76" t="str">
        <f aca="false">IF($I45&gt;0%,IF(AND(IK$16&gt;=$F45,IK$16&lt;$F45+($G45*$I45)),"➤",""),"")</f>
        <v/>
      </c>
      <c r="IL45" s="76" t="str">
        <f aca="false">IF($I45&gt;0%,IF(AND(IL$16&gt;=$F45,IL$16&lt;$F45+($G45*$I45)),"➤",""),"")</f>
        <v/>
      </c>
      <c r="IM45" s="76" t="str">
        <f aca="false">IF($I45&gt;0%,IF(AND(IM$16&gt;=$F45,IM$16&lt;$F45+($G45*$I45)),"➤",""),"")</f>
        <v/>
      </c>
      <c r="IN45" s="76" t="str">
        <f aca="false">IF($I45&gt;0%,IF(AND(IN$16&gt;=$F45,IN$16&lt;$F45+($G45*$I45)),"➤",""),"")</f>
        <v/>
      </c>
      <c r="IO45" s="76" t="str">
        <f aca="false">IF($I45&gt;0%,IF(AND(IO$16&gt;=$F45,IO$16&lt;$F45+($G45*$I45)),"➤",""),"")</f>
        <v/>
      </c>
      <c r="IP45" s="76" t="str">
        <f aca="false">IF($I45&gt;0%,IF(AND(IP$16&gt;=$F45,IP$16&lt;$F45+($G45*$I45)),"➤",""),"")</f>
        <v/>
      </c>
      <c r="IQ45" s="76" t="str">
        <f aca="false">IF($I45&gt;0%,IF(AND(IQ$16&gt;=$F45,IQ$16&lt;$F45+($G45*$I45)),"➤",""),"")</f>
        <v/>
      </c>
      <c r="IR45" s="76" t="str">
        <f aca="false">IF($I45&gt;0%,IF(AND(IR$16&gt;=$F45,IR$16&lt;$F45+($G45*$I45)),"➤",""),"")</f>
        <v/>
      </c>
      <c r="IS45" s="76" t="str">
        <f aca="false">IF($I45&gt;0%,IF(AND(IS$16&gt;=$F45,IS$16&lt;$F45+($G45*$I45)),"➤",""),"")</f>
        <v/>
      </c>
      <c r="IT45" s="76" t="str">
        <f aca="false">IF($I45&gt;0%,IF(AND(IT$16&gt;=$F45,IT$16&lt;$F45+($G45*$I45)),"➤",""),"")</f>
        <v/>
      </c>
      <c r="IU45" s="76" t="str">
        <f aca="false">IF($I45&gt;0%,IF(AND(IU$16&gt;=$F45,IU$16&lt;$F45+($G45*$I45)),"➤",""),"")</f>
        <v/>
      </c>
      <c r="IV45" s="76" t="str">
        <f aca="false">IF($I45&gt;0%,IF(AND(IV$16&gt;=$F45,IV$16&lt;$F45+($G45*$I45)),"➤",""),"")</f>
        <v/>
      </c>
      <c r="IW45" s="76" t="str">
        <f aca="false">IF($I45&gt;0%,IF(AND(IW$16&gt;=$F45,IW$16&lt;$F45+($G45*$I45)),"➤",""),"")</f>
        <v/>
      </c>
      <c r="IX45" s="76" t="str">
        <f aca="false">IF($I45&gt;0%,IF(AND(IX$16&gt;=$F45,IX$16&lt;$F45+($G45*$I45)),"➤",""),"")</f>
        <v/>
      </c>
      <c r="IY45" s="76" t="str">
        <f aca="false">IF($I45&gt;0%,IF(AND(IY$16&gt;=$F45,IY$16&lt;$F45+($G45*$I45)),"➤",""),"")</f>
        <v/>
      </c>
      <c r="IZ45" s="76" t="str">
        <f aca="false">IF($I45&gt;0%,IF(AND(IZ$16&gt;=$F45,IZ$16&lt;$F45+($G45*$I45)),"➤",""),"")</f>
        <v/>
      </c>
      <c r="JA45" s="76" t="str">
        <f aca="false">IF($I45&gt;0%,IF(AND(JA$16&gt;=$F45,JA$16&lt;$F45+($G45*$I45)),"➤",""),"")</f>
        <v/>
      </c>
      <c r="JB45" s="76" t="str">
        <f aca="false">IF($I45&gt;0%,IF(AND(JB$16&gt;=$F45,JB$16&lt;$F45+($G45*$I45)),"➤",""),"")</f>
        <v/>
      </c>
      <c r="JC45" s="76" t="str">
        <f aca="false">IF($I45&gt;0%,IF(AND(JC$16&gt;=$F45,JC$16&lt;$F45+($G45*$I45)),"➤",""),"")</f>
        <v/>
      </c>
      <c r="JD45" s="76" t="str">
        <f aca="false">IF($I45&gt;0%,IF(AND(JD$16&gt;=$F45,JD$16&lt;$F45+($G45*$I45)),"➤",""),"")</f>
        <v/>
      </c>
      <c r="JE45" s="76" t="str">
        <f aca="false">IF($I45&gt;0%,IF(AND(JE$16&gt;=$F45,JE$16&lt;$F45+($G45*$I45)),"➤",""),"")</f>
        <v/>
      </c>
      <c r="JF45" s="76" t="str">
        <f aca="false">IF($I45&gt;0%,IF(AND(JF$16&gt;=$F45,JF$16&lt;$F45+($G45*$I45)),"➤",""),"")</f>
        <v/>
      </c>
      <c r="JG45" s="76" t="str">
        <f aca="false">IF($I45&gt;0%,IF(AND(JG$16&gt;=$F45,JG$16&lt;$F45+($G45*$I45)),"➤",""),"")</f>
        <v/>
      </c>
      <c r="JH45" s="76" t="str">
        <f aca="false">IF($I45&gt;0%,IF(AND(JH$16&gt;=$F45,JH$16&lt;$F45+($G45*$I45)),"➤",""),"")</f>
        <v/>
      </c>
      <c r="JI45" s="76" t="str">
        <f aca="false">IF($I45&gt;0%,IF(AND(JI$16&gt;=$F45,JI$16&lt;$F45+($G45*$I45)),"➤",""),"")</f>
        <v/>
      </c>
      <c r="JJ45" s="76" t="str">
        <f aca="false">IF($I45&gt;0%,IF(AND(JJ$16&gt;=$F45,JJ$16&lt;$F45+($G45*$I45)),"➤",""),"")</f>
        <v/>
      </c>
      <c r="JK45" s="76" t="str">
        <f aca="false">IF($I45&gt;0%,IF(AND(JK$16&gt;=$F45,JK$16&lt;$F45+($G45*$I45)),"➤",""),"")</f>
        <v/>
      </c>
      <c r="JL45" s="76" t="str">
        <f aca="false">IF($I45&gt;0%,IF(AND(JL$16&gt;=$F45,JL$16&lt;$F45+($G45*$I45)),"➤",""),"")</f>
        <v/>
      </c>
      <c r="JM45" s="76" t="str">
        <f aca="false">IF($I45&gt;0%,IF(AND(JM$16&gt;=$F45,JM$16&lt;$F45+($G45*$I45)),"➤",""),"")</f>
        <v/>
      </c>
      <c r="JN45" s="76" t="str">
        <f aca="false">IF($I45&gt;0%,IF(AND(JN$16&gt;=$F45,JN$16&lt;$F45+($G45*$I45)),"➤",""),"")</f>
        <v/>
      </c>
      <c r="JO45" s="76" t="str">
        <f aca="false">IF($I45&gt;0%,IF(AND(JO$16&gt;=$F45,JO$16&lt;$F45+($G45*$I45)),"➤",""),"")</f>
        <v/>
      </c>
      <c r="JP45" s="76" t="str">
        <f aca="false">IF($I45&gt;0%,IF(AND(JP$16&gt;=$F45,JP$16&lt;$F45+($G45*$I45)),"➤",""),"")</f>
        <v/>
      </c>
      <c r="JQ45" s="76" t="str">
        <f aca="false">IF($I45&gt;0%,IF(AND(JQ$16&gt;=$F45,JQ$16&lt;$F45+($G45*$I45)),"➤",""),"")</f>
        <v/>
      </c>
      <c r="JR45" s="76" t="str">
        <f aca="false">IF($I45&gt;0%,IF(AND(JR$16&gt;=$F45,JR$16&lt;$F45+($G45*$I45)),"➤",""),"")</f>
        <v/>
      </c>
      <c r="JS45" s="76" t="str">
        <f aca="false">IF($I45&gt;0%,IF(AND(JS$16&gt;=$F45,JS$16&lt;$F45+($G45*$I45)),"➤",""),"")</f>
        <v/>
      </c>
      <c r="JT45" s="76" t="str">
        <f aca="false">IF($I45&gt;0%,IF(AND(JT$16&gt;=$F45,JT$16&lt;$F45+($G45*$I45)),"➤",""),"")</f>
        <v/>
      </c>
      <c r="JU45" s="76" t="str">
        <f aca="false">IF($I45&gt;0%,IF(AND(JU$16&gt;=$F45,JU$16&lt;$F45+($G45*$I45)),"➤",""),"")</f>
        <v/>
      </c>
      <c r="JV45" s="76" t="str">
        <f aca="false">IF($I45&gt;0%,IF(AND(JV$16&gt;=$F45,JV$16&lt;$F45+($G45*$I45)),"➤",""),"")</f>
        <v/>
      </c>
      <c r="JW45" s="76" t="str">
        <f aca="false">IF($I45&gt;0%,IF(AND(JW$16&gt;=$F45,JW$16&lt;$F45+($G45*$I45)),"➤",""),"")</f>
        <v/>
      </c>
      <c r="JX45" s="76" t="str">
        <f aca="false">IF($I45&gt;0%,IF(AND(JX$16&gt;=$F45,JX$16&lt;$F45+($G45*$I45)),"➤",""),"")</f>
        <v/>
      </c>
      <c r="JY45" s="76" t="str">
        <f aca="false">IF($I45&gt;0%,IF(AND(JY$16&gt;=$F45,JY$16&lt;$F45+($G45*$I45)),"➤",""),"")</f>
        <v/>
      </c>
      <c r="JZ45" s="76" t="str">
        <f aca="false">IF($I45&gt;0%,IF(AND(JZ$16&gt;=$F45,JZ$16&lt;$F45+($G45*$I45)),"➤",""),"")</f>
        <v/>
      </c>
      <c r="KA45" s="76" t="str">
        <f aca="false">IF($I45&gt;0%,IF(AND(KA$16&gt;=$F45,KA$16&lt;$F45+($G45*$I45)),"➤",""),"")</f>
        <v/>
      </c>
      <c r="KB45" s="76" t="str">
        <f aca="false">IF($I45&gt;0%,IF(AND(KB$16&gt;=$F45,KB$16&lt;$F45+($G45*$I45)),"➤",""),"")</f>
        <v/>
      </c>
      <c r="KC45" s="76" t="str">
        <f aca="false">IF($I45&gt;0%,IF(AND(KC$16&gt;=$F45,KC$16&lt;$F45+($G45*$I45)),"➤",""),"")</f>
        <v/>
      </c>
      <c r="KD45" s="76" t="str">
        <f aca="false">IF($I45&gt;0%,IF(AND(KD$16&gt;=$F45,KD$16&lt;$F45+($G45*$I45)),"➤",""),"")</f>
        <v/>
      </c>
      <c r="KE45" s="76" t="str">
        <f aca="false">IF($I45&gt;0%,IF(AND(KE$16&gt;=$F45,KE$16&lt;$F45+($G45*$I45)),"➤",""),"")</f>
        <v/>
      </c>
      <c r="KF45" s="76" t="str">
        <f aca="false">IF($I45&gt;0%,IF(AND(KF$16&gt;=$F45,KF$16&lt;$F45+($G45*$I45)),"➤",""),"")</f>
        <v/>
      </c>
      <c r="KG45" s="76" t="str">
        <f aca="false">IF($I45&gt;0%,IF(AND(KG$16&gt;=$F45,KG$16&lt;$F45+($G45*$I45)),"➤",""),"")</f>
        <v/>
      </c>
      <c r="KH45" s="76" t="str">
        <f aca="false">IF($I45&gt;0%,IF(AND(KH$16&gt;=$F45,KH$16&lt;$F45+($G45*$I45)),"➤",""),"")</f>
        <v/>
      </c>
      <c r="KI45" s="76" t="str">
        <f aca="false">IF($I45&gt;0%,IF(AND(KI$16&gt;=$F45,KI$16&lt;$F45+($G45*$I45)),"➤",""),"")</f>
        <v/>
      </c>
      <c r="KJ45" s="76" t="str">
        <f aca="false">IF($I45&gt;0%,IF(AND(KJ$16&gt;=$F45,KJ$16&lt;$F45+($G45*$I45)),"➤",""),"")</f>
        <v/>
      </c>
      <c r="KK45" s="76" t="str">
        <f aca="false">IF($I45&gt;0%,IF(AND(KK$16&gt;=$F45,KK$16&lt;$F45+($G45*$I45)),"➤",""),"")</f>
        <v/>
      </c>
      <c r="KL45" s="76" t="str">
        <f aca="false">IF($I45&gt;0%,IF(AND(KL$16&gt;=$F45,KL$16&lt;$F45+($G45*$I45)),"➤",""),"")</f>
        <v/>
      </c>
      <c r="KM45" s="76" t="str">
        <f aca="false">IF($I45&gt;0%,IF(AND(KM$16&gt;=$F45,KM$16&lt;$F45+($G45*$I45)),"➤",""),"")</f>
        <v/>
      </c>
      <c r="KN45" s="76" t="str">
        <f aca="false">IF($I45&gt;0%,IF(AND(KN$16&gt;=$F45,KN$16&lt;$F45+($G45*$I45)),"➤",""),"")</f>
        <v/>
      </c>
      <c r="KO45" s="76" t="str">
        <f aca="false">IF($I45&gt;0%,IF(AND(KO$16&gt;=$F45,KO$16&lt;$F45+($G45*$I45)),"➤",""),"")</f>
        <v/>
      </c>
      <c r="KP45" s="76" t="str">
        <f aca="false">IF($I45&gt;0%,IF(AND(KP$16&gt;=$F45,KP$16&lt;$F45+($G45*$I45)),"➤",""),"")</f>
        <v/>
      </c>
      <c r="KQ45" s="76" t="str">
        <f aca="false">IF($I45&gt;0%,IF(AND(KQ$16&gt;=$F45,KQ$16&lt;$F45+($G45*$I45)),"➤",""),"")</f>
        <v/>
      </c>
      <c r="KR45" s="76" t="str">
        <f aca="false">IF($I45&gt;0%,IF(AND(KR$16&gt;=$F45,KR$16&lt;$F45+($G45*$I45)),"➤",""),"")</f>
        <v/>
      </c>
      <c r="KS45" s="76" t="str">
        <f aca="false">IF($I45&gt;0%,IF(AND(KS$16&gt;=$F45,KS$16&lt;$F45+($G45*$I45)),"➤",""),"")</f>
        <v/>
      </c>
      <c r="KT45" s="76" t="str">
        <f aca="false">IF($I45&gt;0%,IF(AND(KT$16&gt;=$F45,KT$16&lt;$F45+($G45*$I45)),"➤",""),"")</f>
        <v/>
      </c>
      <c r="KU45" s="76" t="str">
        <f aca="false">IF($I45&gt;0%,IF(AND(KU$16&gt;=$F45,KU$16&lt;$F45+($G45*$I45)),"➤",""),"")</f>
        <v/>
      </c>
      <c r="KV45" s="76" t="str">
        <f aca="false">IF($I45&gt;0%,IF(AND(KV$16&gt;=$F45,KV$16&lt;$F45+($G45*$I45)),"➤",""),"")</f>
        <v/>
      </c>
      <c r="KW45" s="76" t="str">
        <f aca="false">IF($I45&gt;0%,IF(AND(KW$16&gt;=$F45,KW$16&lt;$F45+($G45*$I45)),"➤",""),"")</f>
        <v/>
      </c>
      <c r="KX45" s="76" t="str">
        <f aca="false">IF($I45&gt;0%,IF(AND(KX$16&gt;=$F45,KX$16&lt;$F45+($G45*$I45)),"➤",""),"")</f>
        <v/>
      </c>
      <c r="KY45" s="76" t="str">
        <f aca="false">IF($I45&gt;0%,IF(AND(KY$16&gt;=$F45,KY$16&lt;$F45+($G45*$I45)),"➤",""),"")</f>
        <v/>
      </c>
      <c r="KZ45" s="76" t="str">
        <f aca="false">IF($I45&gt;0%,IF(AND(KZ$16&gt;=$F45,KZ$16&lt;$F45+($G45*$I45)),"➤",""),"")</f>
        <v/>
      </c>
      <c r="LA45" s="76" t="str">
        <f aca="false">IF($I45&gt;0%,IF(AND(LA$16&gt;=$F45,LA$16&lt;$F45+($G45*$I45)),"➤",""),"")</f>
        <v/>
      </c>
      <c r="LB45" s="76" t="str">
        <f aca="false">IF($I45&gt;0%,IF(AND(LB$16&gt;=$F45,LB$16&lt;$F45+($G45*$I45)),"➤",""),"")</f>
        <v/>
      </c>
      <c r="LC45" s="76" t="str">
        <f aca="false">IF($I45&gt;0%,IF(AND(LC$16&gt;=$F45,LC$16&lt;$F45+($G45*$I45)),"➤",""),"")</f>
        <v/>
      </c>
      <c r="LD45" s="76" t="str">
        <f aca="false">IF($I45&gt;0%,IF(AND(LD$16&gt;=$F45,LD$16&lt;$F45+($G45*$I45)),"➤",""),"")</f>
        <v/>
      </c>
      <c r="LE45" s="76" t="str">
        <f aca="false">IF($I45&gt;0%,IF(AND(LE$16&gt;=$F45,LE$16&lt;$F45+($G45*$I45)),"➤",""),"")</f>
        <v/>
      </c>
      <c r="LF45" s="76" t="str">
        <f aca="false">IF($I45&gt;0%,IF(AND(LF$16&gt;=$F45,LF$16&lt;$F45+($G45*$I45)),"➤",""),"")</f>
        <v/>
      </c>
      <c r="LG45" s="76" t="str">
        <f aca="false">IF($I45&gt;0%,IF(AND(LG$16&gt;=$F45,LG$16&lt;$F45+($G45*$I45)),"➤",""),"")</f>
        <v/>
      </c>
      <c r="LH45" s="76" t="str">
        <f aca="false">IF($I45&gt;0%,IF(AND(LH$16&gt;=$F45,LH$16&lt;$F45+($G45*$I45)),"➤",""),"")</f>
        <v/>
      </c>
      <c r="LI45" s="76" t="str">
        <f aca="false">IF($I45&gt;0%,IF(AND(LI$16&gt;=$F45,LI$16&lt;$F45+($G45*$I45)),"➤",""),"")</f>
        <v/>
      </c>
      <c r="LJ45" s="76" t="str">
        <f aca="false">IF($I45&gt;0%,IF(AND(LJ$16&gt;=$F45,LJ$16&lt;$F45+($G45*$I45)),"➤",""),"")</f>
        <v/>
      </c>
      <c r="LK45" s="76" t="str">
        <f aca="false">IF($I45&gt;0%,IF(AND(LK$16&gt;=$F45,LK$16&lt;$F45+($G45*$I45)),"➤",""),"")</f>
        <v/>
      </c>
      <c r="LL45" s="76" t="str">
        <f aca="false">IF($I45&gt;0%,IF(AND(LL$16&gt;=$F45,LL$16&lt;$F45+($G45*$I45)),"➤",""),"")</f>
        <v/>
      </c>
      <c r="LM45" s="76" t="str">
        <f aca="false">IF($I45&gt;0%,IF(AND(LM$16&gt;=$F45,LM$16&lt;$F45+($G45*$I45)),"➤",""),"")</f>
        <v/>
      </c>
      <c r="LN45" s="76" t="str">
        <f aca="false">IF($I45&gt;0%,IF(AND(LN$16&gt;=$F45,LN$16&lt;$F45+($G45*$I45)),"➤",""),"")</f>
        <v/>
      </c>
      <c r="LO45" s="76" t="str">
        <f aca="false">IF($I45&gt;0%,IF(AND(LO$16&gt;=$F45,LO$16&lt;$F45+($G45*$I45)),"➤",""),"")</f>
        <v/>
      </c>
      <c r="LP45" s="76" t="str">
        <f aca="false">IF($I45&gt;0%,IF(AND(LP$16&gt;=$F45,LP$16&lt;$F45+($G45*$I45)),"➤",""),"")</f>
        <v/>
      </c>
      <c r="LQ45" s="76" t="str">
        <f aca="false">IF($I45&gt;0%,IF(AND(LQ$16&gt;=$F45,LQ$16&lt;$F45+($G45*$I45)),"➤",""),"")</f>
        <v/>
      </c>
      <c r="LR45" s="76" t="str">
        <f aca="false">IF($I45&gt;0%,IF(AND(LR$16&gt;=$F45,LR$16&lt;$F45+($G45*$I45)),"➤",""),"")</f>
        <v/>
      </c>
      <c r="LS45" s="76" t="str">
        <f aca="false">IF($I45&gt;0%,IF(AND(LS$16&gt;=$F45,LS$16&lt;$F45+($G45*$I45)),"➤",""),"")</f>
        <v/>
      </c>
      <c r="LT45" s="76" t="str">
        <f aca="false">IF($I45&gt;0%,IF(AND(LT$16&gt;=$F45,LT$16&lt;$F45+($G45*$I45)),"➤",""),"")</f>
        <v/>
      </c>
      <c r="LU45" s="76" t="str">
        <f aca="false">IF($I45&gt;0%,IF(AND(LU$16&gt;=$F45,LU$16&lt;$F45+($G45*$I45)),"➤",""),"")</f>
        <v/>
      </c>
      <c r="LV45" s="76" t="str">
        <f aca="false">IF($I45&gt;0%,IF(AND(LV$16&gt;=$F45,LV$16&lt;$F45+($G45*$I45)),"➤",""),"")</f>
        <v/>
      </c>
      <c r="LW45" s="76" t="str">
        <f aca="false">IF($I45&gt;0%,IF(AND(LW$16&gt;=$F45,LW$16&lt;$F45+($G45*$I45)),"➤",""),"")</f>
        <v/>
      </c>
      <c r="LX45" s="76" t="str">
        <f aca="false">IF($I45&gt;0%,IF(AND(LX$16&gt;=$F45,LX$16&lt;$F45+($G45*$I45)),"➤",""),"")</f>
        <v/>
      </c>
      <c r="LY45" s="76" t="str">
        <f aca="false">IF($I45&gt;0%,IF(AND(LY$16&gt;=$F45,LY$16&lt;$F45+($G45*$I45)),"➤",""),"")</f>
        <v/>
      </c>
      <c r="LZ45" s="76" t="str">
        <f aca="false">IF($I45&gt;0%,IF(AND(LZ$16&gt;=$F45,LZ$16&lt;$F45+($G45*$I45)),"➤",""),"")</f>
        <v/>
      </c>
      <c r="MA45" s="76" t="str">
        <f aca="false">IF($I45&gt;0%,IF(AND(MA$16&gt;=$F45,MA$16&lt;$F45+($G45*$I45)),"➤",""),"")</f>
        <v/>
      </c>
      <c r="MB45" s="76" t="str">
        <f aca="false">IF($I45&gt;0%,IF(AND(MB$16&gt;=$F45,MB$16&lt;$F45+($G45*$I45)),"➤",""),"")</f>
        <v/>
      </c>
      <c r="MC45" s="76" t="str">
        <f aca="false">IF($I45&gt;0%,IF(AND(MC$16&gt;=$F45,MC$16&lt;$F45+($G45*$I45)),"➤",""),"")</f>
        <v/>
      </c>
      <c r="MD45" s="76" t="str">
        <f aca="false">IF($I45&gt;0%,IF(AND(MD$16&gt;=$F45,MD$16&lt;$F45+($G45*$I45)),"➤",""),"")</f>
        <v/>
      </c>
      <c r="ME45" s="76" t="str">
        <f aca="false">IF($I45&gt;0%,IF(AND(ME$16&gt;=$F45,ME$16&lt;$F45+($G45*$I45)),"➤",""),"")</f>
        <v/>
      </c>
      <c r="MF45" s="76" t="str">
        <f aca="false">IF($I45&gt;0%,IF(AND(MF$16&gt;=$F45,MF$16&lt;$F45+($G45*$I45)),"➤",""),"")</f>
        <v/>
      </c>
      <c r="MG45" s="76" t="str">
        <f aca="false">IF($I45&gt;0%,IF(AND(MG$16&gt;=$F45,MG$16&lt;$F45+($G45*$I45)),"➤",""),"")</f>
        <v/>
      </c>
      <c r="MH45" s="76" t="str">
        <f aca="false">IF($I45&gt;0%,IF(AND(MH$16&gt;=$F45,MH$16&lt;$F45+($G45*$I45)),"➤",""),"")</f>
        <v/>
      </c>
      <c r="MI45" s="76" t="str">
        <f aca="false">IF($I45&gt;0%,IF(AND(MI$16&gt;=$F45,MI$16&lt;$F45+($G45*$I45)),"➤",""),"")</f>
        <v/>
      </c>
      <c r="MJ45" s="76" t="str">
        <f aca="false">IF($I45&gt;0%,IF(AND(MJ$16&gt;=$F45,MJ$16&lt;$F45+($G45*$I45)),"➤",""),"")</f>
        <v/>
      </c>
      <c r="MK45" s="76" t="str">
        <f aca="false">IF($I45&gt;0%,IF(AND(MK$16&gt;=$F45,MK$16&lt;$F45+($G45*$I45)),"➤",""),"")</f>
        <v/>
      </c>
      <c r="ML45" s="76" t="str">
        <f aca="false">IF($I45&gt;0%,IF(AND(ML$16&gt;=$F45,ML$16&lt;$F45+($G45*$I45)),"➤",""),"")</f>
        <v/>
      </c>
      <c r="MM45" s="76" t="str">
        <f aca="false">IF($I45&gt;0%,IF(AND(MM$16&gt;=$F45,MM$16&lt;$F45+($G45*$I45)),"➤",""),"")</f>
        <v/>
      </c>
      <c r="MN45" s="76" t="str">
        <f aca="false">IF($I45&gt;0%,IF(AND(MN$16&gt;=$F45,MN$16&lt;$F45+($G45*$I45)),"➤",""),"")</f>
        <v/>
      </c>
      <c r="MO45" s="76" t="str">
        <f aca="false">IF($I45&gt;0%,IF(AND(MO$16&gt;=$F45,MO$16&lt;$F45+($G45*$I45)),"➤",""),"")</f>
        <v/>
      </c>
      <c r="MP45" s="76" t="str">
        <f aca="false">IF($I45&gt;0%,IF(AND(MP$16&gt;=$F45,MP$16&lt;$F45+($G45*$I45)),"➤",""),"")</f>
        <v/>
      </c>
      <c r="MQ45" s="76" t="str">
        <f aca="false">IF($I45&gt;0%,IF(AND(MQ$16&gt;=$F45,MQ$16&lt;$F45+($G45*$I45)),"➤",""),"")</f>
        <v/>
      </c>
      <c r="MR45" s="76" t="str">
        <f aca="false">IF($I45&gt;0%,IF(AND(MR$16&gt;=$F45,MR$16&lt;$F45+($G45*$I45)),"➤",""),"")</f>
        <v/>
      </c>
      <c r="MS45" s="76" t="str">
        <f aca="false">IF($I45&gt;0%,IF(AND(MS$16&gt;=$F45,MS$16&lt;$F45+($G45*$I45)),"➤",""),"")</f>
        <v/>
      </c>
      <c r="MT45" s="76" t="str">
        <f aca="false">IF($I45&gt;0%,IF(AND(MT$16&gt;=$F45,MT$16&lt;$F45+($G45*$I45)),"➤",""),"")</f>
        <v/>
      </c>
      <c r="MU45" s="76" t="str">
        <f aca="false">IF($I45&gt;0%,IF(AND(MU$16&gt;=$F45,MU$16&lt;$F45+($G45*$I45)),"➤",""),"")</f>
        <v/>
      </c>
      <c r="MV45" s="76" t="str">
        <f aca="false">IF($I45&gt;0%,IF(AND(MV$16&gt;=$F45,MV$16&lt;$F45+($G45*$I45)),"➤",""),"")</f>
        <v/>
      </c>
      <c r="MW45" s="76" t="str">
        <f aca="false">IF($I45&gt;0%,IF(AND(MW$16&gt;=$F45,MW$16&lt;$F45+($G45*$I45)),"➤",""),"")</f>
        <v/>
      </c>
      <c r="MX45" s="76" t="str">
        <f aca="false">IF($I45&gt;0%,IF(AND(MX$16&gt;=$F45,MX$16&lt;$F45+($G45*$I45)),"➤",""),"")</f>
        <v/>
      </c>
      <c r="MY45" s="76" t="str">
        <f aca="false">IF($I45&gt;0%,IF(AND(MY$16&gt;=$F45,MY$16&lt;$F45+($G45*$I45)),"➤",""),"")</f>
        <v/>
      </c>
      <c r="MZ45" s="76" t="str">
        <f aca="false">IF($I45&gt;0%,IF(AND(MZ$16&gt;=$F45,MZ$16&lt;$F45+($G45*$I45)),"➤",""),"")</f>
        <v/>
      </c>
      <c r="NA45" s="76" t="str">
        <f aca="false">IF($I45&gt;0%,IF(AND(NA$16&gt;=$F45,NA$16&lt;$F45+($G45*$I45)),"➤",""),"")</f>
        <v/>
      </c>
      <c r="NB45" s="76" t="str">
        <f aca="false">IF($I45&gt;0%,IF(AND(NB$16&gt;=$F45,NB$16&lt;$F45+($G45*$I45)),"➤",""),"")</f>
        <v/>
      </c>
      <c r="NC45" s="76" t="str">
        <f aca="false">IF($I45&gt;0%,IF(AND(NC$16&gt;=$F45,NC$16&lt;$F45+($G45*$I45)),"➤",""),"")</f>
        <v/>
      </c>
      <c r="ND45" s="76" t="str">
        <f aca="false">IF($I45&gt;0%,IF(AND(ND$16&gt;=$F45,ND$16&lt;$F45+($G45*$I45)),"➤",""),"")</f>
        <v/>
      </c>
      <c r="NE45" s="76" t="str">
        <f aca="false">IF($I45&gt;0%,IF(AND(NE$16&gt;=$F45,NE$16&lt;$F45+($G45*$I45)),"➤",""),"")</f>
        <v/>
      </c>
      <c r="NF45" s="76" t="str">
        <f aca="false">IF($I45&gt;0%,IF(AND(NF$16&gt;=$F45,NF$16&lt;$F45+($G45*$I45)),"➤",""),"")</f>
        <v/>
      </c>
      <c r="NG45" s="76" t="str">
        <f aca="false">IF($I45&gt;0%,IF(AND(NG$16&gt;=$F45,NG$16&lt;$F45+($G45*$I45)),"➤",""),"")</f>
        <v/>
      </c>
      <c r="NH45" s="76" t="str">
        <f aca="false">IF($I45&gt;0%,IF(AND(NH$16&gt;=$F45,NH$16&lt;$F45+($G45*$I45)),"➤",""),"")</f>
        <v/>
      </c>
      <c r="NI45" s="76" t="str">
        <f aca="false">IF($I45&gt;0%,IF(AND(NI$16&gt;=$F45,NI$16&lt;$F45+($G45*$I45)),"➤",""),"")</f>
        <v/>
      </c>
      <c r="NJ45" s="76" t="str">
        <f aca="false">IF($I45&gt;0%,IF(AND(NJ$16&gt;=$F45,NJ$16&lt;$F45+($G45*$I45)),"➤",""),"")</f>
        <v/>
      </c>
      <c r="NK45" s="76" t="str">
        <f aca="false">IF($I45&gt;0%,IF(AND(NK$16&gt;=$F45,NK$16&lt;$F45+($G45*$I45)),"➤",""),"")</f>
        <v/>
      </c>
      <c r="NL45" s="76" t="str">
        <f aca="false">IF($I45&gt;0%,IF(AND(NL$16&gt;=$F45,NL$16&lt;$F45+($G45*$I45)),"➤",""),"")</f>
        <v/>
      </c>
      <c r="NM45" s="76" t="str">
        <f aca="false">IF($I45&gt;0%,IF(AND(NM$16&gt;=$F45,NM$16&lt;$F45+($G45*$I45)),"➤",""),"")</f>
        <v/>
      </c>
      <c r="NN45" s="76" t="str">
        <f aca="false">IF($I45&gt;0%,IF(AND(NN$16&gt;=$F45,NN$16&lt;$F45+($G45*$I45)),"➤",""),"")</f>
        <v/>
      </c>
      <c r="NO45" s="76" t="str">
        <f aca="false">IF($I45&gt;0%,IF(AND(NO$16&gt;=$F45,NO$16&lt;$F45+($G45*$I45)),"➤",""),"")</f>
        <v/>
      </c>
      <c r="NP45" s="76" t="str">
        <f aca="false">IF($I45&gt;0%,IF(AND(NP$16&gt;=$F45,NP$16&lt;$F45+($G45*$I45)),"➤",""),"")</f>
        <v/>
      </c>
      <c r="NQ45" s="76" t="str">
        <f aca="false">IF($I45&gt;0%,IF(AND(NQ$16&gt;=$F45,NQ$16&lt;$F45+($G45*$I45)),"➤",""),"")</f>
        <v/>
      </c>
      <c r="NR45" s="76" t="str">
        <f aca="false">IF($I45&gt;0%,IF(AND(NR$16&gt;=$F45,NR$16&lt;$F45+($G45*$I45)),"➤",""),"")</f>
        <v/>
      </c>
      <c r="NS45" s="76" t="str">
        <f aca="false">IF($I45&gt;0%,IF(AND(NS$16&gt;=$F45,NS$16&lt;$F45+($G45*$I45)),"➤",""),"")</f>
        <v/>
      </c>
      <c r="NT45" s="76" t="str">
        <f aca="false">IF($I45&gt;0%,IF(AND(NT$16&gt;=$F45,NT$16&lt;$F45+($G45*$I45)),"➤",""),"")</f>
        <v/>
      </c>
      <c r="NU45" s="76" t="str">
        <f aca="false">IF($I45&gt;0%,IF(AND(NU$16&gt;=$F45,NU$16&lt;$F45+($G45*$I45)),"➤",""),"")</f>
        <v/>
      </c>
      <c r="NV45" s="76" t="str">
        <f aca="false">IF($I45&gt;0%,IF(AND(NV$16&gt;=$F45,NV$16&lt;$F45+($G45*$I45)),"➤",""),"")</f>
        <v/>
      </c>
      <c r="NW45" s="76" t="str">
        <f aca="false">IF($I45&gt;0%,IF(AND(NW$16&gt;=$F45,NW$16&lt;$F45+($G45*$I45)),"➤",""),"")</f>
        <v/>
      </c>
      <c r="NX45" s="76" t="str">
        <f aca="false">IF($I45&gt;0%,IF(AND(NX$16&gt;=$F45,NX$16&lt;$F45+($G45*$I45)),"➤",""),"")</f>
        <v/>
      </c>
      <c r="NY45" s="76" t="str">
        <f aca="false">IF($I45&gt;0%,IF(AND(NY$16&gt;=$F45,NY$16&lt;$F45+($G45*$I45)),"➤",""),"")</f>
        <v/>
      </c>
      <c r="NZ45" s="76" t="str">
        <f aca="false">IF($I45&gt;0%,IF(AND(NZ$16&gt;=$F45,NZ$16&lt;$F45+($G45*$I45)),"➤",""),"")</f>
        <v/>
      </c>
      <c r="OA45" s="76" t="str">
        <f aca="false">IF($I45&gt;0%,IF(AND(OA$16&gt;=$F45,OA$16&lt;$F45+($G45*$I45)),"➤",""),"")</f>
        <v/>
      </c>
      <c r="OB45" s="76" t="str">
        <f aca="false">IF($I45&gt;0%,IF(AND(OB$16&gt;=$F45,OB$16&lt;$F45+($G45*$I45)),"➤",""),"")</f>
        <v/>
      </c>
      <c r="OC45" s="76" t="str">
        <f aca="false">IF($I45&gt;0%,IF(AND(OC$16&gt;=$F45,OC$16&lt;$F45+($G45*$I45)),"➤",""),"")</f>
        <v/>
      </c>
      <c r="OD45" s="76" t="str">
        <f aca="false">IF($I45&gt;0%,IF(AND(OD$16&gt;=$F45,OD$16&lt;$F45+($G45*$I45)),"➤",""),"")</f>
        <v/>
      </c>
      <c r="OE45" s="76" t="str">
        <f aca="false">IF($I45&gt;0%,IF(AND(OE$16&gt;=$F45,OE$16&lt;$F45+($G45*$I45)),"➤",""),"")</f>
        <v/>
      </c>
      <c r="OF45" s="76" t="str">
        <f aca="false">IF($I45&gt;0%,IF(AND(OF$16&gt;=$F45,OF$16&lt;$F45+($G45*$I45)),"➤",""),"")</f>
        <v/>
      </c>
      <c r="OG45" s="76" t="str">
        <f aca="false">IF($I45&gt;0%,IF(AND(OG$16&gt;=$F45,OG$16&lt;$F45+($G45*$I45)),"➤",""),"")</f>
        <v/>
      </c>
      <c r="OH45" s="76" t="str">
        <f aca="false">IF($I45&gt;0%,IF(AND(OH$16&gt;=$F45,OH$16&lt;$F45+($G45*$I45)),"➤",""),"")</f>
        <v/>
      </c>
      <c r="OI45" s="76" t="str">
        <f aca="false">IF($I45&gt;0%,IF(AND(OI$16&gt;=$F45,OI$16&lt;$F45+($G45*$I45)),"➤",""),"")</f>
        <v/>
      </c>
      <c r="OJ45" s="76" t="str">
        <f aca="false">IF($I45&gt;0%,IF(AND(OJ$16&gt;=$F45,OJ$16&lt;$F45+($G45*$I45)),"➤",""),"")</f>
        <v/>
      </c>
      <c r="OK45" s="76" t="str">
        <f aca="false">IF($I45&gt;0%,IF(AND(OK$16&gt;=$F45,OK$16&lt;$F45+($G45*$I45)),"➤",""),"")</f>
        <v/>
      </c>
      <c r="OL45" s="76" t="str">
        <f aca="false">IF($I45&gt;0%,IF(AND(OL$16&gt;=$F45,OL$16&lt;$F45+($G45*$I45)),"➤",""),"")</f>
        <v/>
      </c>
      <c r="OM45" s="76" t="str">
        <f aca="false">IF($I45&gt;0%,IF(AND(OM$16&gt;=$F45,OM$16&lt;$F45+($G45*$I45)),"➤",""),"")</f>
        <v/>
      </c>
      <c r="ON45" s="76" t="str">
        <f aca="false">IF($I45&gt;0%,IF(AND(ON$16&gt;=$F45,ON$16&lt;$F45+($G45*$I45)),"➤",""),"")</f>
        <v/>
      </c>
      <c r="OO45" s="76" t="str">
        <f aca="false">IF($I45&gt;0%,IF(AND(OO$16&gt;=$F45,OO$16&lt;$F45+($G45*$I45)),"➤",""),"")</f>
        <v/>
      </c>
      <c r="OP45" s="76" t="str">
        <f aca="false">IF($I45&gt;0%,IF(AND(OP$16&gt;=$F45,OP$16&lt;$F45+($G45*$I45)),"➤",""),"")</f>
        <v/>
      </c>
      <c r="OQ45" s="76" t="str">
        <f aca="false">IF($I45&gt;0%,IF(AND(OQ$16&gt;=$F45,OQ$16&lt;$F45+($G45*$I45)),"➤",""),"")</f>
        <v/>
      </c>
      <c r="OR45" s="76" t="str">
        <f aca="false">IF($I45&gt;0%,IF(AND(OR$16&gt;=$F45,OR$16&lt;$F45+($G45*$I45)),"➤",""),"")</f>
        <v/>
      </c>
      <c r="OS45" s="76" t="str">
        <f aca="false">IF($I45&gt;0%,IF(AND(OS$16&gt;=$F45,OS$16&lt;$F45+($G45*$I45)),"➤",""),"")</f>
        <v/>
      </c>
      <c r="OT45" s="76" t="str">
        <f aca="false">IF($I45&gt;0%,IF(AND(OT$16&gt;=$F45,OT$16&lt;$F45+($G45*$I45)),"➤",""),"")</f>
        <v/>
      </c>
      <c r="OU45" s="76" t="str">
        <f aca="false">IF($I45&gt;0%,IF(AND(OU$16&gt;=$F45,OU$16&lt;$F45+($G45*$I45)),"➤",""),"")</f>
        <v/>
      </c>
      <c r="OV45" s="76" t="str">
        <f aca="false">IF($I45&gt;0%,IF(AND(OV$16&gt;=$F45,OV$16&lt;$F45+($G45*$I45)),"➤",""),"")</f>
        <v/>
      </c>
      <c r="OW45" s="76" t="str">
        <f aca="false">IF($I45&gt;0%,IF(AND(OW$16&gt;=$F45,OW$16&lt;$F45+($G45*$I45)),"➤",""),"")</f>
        <v/>
      </c>
      <c r="OX45" s="76" t="str">
        <f aca="false">IF($I45&gt;0%,IF(AND(OX$16&gt;=$F45,OX$16&lt;$F45+($G45*$I45)),"➤",""),"")</f>
        <v/>
      </c>
      <c r="OY45" s="76" t="str">
        <f aca="false">IF($I45&gt;0%,IF(AND(OY$16&gt;=$F45,OY$16&lt;$F45+($G45*$I45)),"➤",""),"")</f>
        <v/>
      </c>
      <c r="OZ45" s="76" t="str">
        <f aca="false">IF($I45&gt;0%,IF(AND(OZ$16&gt;=$F45,OZ$16&lt;$F45+($G45*$I45)),"➤",""),"")</f>
        <v/>
      </c>
      <c r="PA45" s="76" t="str">
        <f aca="false">IF($I45&gt;0%,IF(AND(PA$16&gt;=$F45,PA$16&lt;$F45+($G45*$I45)),"➤",""),"")</f>
        <v/>
      </c>
      <c r="PB45" s="76" t="str">
        <f aca="false">IF($I45&gt;0%,IF(AND(PB$16&gt;=$F45,PB$16&lt;$F45+($G45*$I45)),"➤",""),"")</f>
        <v/>
      </c>
      <c r="PC45" s="76" t="str">
        <f aca="false">IF($I45&gt;0%,IF(AND(PC$16&gt;=$F45,PC$16&lt;$F45+($G45*$I45)),"➤",""),"")</f>
        <v/>
      </c>
      <c r="PD45" s="76" t="str">
        <f aca="false">IF($I45&gt;0%,IF(AND(PD$16&gt;=$F45,PD$16&lt;$F45+($G45*$I45)),"➤",""),"")</f>
        <v/>
      </c>
      <c r="PE45" s="76" t="str">
        <f aca="false">IF($I45&gt;0%,IF(AND(PE$16&gt;=$F45,PE$16&lt;$F45+($G45*$I45)),"➤",""),"")</f>
        <v/>
      </c>
      <c r="PF45" s="76" t="str">
        <f aca="false">IF($I45&gt;0%,IF(AND(PF$16&gt;=$F45,PF$16&lt;$F45+($G45*$I45)),"➤",""),"")</f>
        <v/>
      </c>
      <c r="PG45" s="76" t="str">
        <f aca="false">IF($I45&gt;0%,IF(AND(PG$16&gt;=$F45,PG$16&lt;$F45+($G45*$I45)),"➤",""),"")</f>
        <v/>
      </c>
      <c r="PH45" s="76" t="str">
        <f aca="false">IF($I45&gt;0%,IF(AND(PH$16&gt;=$F45,PH$16&lt;$F45+($G45*$I45)),"➤",""),"")</f>
        <v/>
      </c>
      <c r="PI45" s="76" t="str">
        <f aca="false">IF($I45&gt;0%,IF(AND(PI$16&gt;=$F45,PI$16&lt;$F45+($G45*$I45)),"➤",""),"")</f>
        <v/>
      </c>
      <c r="PJ45" s="76" t="str">
        <f aca="false">IF($I45&gt;0%,IF(AND(PJ$16&gt;=$F45,PJ$16&lt;$F45+($G45*$I45)),"➤",""),"")</f>
        <v/>
      </c>
      <c r="PK45" s="76" t="str">
        <f aca="false">IF($I45&gt;0%,IF(AND(PK$16&gt;=$F45,PK$16&lt;$F45+($G45*$I45)),"➤",""),"")</f>
        <v/>
      </c>
      <c r="PL45" s="76" t="str">
        <f aca="false">IF($I45&gt;0%,IF(AND(PL$16&gt;=$F45,PL$16&lt;$F45+($G45*$I45)),"➤",""),"")</f>
        <v/>
      </c>
      <c r="PM45" s="76" t="str">
        <f aca="false">IF($I45&gt;0%,IF(AND(PM$16&gt;=$F45,PM$16&lt;$F45+($G45*$I45)),"➤",""),"")</f>
        <v/>
      </c>
      <c r="PN45" s="76" t="str">
        <f aca="false">IF($I45&gt;0%,IF(AND(PN$16&gt;=$F45,PN$16&lt;$F45+($G45*$I45)),"➤",""),"")</f>
        <v/>
      </c>
      <c r="PO45" s="76" t="str">
        <f aca="false">IF($I45&gt;0%,IF(AND(PO$16&gt;=$F45,PO$16&lt;$F45+($G45*$I45)),"➤",""),"")</f>
        <v/>
      </c>
      <c r="PP45" s="76" t="str">
        <f aca="false">IF($I45&gt;0%,IF(AND(PP$16&gt;=$F45,PP$16&lt;$F45+($G45*$I45)),"➤",""),"")</f>
        <v/>
      </c>
      <c r="PQ45" s="76" t="str">
        <f aca="false">IF($I45&gt;0%,IF(AND(PQ$16&gt;=$F45,PQ$16&lt;$F45+($G45*$I45)),"➤",""),"")</f>
        <v/>
      </c>
      <c r="PR45" s="76" t="str">
        <f aca="false">IF($I45&gt;0%,IF(AND(PR$16&gt;=$F45,PR$16&lt;$F45+($G45*$I45)),"➤",""),"")</f>
        <v/>
      </c>
      <c r="PS45" s="76" t="str">
        <f aca="false">IF($I45&gt;0%,IF(AND(PS$16&gt;=$F45,PS$16&lt;$F45+($G45*$I45)),"➤",""),"")</f>
        <v/>
      </c>
      <c r="PT45" s="76" t="str">
        <f aca="false">IF($I45&gt;0%,IF(AND(PT$16&gt;=$F45,PT$16&lt;$F45+($G45*$I45)),"➤",""),"")</f>
        <v/>
      </c>
      <c r="PU45" s="76" t="str">
        <f aca="false">IF($I45&gt;0%,IF(AND(PU$16&gt;=$F45,PU$16&lt;$F45+($G45*$I45)),"➤",""),"")</f>
        <v/>
      </c>
      <c r="PV45" s="76" t="str">
        <f aca="false">IF($I45&gt;0%,IF(AND(PV$16&gt;=$F45,PV$16&lt;$F45+($G45*$I45)),"➤",""),"")</f>
        <v/>
      </c>
      <c r="PW45" s="76" t="str">
        <f aca="false">IF($I45&gt;0%,IF(AND(PW$16&gt;=$F45,PW$16&lt;$F45+($G45*$I45)),"➤",""),"")</f>
        <v/>
      </c>
      <c r="PX45" s="76" t="str">
        <f aca="false">IF($I45&gt;0%,IF(AND(PX$16&gt;=$F45,PX$16&lt;$F45+($G45*$I45)),"➤",""),"")</f>
        <v/>
      </c>
      <c r="PY45" s="76" t="str">
        <f aca="false">IF($I45&gt;0%,IF(AND(PY$16&gt;=$F45,PY$16&lt;$F45+($G45*$I45)),"➤",""),"")</f>
        <v/>
      </c>
      <c r="PZ45" s="76" t="str">
        <f aca="false">IF($I45&gt;0%,IF(AND(PZ$16&gt;=$F45,PZ$16&lt;$F45+($G45*$I45)),"➤",""),"")</f>
        <v/>
      </c>
      <c r="QA45" s="76" t="str">
        <f aca="false">IF($I45&gt;0%,IF(AND(QA$16&gt;=$F45,QA$16&lt;$F45+($G45*$I45)),"➤",""),"")</f>
        <v/>
      </c>
      <c r="QB45" s="76" t="str">
        <f aca="false">IF($I45&gt;0%,IF(AND(QB$16&gt;=$F45,QB$16&lt;$F45+($G45*$I45)),"➤",""),"")</f>
        <v/>
      </c>
      <c r="QC45" s="76" t="str">
        <f aca="false">IF($I45&gt;0%,IF(AND(QC$16&gt;=$F45,QC$16&lt;$F45+($G45*$I45)),"➤",""),"")</f>
        <v/>
      </c>
      <c r="QD45" s="76" t="str">
        <f aca="false">IF($I45&gt;0%,IF(AND(QD$16&gt;=$F45,QD$16&lt;$F45+($G45*$I45)),"➤",""),"")</f>
        <v/>
      </c>
      <c r="QE45" s="76" t="str">
        <f aca="false">IF($I45&gt;0%,IF(AND(QE$16&gt;=$F45,QE$16&lt;$F45+($G45*$I45)),"➤",""),"")</f>
        <v/>
      </c>
      <c r="QF45" s="76" t="str">
        <f aca="false">IF($I45&gt;0%,IF(AND(QF$16&gt;=$F45,QF$16&lt;$F45+($G45*$I45)),"➤",""),"")</f>
        <v/>
      </c>
      <c r="QG45" s="76" t="str">
        <f aca="false">IF($I45&gt;0%,IF(AND(QG$16&gt;=$F45,QG$16&lt;$F45+($G45*$I45)),"➤",""),"")</f>
        <v/>
      </c>
      <c r="QH45" s="76" t="str">
        <f aca="false">IF($I45&gt;0%,IF(AND(QH$16&gt;=$F45,QH$16&lt;$F45+($G45*$I45)),"➤",""),"")</f>
        <v/>
      </c>
      <c r="QI45" s="76" t="str">
        <f aca="false">IF($I45&gt;0%,IF(AND(QI$16&gt;=$F45,QI$16&lt;$F45+($G45*$I45)),"➤",""),"")</f>
        <v/>
      </c>
      <c r="QJ45" s="76" t="str">
        <f aca="false">IF($I45&gt;0%,IF(AND(QJ$16&gt;=$F45,QJ$16&lt;$F45+($G45*$I45)),"➤",""),"")</f>
        <v/>
      </c>
      <c r="QK45" s="76" t="str">
        <f aca="false">IF($I45&gt;0%,IF(AND(QK$16&gt;=$F45,QK$16&lt;$F45+($G45*$I45)),"➤",""),"")</f>
        <v/>
      </c>
      <c r="QL45" s="76" t="str">
        <f aca="false">IF($I45&gt;0%,IF(AND(QL$16&gt;=$F45,QL$16&lt;$F45+($G45*$I45)),"➤",""),"")</f>
        <v/>
      </c>
      <c r="QM45" s="76" t="str">
        <f aca="false">IF($I45&gt;0%,IF(AND(QM$16&gt;=$F45,QM$16&lt;$F45+($G45*$I45)),"➤",""),"")</f>
        <v/>
      </c>
      <c r="QN45" s="76" t="str">
        <f aca="false">IF($I45&gt;0%,IF(AND(QN$16&gt;=$F45,QN$16&lt;$F45+($G45*$I45)),"➤",""),"")</f>
        <v/>
      </c>
      <c r="QO45" s="76" t="str">
        <f aca="false">IF($I45&gt;0%,IF(AND(QO$16&gt;=$F45,QO$16&lt;$F45+($G45*$I45)),"➤",""),"")</f>
        <v/>
      </c>
      <c r="QP45" s="76" t="str">
        <f aca="false">IF($I45&gt;0%,IF(AND(QP$16&gt;=$F45,QP$16&lt;$F45+($G45*$I45)),"➤",""),"")</f>
        <v/>
      </c>
      <c r="QQ45" s="76" t="str">
        <f aca="false">IF($I45&gt;0%,IF(AND(QQ$16&gt;=$F45,QQ$16&lt;$F45+($G45*$I45)),"➤",""),"")</f>
        <v/>
      </c>
      <c r="QR45" s="76" t="str">
        <f aca="false">IF($I45&gt;0%,IF(AND(QR$16&gt;=$F45,QR$16&lt;$F45+($G45*$I45)),"➤",""),"")</f>
        <v/>
      </c>
      <c r="QS45" s="76" t="str">
        <f aca="false">IF($I45&gt;0%,IF(AND(QS$16&gt;=$F45,QS$16&lt;$F45+($G45*$I45)),"➤",""),"")</f>
        <v/>
      </c>
      <c r="QT45" s="76" t="str">
        <f aca="false">IF($I45&gt;0%,IF(AND(QT$16&gt;=$F45,QT$16&lt;$F45+($G45*$I45)),"➤",""),"")</f>
        <v/>
      </c>
      <c r="QU45" s="76" t="str">
        <f aca="false">IF($I45&gt;0%,IF(AND(QU$16&gt;=$F45,QU$16&lt;$F45+($G45*$I45)),"➤",""),"")</f>
        <v/>
      </c>
      <c r="QV45" s="76" t="str">
        <f aca="false">IF($I45&gt;0%,IF(AND(QV$16&gt;=$F45,QV$16&lt;$F45+($G45*$I45)),"➤",""),"")</f>
        <v/>
      </c>
      <c r="QW45" s="76" t="str">
        <f aca="false">IF($I45&gt;0%,IF(AND(QW$16&gt;=$F45,QW$16&lt;$F45+($G45*$I45)),"➤",""),"")</f>
        <v/>
      </c>
      <c r="QX45" s="76" t="str">
        <f aca="false">IF($I45&gt;0%,IF(AND(QX$16&gt;=$F45,QX$16&lt;$F45+($G45*$I45)),"➤",""),"")</f>
        <v/>
      </c>
      <c r="QY45" s="76" t="str">
        <f aca="false">IF($I45&gt;0%,IF(AND(QY$16&gt;=$F45,QY$16&lt;$F45+($G45*$I45)),"➤",""),"")</f>
        <v/>
      </c>
      <c r="QZ45" s="76" t="str">
        <f aca="false">IF($I45&gt;0%,IF(AND(QZ$16&gt;=$F45,QZ$16&lt;$F45+($G45*$I45)),"➤",""),"")</f>
        <v/>
      </c>
      <c r="RA45" s="76" t="str">
        <f aca="false">IF($I45&gt;0%,IF(AND(RA$16&gt;=$F45,RA$16&lt;$F45+($G45*$I45)),"➤",""),"")</f>
        <v/>
      </c>
      <c r="RB45" s="76" t="str">
        <f aca="false">IF($I45&gt;0%,IF(AND(RB$16&gt;=$F45,RB$16&lt;$F45+($G45*$I45)),"➤",""),"")</f>
        <v/>
      </c>
      <c r="RC45" s="76" t="str">
        <f aca="false">IF($I45&gt;0%,IF(AND(RC$16&gt;=$F45,RC$16&lt;$F45+($G45*$I45)),"➤",""),"")</f>
        <v/>
      </c>
      <c r="RD45" s="76" t="str">
        <f aca="false">IF($I45&gt;0%,IF(AND(RD$16&gt;=$F45,RD$16&lt;$F45+($G45*$I45)),"➤",""),"")</f>
        <v/>
      </c>
      <c r="RE45" s="76" t="str">
        <f aca="false">IF($I45&gt;0%,IF(AND(RE$16&gt;=$F45,RE$16&lt;$F45+($G45*$I45)),"➤",""),"")</f>
        <v/>
      </c>
      <c r="RF45" s="76" t="str">
        <f aca="false">IF($I45&gt;0%,IF(AND(RF$16&gt;=$F45,RF$16&lt;$F45+($G45*$I45)),"➤",""),"")</f>
        <v/>
      </c>
      <c r="RG45" s="76" t="str">
        <f aca="false">IF($I45&gt;0%,IF(AND(RG$16&gt;=$F45,RG$16&lt;$F45+($G45*$I45)),"➤",""),"")</f>
        <v/>
      </c>
      <c r="RH45" s="76" t="str">
        <f aca="false">IF($I45&gt;0%,IF(AND(RH$16&gt;=$F45,RH$16&lt;$F45+($G45*$I45)),"➤",""),"")</f>
        <v/>
      </c>
      <c r="RI45" s="76" t="str">
        <f aca="false">IF($I45&gt;0%,IF(AND(RI$16&gt;=$F45,RI$16&lt;$F45+($G45*$I45)),"➤",""),"")</f>
        <v/>
      </c>
      <c r="RJ45" s="76" t="str">
        <f aca="false">IF($I45&gt;0%,IF(AND(RJ$16&gt;=$F45,RJ$16&lt;$F45+($G45*$I45)),"➤",""),"")</f>
        <v/>
      </c>
      <c r="RK45" s="76" t="str">
        <f aca="false">IF($I45&gt;0%,IF(AND(RK$16&gt;=$F45,RK$16&lt;$F45+($G45*$I45)),"➤",""),"")</f>
        <v/>
      </c>
      <c r="RL45" s="76" t="str">
        <f aca="false">IF($I45&gt;0%,IF(AND(RL$16&gt;=$F45,RL$16&lt;$F45+($G45*$I45)),"➤",""),"")</f>
        <v/>
      </c>
      <c r="RM45" s="76" t="str">
        <f aca="false">IF($I45&gt;0%,IF(AND(RM$16&gt;=$F45,RM$16&lt;$F45+($G45*$I45)),"➤",""),"")</f>
        <v/>
      </c>
      <c r="RN45" s="76" t="str">
        <f aca="false">IF($I45&gt;0%,IF(AND(RN$16&gt;=$F45,RN$16&lt;$F45+($G45*$I45)),"➤",""),"")</f>
        <v/>
      </c>
      <c r="RO45" s="76" t="str">
        <f aca="false">IF($I45&gt;0%,IF(AND(RO$16&gt;=$F45,RO$16&lt;$F45+($G45*$I45)),"➤",""),"")</f>
        <v/>
      </c>
      <c r="RP45" s="76" t="str">
        <f aca="false">IF($I45&gt;0%,IF(AND(RP$16&gt;=$F45,RP$16&lt;$F45+($G45*$I45)),"➤",""),"")</f>
        <v/>
      </c>
      <c r="RQ45" s="76" t="str">
        <f aca="false">IF($I45&gt;0%,IF(AND(RQ$16&gt;=$F45,RQ$16&lt;$F45+($G45*$I45)),"➤",""),"")</f>
        <v/>
      </c>
      <c r="RR45" s="76" t="str">
        <f aca="false">IF($I45&gt;0%,IF(AND(RR$16&gt;=$F45,RR$16&lt;$F45+($G45*$I45)),"➤",""),"")</f>
        <v/>
      </c>
      <c r="RS45" s="76" t="str">
        <f aca="false">IF($I45&gt;0%,IF(AND(RS$16&gt;=$F45,RS$16&lt;$F45+($G45*$I45)),"➤",""),"")</f>
        <v/>
      </c>
      <c r="RT45" s="76" t="str">
        <f aca="false">IF($I45&gt;0%,IF(AND(RT$16&gt;=$F45,RT$16&lt;$F45+($G45*$I45)),"➤",""),"")</f>
        <v/>
      </c>
      <c r="RU45" s="76" t="str">
        <f aca="false">IF($I45&gt;0%,IF(AND(RU$16&gt;=$F45,RU$16&lt;$F45+($G45*$I45)),"➤",""),"")</f>
        <v/>
      </c>
      <c r="RV45" s="76" t="str">
        <f aca="false">IF($I45&gt;0%,IF(AND(RV$16&gt;=$F45,RV$16&lt;$F45+($G45*$I45)),"➤",""),"")</f>
        <v/>
      </c>
      <c r="RW45" s="76" t="str">
        <f aca="false">IF($I45&gt;0%,IF(AND(RW$16&gt;=$F45,RW$16&lt;$F45+($G45*$I45)),"➤",""),"")</f>
        <v/>
      </c>
      <c r="RX45" s="76" t="str">
        <f aca="false">IF($I45&gt;0%,IF(AND(RX$16&gt;=$F45,RX$16&lt;$F45+($G45*$I45)),"➤",""),"")</f>
        <v/>
      </c>
      <c r="RY45" s="76" t="str">
        <f aca="false">IF($I45&gt;0%,IF(AND(RY$16&gt;=$F45,RY$16&lt;$F45+($G45*$I45)),"➤",""),"")</f>
        <v/>
      </c>
      <c r="RZ45" s="76" t="str">
        <f aca="false">IF($I45&gt;0%,IF(AND(RZ$16&gt;=$F45,RZ$16&lt;$F45+($G45*$I45)),"➤",""),"")</f>
        <v/>
      </c>
      <c r="SA45" s="76" t="str">
        <f aca="false">IF($I45&gt;0%,IF(AND(SA$16&gt;=$F45,SA$16&lt;$F45+($G45*$I45)),"➤",""),"")</f>
        <v/>
      </c>
      <c r="SB45" s="76" t="str">
        <f aca="false">IF($I45&gt;0%,IF(AND(SB$16&gt;=$F45,SB$16&lt;$F45+($G45*$I45)),"➤",""),"")</f>
        <v/>
      </c>
      <c r="SC45" s="76" t="str">
        <f aca="false">IF($I45&gt;0%,IF(AND(SC$16&gt;=$F45,SC$16&lt;$F45+($G45*$I45)),"➤",""),"")</f>
        <v/>
      </c>
      <c r="SD45" s="76" t="str">
        <f aca="false">IF($I45&gt;0%,IF(AND(SD$16&gt;=$F45,SD$16&lt;$F45+($G45*$I45)),"➤",""),"")</f>
        <v/>
      </c>
      <c r="SE45" s="76" t="str">
        <f aca="false">IF($I45&gt;0%,IF(AND(SE$16&gt;=$F45,SE$16&lt;$F45+($G45*$I45)),"➤",""),"")</f>
        <v/>
      </c>
      <c r="SF45" s="76" t="str">
        <f aca="false">IF($I45&gt;0%,IF(AND(SF$16&gt;=$F45,SF$16&lt;$F45+($G45*$I45)),"➤",""),"")</f>
        <v/>
      </c>
      <c r="SG45" s="76" t="str">
        <f aca="false">IF($I45&gt;0%,IF(AND(SG$16&gt;=$F45,SG$16&lt;$F45+($G45*$I45)),"➤",""),"")</f>
        <v/>
      </c>
      <c r="SH45" s="76" t="str">
        <f aca="false">IF($I45&gt;0%,IF(AND(SH$16&gt;=$F45,SH$16&lt;$F45+($G45*$I45)),"➤",""),"")</f>
        <v/>
      </c>
      <c r="SI45" s="76" t="str">
        <f aca="false">IF($I45&gt;0%,IF(AND(SI$16&gt;=$F45,SI$16&lt;$F45+($G45*$I45)),"➤",""),"")</f>
        <v/>
      </c>
      <c r="SJ45" s="76" t="str">
        <f aca="false">IF($I45&gt;0%,IF(AND(SJ$16&gt;=$F45,SJ$16&lt;$F45+($G45*$I45)),"➤",""),"")</f>
        <v/>
      </c>
      <c r="SK45" s="76" t="str">
        <f aca="false">IF($I45&gt;0%,IF(AND(SK$16&gt;=$F45,SK$16&lt;$F45+($G45*$I45)),"➤",""),"")</f>
        <v/>
      </c>
      <c r="SL45" s="76" t="str">
        <f aca="false">IF($I45&gt;0%,IF(AND(SL$16&gt;=$F45,SL$16&lt;$F45+($G45*$I45)),"➤",""),"")</f>
        <v/>
      </c>
      <c r="SM45" s="76" t="str">
        <f aca="false">IF($I45&gt;0%,IF(AND(SM$16&gt;=$F45,SM$16&lt;$F45+($G45*$I45)),"➤",""),"")</f>
        <v/>
      </c>
      <c r="SN45" s="76" t="str">
        <f aca="false">IF($I45&gt;0%,IF(AND(SN$16&gt;=$F45,SN$16&lt;$F45+($G45*$I45)),"➤",""),"")</f>
        <v/>
      </c>
      <c r="SO45" s="76" t="str">
        <f aca="false">IF($I45&gt;0%,IF(AND(SO$16&gt;=$F45,SO$16&lt;$F45+($G45*$I45)),"➤",""),"")</f>
        <v/>
      </c>
      <c r="SP45" s="76" t="str">
        <f aca="false">IF($I45&gt;0%,IF(AND(SP$16&gt;=$F45,SP$16&lt;$F45+($G45*$I45)),"➤",""),"")</f>
        <v/>
      </c>
      <c r="SQ45" s="76" t="str">
        <f aca="false">IF($I45&gt;0%,IF(AND(SQ$16&gt;=$F45,SQ$16&lt;$F45+($G45*$I45)),"➤",""),"")</f>
        <v/>
      </c>
      <c r="SR45" s="76" t="str">
        <f aca="false">IF($I45&gt;0%,IF(AND(SR$16&gt;=$F45,SR$16&lt;$F45+($G45*$I45)),"➤",""),"")</f>
        <v/>
      </c>
      <c r="SS45" s="76" t="str">
        <f aca="false">IF($I45&gt;0%,IF(AND(SS$16&gt;=$F45,SS$16&lt;$F45+($G45*$I45)),"➤",""),"")</f>
        <v/>
      </c>
      <c r="ST45" s="76" t="str">
        <f aca="false">IF($I45&gt;0%,IF(AND(ST$16&gt;=$F45,ST$16&lt;$F45+($G45*$I45)),"➤",""),"")</f>
        <v/>
      </c>
      <c r="SU45" s="76" t="str">
        <f aca="false">IF($I45&gt;0%,IF(AND(SU$16&gt;=$F45,SU$16&lt;$F45+($G45*$I45)),"➤",""),"")</f>
        <v/>
      </c>
      <c r="SV45" s="76" t="str">
        <f aca="false">IF($I45&gt;0%,IF(AND(SV$16&gt;=$F45,SV$16&lt;$F45+($G45*$I45)),"➤",""),"")</f>
        <v/>
      </c>
      <c r="SW45" s="77" t="str">
        <f aca="false">IF($I45&gt;0%,IF(AND(SW$16&gt;=$F45,SW$16&lt;$F45+($G45*$I45)),"➤",""),"")</f>
        <v/>
      </c>
    </row>
    <row r="46" customFormat="false" ht="14.25" hidden="false" customHeight="false" outlineLevel="1" collapsed="false">
      <c r="C46" s="10"/>
      <c r="D46" s="78"/>
      <c r="E46" s="79"/>
      <c r="F46" s="108" t="n">
        <v>44166</v>
      </c>
      <c r="G46" s="109" t="n">
        <v>10</v>
      </c>
      <c r="H46" s="94" t="n">
        <f aca="false">(F46+G46)-1</f>
        <v>44175</v>
      </c>
      <c r="I46" s="98" t="n">
        <v>0</v>
      </c>
      <c r="J46" s="84"/>
      <c r="K46" s="85"/>
      <c r="L46" s="75" t="str">
        <f aca="false">IF($I46&gt;0%,IF(AND(L$16&gt;=$F46,L$16&lt;$F46+($G46*$I46)),"➤",""),"")</f>
        <v/>
      </c>
      <c r="M46" s="76" t="str">
        <f aca="false">IF($I46&gt;0%,IF(AND(M$16&gt;=$F46,M$16&lt;$F46+($G46*$I46)),"➤",""),"")</f>
        <v/>
      </c>
      <c r="N46" s="76" t="str">
        <f aca="false">IF($I46&gt;0%,IF(AND(N$16&gt;=$F46,N$16&lt;$F46+($G46*$I46)),"➤",""),"")</f>
        <v/>
      </c>
      <c r="O46" s="76" t="str">
        <f aca="false">IF($I46&gt;0%,IF(AND(O$16&gt;=$F46,O$16&lt;$F46+($G46*$I46)),"➤",""),"")</f>
        <v/>
      </c>
      <c r="P46" s="76" t="str">
        <f aca="false">IF($I46&gt;0%,IF(AND(P$16&gt;=$F46,P$16&lt;$F46+($G46*$I46)),"➤",""),"")</f>
        <v/>
      </c>
      <c r="Q46" s="76" t="str">
        <f aca="false">IF($I46&gt;0%,IF(AND(Q$16&gt;=$F46,Q$16&lt;$F46+($G46*$I46)),"➤",""),"")</f>
        <v/>
      </c>
      <c r="R46" s="76" t="str">
        <f aca="false">IF($I46&gt;0%,IF(AND(R$16&gt;=$F46,R$16&lt;$F46+($G46*$I46)),"➤",""),"")</f>
        <v/>
      </c>
      <c r="S46" s="76" t="str">
        <f aca="false">IF($I46&gt;0%,IF(AND(S$16&gt;=$F46,S$16&lt;$F46+($G46*$I46)),"➤",""),"")</f>
        <v/>
      </c>
      <c r="T46" s="76" t="str">
        <f aca="false">IF($I46&gt;0%,IF(AND(T$16&gt;=$F46,T$16&lt;$F46+($G46*$I46)),"➤",""),"")</f>
        <v/>
      </c>
      <c r="U46" s="76" t="str">
        <f aca="false">IF($I46&gt;0%,IF(AND(U$16&gt;=$F46,U$16&lt;$F46+($G46*$I46)),"➤",""),"")</f>
        <v/>
      </c>
      <c r="V46" s="76" t="str">
        <f aca="false">IF($I46&gt;0%,IF(AND(V$16&gt;=$F46,V$16&lt;$F46+($G46*$I46)),"➤",""),"")</f>
        <v/>
      </c>
      <c r="W46" s="76" t="str">
        <f aca="false">IF($I46&gt;0%,IF(AND(W$16&gt;=$F46,W$16&lt;$F46+($G46*$I46)),"➤",""),"")</f>
        <v/>
      </c>
      <c r="X46" s="76" t="str">
        <f aca="false">IF($I46&gt;0%,IF(AND(X$16&gt;=$F46,X$16&lt;$F46+($G46*$I46)),"➤",""),"")</f>
        <v/>
      </c>
      <c r="Y46" s="76" t="str">
        <f aca="false">IF($I46&gt;0%,IF(AND(Y$16&gt;=$F46,Y$16&lt;$F46+($G46*$I46)),"➤",""),"")</f>
        <v/>
      </c>
      <c r="Z46" s="76" t="str">
        <f aca="false">IF($I46&gt;0%,IF(AND(Z$16&gt;=$F46,Z$16&lt;$F46+($G46*$I46)),"➤",""),"")</f>
        <v/>
      </c>
      <c r="AA46" s="76" t="str">
        <f aca="false">IF($I46&gt;0%,IF(AND(AA$16&gt;=$F46,AA$16&lt;$F46+($G46*$I46)),"➤",""),"")</f>
        <v/>
      </c>
      <c r="AB46" s="76" t="str">
        <f aca="false">IF($I46&gt;0%,IF(AND(AB$16&gt;=$F46,AB$16&lt;$F46+($G46*$I46)),"➤",""),"")</f>
        <v/>
      </c>
      <c r="AC46" s="76" t="str">
        <f aca="false">IF($I46&gt;0%,IF(AND(AC$16&gt;=$F46,AC$16&lt;$F46+($G46*$I46)),"➤",""),"")</f>
        <v/>
      </c>
      <c r="AD46" s="76" t="str">
        <f aca="false">IF($I46&gt;0%,IF(AND(AD$16&gt;=$F46,AD$16&lt;$F46+($G46*$I46)),"➤",""),"")</f>
        <v/>
      </c>
      <c r="AE46" s="76" t="str">
        <f aca="false">IF($I46&gt;0%,IF(AND(AE$16&gt;=$F46,AE$16&lt;$F46+($G46*$I46)),"➤",""),"")</f>
        <v/>
      </c>
      <c r="AF46" s="76" t="str">
        <f aca="false">IF($I46&gt;0%,IF(AND(AF$16&gt;=$F46,AF$16&lt;$F46+($G46*$I46)),"➤",""),"")</f>
        <v/>
      </c>
      <c r="AG46" s="76" t="str">
        <f aca="false">IF($I46&gt;0%,IF(AND(AG$16&gt;=$F46,AG$16&lt;$F46+($G46*$I46)),"➤",""),"")</f>
        <v/>
      </c>
      <c r="AH46" s="76" t="str">
        <f aca="false">IF($I46&gt;0%,IF(AND(AH$16&gt;=$F46,AH$16&lt;$F46+($G46*$I46)),"➤",""),"")</f>
        <v/>
      </c>
      <c r="AI46" s="76" t="str">
        <f aca="false">IF($I46&gt;0%,IF(AND(AI$16&gt;=$F46,AI$16&lt;$F46+($G46*$I46)),"➤",""),"")</f>
        <v/>
      </c>
      <c r="AJ46" s="76" t="str">
        <f aca="false">IF($I46&gt;0%,IF(AND(AJ$16&gt;=$F46,AJ$16&lt;$F46+($G46*$I46)),"➤",""),"")</f>
        <v/>
      </c>
      <c r="AK46" s="76" t="str">
        <f aca="false">IF($I46&gt;0%,IF(AND(AK$16&gt;=$F46,AK$16&lt;$F46+($G46*$I46)),"➤",""),"")</f>
        <v/>
      </c>
      <c r="AL46" s="76" t="str">
        <f aca="false">IF($I46&gt;0%,IF(AND(AL$16&gt;=$F46,AL$16&lt;$F46+($G46*$I46)),"➤",""),"")</f>
        <v/>
      </c>
      <c r="AM46" s="76" t="str">
        <f aca="false">IF($I46&gt;0%,IF(AND(AM$16&gt;=$F46,AM$16&lt;$F46+($G46*$I46)),"➤",""),"")</f>
        <v/>
      </c>
      <c r="AN46" s="76" t="str">
        <f aca="false">IF($I46&gt;0%,IF(AND(AN$16&gt;=$F46,AN$16&lt;$F46+($G46*$I46)),"➤",""),"")</f>
        <v/>
      </c>
      <c r="AO46" s="76" t="str">
        <f aca="false">IF($I46&gt;0%,IF(AND(AO$16&gt;=$F46,AO$16&lt;$F46+($G46*$I46)),"➤",""),"")</f>
        <v/>
      </c>
      <c r="AP46" s="76" t="str">
        <f aca="false">IF($I46&gt;0%,IF(AND(AP$16&gt;=$F46,AP$16&lt;$F46+($G46*$I46)),"➤",""),"")</f>
        <v/>
      </c>
      <c r="AQ46" s="76" t="str">
        <f aca="false">IF($I46&gt;0%,IF(AND(AQ$16&gt;=$F46,AQ$16&lt;$F46+($G46*$I46)),"➤",""),"")</f>
        <v/>
      </c>
      <c r="AR46" s="76" t="str">
        <f aca="false">IF($I46&gt;0%,IF(AND(AR$16&gt;=$F46,AR$16&lt;$F46+($G46*$I46)),"➤",""),"")</f>
        <v/>
      </c>
      <c r="AS46" s="76" t="str">
        <f aca="false">IF($I46&gt;0%,IF(AND(AS$16&gt;=$F46,AS$16&lt;$F46+($G46*$I46)),"➤",""),"")</f>
        <v/>
      </c>
      <c r="AT46" s="76" t="str">
        <f aca="false">IF($I46&gt;0%,IF(AND(AT$16&gt;=$F46,AT$16&lt;$F46+($G46*$I46)),"➤",""),"")</f>
        <v/>
      </c>
      <c r="AU46" s="76" t="str">
        <f aca="false">IF($I46&gt;0%,IF(AND(AU$16&gt;=$F46,AU$16&lt;$F46+($G46*$I46)),"➤",""),"")</f>
        <v/>
      </c>
      <c r="AV46" s="76" t="str">
        <f aca="false">IF($I46&gt;0%,IF(AND(AV$16&gt;=$F46,AV$16&lt;$F46+($G46*$I46)),"➤",""),"")</f>
        <v/>
      </c>
      <c r="AW46" s="76" t="str">
        <f aca="false">IF($I46&gt;0%,IF(AND(AW$16&gt;=$F46,AW$16&lt;$F46+($G46*$I46)),"➤",""),"")</f>
        <v/>
      </c>
      <c r="AX46" s="76" t="str">
        <f aca="false">IF($I46&gt;0%,IF(AND(AX$16&gt;=$F46,AX$16&lt;$F46+($G46*$I46)),"➤",""),"")</f>
        <v/>
      </c>
      <c r="AY46" s="76" t="str">
        <f aca="false">IF($I46&gt;0%,IF(AND(AY$16&gt;=$F46,AY$16&lt;$F46+($G46*$I46)),"➤",""),"")</f>
        <v/>
      </c>
      <c r="AZ46" s="76" t="str">
        <f aca="false">IF($I46&gt;0%,IF(AND(AZ$16&gt;=$F46,AZ$16&lt;$F46+($G46*$I46)),"➤",""),"")</f>
        <v/>
      </c>
      <c r="BA46" s="76" t="str">
        <f aca="false">IF($I46&gt;0%,IF(AND(BA$16&gt;=$F46,BA$16&lt;$F46+($G46*$I46)),"➤",""),"")</f>
        <v/>
      </c>
      <c r="BB46" s="76" t="str">
        <f aca="false">IF($I46&gt;0%,IF(AND(BB$16&gt;=$F46,BB$16&lt;$F46+($G46*$I46)),"➤",""),"")</f>
        <v/>
      </c>
      <c r="BC46" s="76" t="str">
        <f aca="false">IF($I46&gt;0%,IF(AND(BC$16&gt;=$F46,BC$16&lt;$F46+($G46*$I46)),"➤",""),"")</f>
        <v/>
      </c>
      <c r="BD46" s="76" t="str">
        <f aca="false">IF($I46&gt;0%,IF(AND(BD$16&gt;=$F46,BD$16&lt;$F46+($G46*$I46)),"➤",""),"")</f>
        <v/>
      </c>
      <c r="BE46" s="76" t="str">
        <f aca="false">IF($I46&gt;0%,IF(AND(BE$16&gt;=$F46,BE$16&lt;$F46+($G46*$I46)),"➤",""),"")</f>
        <v/>
      </c>
      <c r="BF46" s="76" t="str">
        <f aca="false">IF($I46&gt;0%,IF(AND(BF$16&gt;=$F46,BF$16&lt;$F46+($G46*$I46)),"➤",""),"")</f>
        <v/>
      </c>
      <c r="BG46" s="76" t="str">
        <f aca="false">IF($I46&gt;0%,IF(AND(BG$16&gt;=$F46,BG$16&lt;$F46+($G46*$I46)),"➤",""),"")</f>
        <v/>
      </c>
      <c r="BH46" s="76" t="str">
        <f aca="false">IF($I46&gt;0%,IF(AND(BH$16&gt;=$F46,BH$16&lt;$F46+($G46*$I46)),"➤",""),"")</f>
        <v/>
      </c>
      <c r="BI46" s="76" t="str">
        <f aca="false">IF($I46&gt;0%,IF(AND(BI$16&gt;=$F46,BI$16&lt;$F46+($G46*$I46)),"➤",""),"")</f>
        <v/>
      </c>
      <c r="BJ46" s="76" t="str">
        <f aca="false">IF($I46&gt;0%,IF(AND(BJ$16&gt;=$F46,BJ$16&lt;$F46+($G46*$I46)),"➤",""),"")</f>
        <v/>
      </c>
      <c r="BK46" s="76" t="str">
        <f aca="false">IF($I46&gt;0%,IF(AND(BK$16&gt;=$F46,BK$16&lt;$F46+($G46*$I46)),"➤",""),"")</f>
        <v/>
      </c>
      <c r="BL46" s="76" t="str">
        <f aca="false">IF($I46&gt;0%,IF(AND(BL$16&gt;=$F46,BL$16&lt;$F46+($G46*$I46)),"➤",""),"")</f>
        <v/>
      </c>
      <c r="BM46" s="76" t="str">
        <f aca="false">IF($I46&gt;0%,IF(AND(BM$16&gt;=$F46,BM$16&lt;$F46+($G46*$I46)),"➤",""),"")</f>
        <v/>
      </c>
      <c r="BN46" s="76" t="str">
        <f aca="false">IF($I46&gt;0%,IF(AND(BN$16&gt;=$F46,BN$16&lt;$F46+($G46*$I46)),"➤",""),"")</f>
        <v/>
      </c>
      <c r="BO46" s="76" t="str">
        <f aca="false">IF($I46&gt;0%,IF(AND(BO$16&gt;=$F46,BO$16&lt;$F46+($G46*$I46)),"➤",""),"")</f>
        <v/>
      </c>
      <c r="BP46" s="76" t="str">
        <f aca="false">IF($I46&gt;0%,IF(AND(BP$16&gt;=$F46,BP$16&lt;$F46+($G46*$I46)),"➤",""),"")</f>
        <v/>
      </c>
      <c r="BQ46" s="76" t="str">
        <f aca="false">IF($I46&gt;0%,IF(AND(BQ$16&gt;=$F46,BQ$16&lt;$F46+($G46*$I46)),"➤",""),"")</f>
        <v/>
      </c>
      <c r="BR46" s="76" t="str">
        <f aca="false">IF($I46&gt;0%,IF(AND(BR$16&gt;=$F46,BR$16&lt;$F46+($G46*$I46)),"➤",""),"")</f>
        <v/>
      </c>
      <c r="BS46" s="76" t="str">
        <f aca="false">IF($I46&gt;0%,IF(AND(BS$16&gt;=$F46,BS$16&lt;$F46+($G46*$I46)),"➤",""),"")</f>
        <v/>
      </c>
      <c r="BT46" s="76" t="str">
        <f aca="false">IF($I46&gt;0%,IF(AND(BT$16&gt;=$F46,BT$16&lt;$F46+($G46*$I46)),"➤",""),"")</f>
        <v/>
      </c>
      <c r="BU46" s="76" t="str">
        <f aca="false">IF($I46&gt;0%,IF(AND(BU$16&gt;=$F46,BU$16&lt;$F46+($G46*$I46)),"➤",""),"")</f>
        <v/>
      </c>
      <c r="BV46" s="76" t="str">
        <f aca="false">IF($I46&gt;0%,IF(AND(BV$16&gt;=$F46,BV$16&lt;$F46+($G46*$I46)),"➤",""),"")</f>
        <v/>
      </c>
      <c r="BW46" s="76" t="str">
        <f aca="false">IF($I46&gt;0%,IF(AND(BW$16&gt;=$F46,BW$16&lt;$F46+($G46*$I46)),"➤",""),"")</f>
        <v/>
      </c>
      <c r="BX46" s="76" t="str">
        <f aca="false">IF($I46&gt;0%,IF(AND(BX$16&gt;=$F46,BX$16&lt;$F46+($G46*$I46)),"➤",""),"")</f>
        <v/>
      </c>
      <c r="BY46" s="76" t="str">
        <f aca="false">IF($I46&gt;0%,IF(AND(BY$16&gt;=$F46,BY$16&lt;$F46+($G46*$I46)),"➤",""),"")</f>
        <v/>
      </c>
      <c r="BZ46" s="76" t="str">
        <f aca="false">IF($I46&gt;0%,IF(AND(BZ$16&gt;=$F46,BZ$16&lt;$F46+($G46*$I46)),"➤",""),"")</f>
        <v/>
      </c>
      <c r="CA46" s="76" t="str">
        <f aca="false">IF($I46&gt;0%,IF(AND(CA$16&gt;=$F46,CA$16&lt;$F46+($G46*$I46)),"➤",""),"")</f>
        <v/>
      </c>
      <c r="CB46" s="76" t="str">
        <f aca="false">IF($I46&gt;0%,IF(AND(CB$16&gt;=$F46,CB$16&lt;$F46+($G46*$I46)),"➤",""),"")</f>
        <v/>
      </c>
      <c r="CC46" s="76" t="str">
        <f aca="false">IF($I46&gt;0%,IF(AND(CC$16&gt;=$F46,CC$16&lt;$F46+($G46*$I46)),"➤",""),"")</f>
        <v/>
      </c>
      <c r="CD46" s="76" t="str">
        <f aca="false">IF($I46&gt;0%,IF(AND(CD$16&gt;=$F46,CD$16&lt;$F46+($G46*$I46)),"➤",""),"")</f>
        <v/>
      </c>
      <c r="CE46" s="76" t="str">
        <f aca="false">IF($I46&gt;0%,IF(AND(CE$16&gt;=$F46,CE$16&lt;$F46+($G46*$I46)),"➤",""),"")</f>
        <v/>
      </c>
      <c r="CF46" s="76" t="str">
        <f aca="false">IF($I46&gt;0%,IF(AND(CF$16&gt;=$F46,CF$16&lt;$F46+($G46*$I46)),"➤",""),"")</f>
        <v/>
      </c>
      <c r="CG46" s="76" t="str">
        <f aca="false">IF($I46&gt;0%,IF(AND(CG$16&gt;=$F46,CG$16&lt;$F46+($G46*$I46)),"➤",""),"")</f>
        <v/>
      </c>
      <c r="CH46" s="76" t="str">
        <f aca="false">IF($I46&gt;0%,IF(AND(CH$16&gt;=$F46,CH$16&lt;$F46+($G46*$I46)),"➤",""),"")</f>
        <v/>
      </c>
      <c r="CI46" s="76" t="str">
        <f aca="false">IF($I46&gt;0%,IF(AND(CI$16&gt;=$F46,CI$16&lt;$F46+($G46*$I46)),"➤",""),"")</f>
        <v/>
      </c>
      <c r="CJ46" s="76" t="str">
        <f aca="false">IF($I46&gt;0%,IF(AND(CJ$16&gt;=$F46,CJ$16&lt;$F46+($G46*$I46)),"➤",""),"")</f>
        <v/>
      </c>
      <c r="CK46" s="76" t="str">
        <f aca="false">IF($I46&gt;0%,IF(AND(CK$16&gt;=$F46,CK$16&lt;$F46+($G46*$I46)),"➤",""),"")</f>
        <v/>
      </c>
      <c r="CL46" s="76" t="str">
        <f aca="false">IF($I46&gt;0%,IF(AND(CL$16&gt;=$F46,CL$16&lt;$F46+($G46*$I46)),"➤",""),"")</f>
        <v/>
      </c>
      <c r="CM46" s="76" t="str">
        <f aca="false">IF($I46&gt;0%,IF(AND(CM$16&gt;=$F46,CM$16&lt;$F46+($G46*$I46)),"➤",""),"")</f>
        <v/>
      </c>
      <c r="CN46" s="76" t="str">
        <f aca="false">IF($I46&gt;0%,IF(AND(CN$16&gt;=$F46,CN$16&lt;$F46+($G46*$I46)),"➤",""),"")</f>
        <v/>
      </c>
      <c r="CO46" s="76" t="str">
        <f aca="false">IF($I46&gt;0%,IF(AND(CO$16&gt;=$F46,CO$16&lt;$F46+($G46*$I46)),"➤",""),"")</f>
        <v/>
      </c>
      <c r="CP46" s="76" t="str">
        <f aca="false">IF($I46&gt;0%,IF(AND(CP$16&gt;=$F46,CP$16&lt;$F46+($G46*$I46)),"➤",""),"")</f>
        <v/>
      </c>
      <c r="CQ46" s="76" t="str">
        <f aca="false">IF($I46&gt;0%,IF(AND(CQ$16&gt;=$F46,CQ$16&lt;$F46+($G46*$I46)),"➤",""),"")</f>
        <v/>
      </c>
      <c r="CR46" s="76" t="str">
        <f aca="false">IF($I46&gt;0%,IF(AND(CR$16&gt;=$F46,CR$16&lt;$F46+($G46*$I46)),"➤",""),"")</f>
        <v/>
      </c>
      <c r="CS46" s="76" t="str">
        <f aca="false">IF($I46&gt;0%,IF(AND(CS$16&gt;=$F46,CS$16&lt;$F46+($G46*$I46)),"➤",""),"")</f>
        <v/>
      </c>
      <c r="CT46" s="76" t="str">
        <f aca="false">IF($I46&gt;0%,IF(AND(CT$16&gt;=$F46,CT$16&lt;$F46+($G46*$I46)),"➤",""),"")</f>
        <v/>
      </c>
      <c r="CU46" s="76" t="str">
        <f aca="false">IF($I46&gt;0%,IF(AND(CU$16&gt;=$F46,CU$16&lt;$F46+($G46*$I46)),"➤",""),"")</f>
        <v/>
      </c>
      <c r="CV46" s="76" t="str">
        <f aca="false">IF($I46&gt;0%,IF(AND(CV$16&gt;=$F46,CV$16&lt;$F46+($G46*$I46)),"➤",""),"")</f>
        <v/>
      </c>
      <c r="CW46" s="76" t="str">
        <f aca="false">IF($I46&gt;0%,IF(AND(CW$16&gt;=$F46,CW$16&lt;$F46+($G46*$I46)),"➤",""),"")</f>
        <v/>
      </c>
      <c r="CX46" s="76" t="str">
        <f aca="false">IF($I46&gt;0%,IF(AND(CX$16&gt;=$F46,CX$16&lt;$F46+($G46*$I46)),"➤",""),"")</f>
        <v/>
      </c>
      <c r="CY46" s="76" t="str">
        <f aca="false">IF($I46&gt;0%,IF(AND(CY$16&gt;=$F46,CY$16&lt;$F46+($G46*$I46)),"➤",""),"")</f>
        <v/>
      </c>
      <c r="CZ46" s="76" t="str">
        <f aca="false">IF($I46&gt;0%,IF(AND(CZ$16&gt;=$F46,CZ$16&lt;$F46+($G46*$I46)),"➤",""),"")</f>
        <v/>
      </c>
      <c r="DA46" s="76" t="str">
        <f aca="false">IF($I46&gt;0%,IF(AND(DA$16&gt;=$F46,DA$16&lt;$F46+($G46*$I46)),"➤",""),"")</f>
        <v/>
      </c>
      <c r="DB46" s="76" t="str">
        <f aca="false">IF($I46&gt;0%,IF(AND(DB$16&gt;=$F46,DB$16&lt;$F46+($G46*$I46)),"➤",""),"")</f>
        <v/>
      </c>
      <c r="DC46" s="76" t="str">
        <f aca="false">IF($I46&gt;0%,IF(AND(DC$16&gt;=$F46,DC$16&lt;$F46+($G46*$I46)),"➤",""),"")</f>
        <v/>
      </c>
      <c r="DD46" s="76" t="str">
        <f aca="false">IF($I46&gt;0%,IF(AND(DD$16&gt;=$F46,DD$16&lt;$F46+($G46*$I46)),"➤",""),"")</f>
        <v/>
      </c>
      <c r="DE46" s="76" t="str">
        <f aca="false">IF($I46&gt;0%,IF(AND(DE$16&gt;=$F46,DE$16&lt;$F46+($G46*$I46)),"➤",""),"")</f>
        <v/>
      </c>
      <c r="DF46" s="76" t="str">
        <f aca="false">IF($I46&gt;0%,IF(AND(DF$16&gt;=$F46,DF$16&lt;$F46+($G46*$I46)),"➤",""),"")</f>
        <v/>
      </c>
      <c r="DG46" s="76" t="str">
        <f aca="false">IF($I46&gt;0%,IF(AND(DG$16&gt;=$F46,DG$16&lt;$F46+($G46*$I46)),"➤",""),"")</f>
        <v/>
      </c>
      <c r="DH46" s="76" t="str">
        <f aca="false">IF($I46&gt;0%,IF(AND(DH$16&gt;=$F46,DH$16&lt;$F46+($G46*$I46)),"➤",""),"")</f>
        <v/>
      </c>
      <c r="DI46" s="76" t="str">
        <f aca="false">IF($I46&gt;0%,IF(AND(DI$16&gt;=$F46,DI$16&lt;$F46+($G46*$I46)),"➤",""),"")</f>
        <v/>
      </c>
      <c r="DJ46" s="76" t="str">
        <f aca="false">IF($I46&gt;0%,IF(AND(DJ$16&gt;=$F46,DJ$16&lt;$F46+($G46*$I46)),"➤",""),"")</f>
        <v/>
      </c>
      <c r="DK46" s="76" t="str">
        <f aca="false">IF($I46&gt;0%,IF(AND(DK$16&gt;=$F46,DK$16&lt;$F46+($G46*$I46)),"➤",""),"")</f>
        <v/>
      </c>
      <c r="DL46" s="76" t="str">
        <f aca="false">IF($I46&gt;0%,IF(AND(DL$16&gt;=$F46,DL$16&lt;$F46+($G46*$I46)),"➤",""),"")</f>
        <v/>
      </c>
      <c r="DM46" s="76" t="str">
        <f aca="false">IF($I46&gt;0%,IF(AND(DM$16&gt;=$F46,DM$16&lt;$F46+($G46*$I46)),"➤",""),"")</f>
        <v/>
      </c>
      <c r="DN46" s="76" t="str">
        <f aca="false">IF($I46&gt;0%,IF(AND(DN$16&gt;=$F46,DN$16&lt;$F46+($G46*$I46)),"➤",""),"")</f>
        <v/>
      </c>
      <c r="DO46" s="76" t="str">
        <f aca="false">IF($I46&gt;0%,IF(AND(DO$16&gt;=$F46,DO$16&lt;$F46+($G46*$I46)),"➤",""),"")</f>
        <v/>
      </c>
      <c r="DP46" s="76" t="str">
        <f aca="false">IF($I46&gt;0%,IF(AND(DP$16&gt;=$F46,DP$16&lt;$F46+($G46*$I46)),"➤",""),"")</f>
        <v/>
      </c>
      <c r="DQ46" s="76" t="str">
        <f aca="false">IF($I46&gt;0%,IF(AND(DQ$16&gt;=$F46,DQ$16&lt;$F46+($G46*$I46)),"➤",""),"")</f>
        <v/>
      </c>
      <c r="DR46" s="76" t="str">
        <f aca="false">IF($I46&gt;0%,IF(AND(DR$16&gt;=$F46,DR$16&lt;$F46+($G46*$I46)),"➤",""),"")</f>
        <v/>
      </c>
      <c r="DS46" s="76" t="str">
        <f aca="false">IF($I46&gt;0%,IF(AND(DS$16&gt;=$F46,DS$16&lt;$F46+($G46*$I46)),"➤",""),"")</f>
        <v/>
      </c>
      <c r="DT46" s="76" t="str">
        <f aca="false">IF($I46&gt;0%,IF(AND(DT$16&gt;=$F46,DT$16&lt;$F46+($G46*$I46)),"➤",""),"")</f>
        <v/>
      </c>
      <c r="DU46" s="76" t="str">
        <f aca="false">IF($I46&gt;0%,IF(AND(DU$16&gt;=$F46,DU$16&lt;$F46+($G46*$I46)),"➤",""),"")</f>
        <v/>
      </c>
      <c r="DV46" s="76" t="str">
        <f aca="false">IF($I46&gt;0%,IF(AND(DV$16&gt;=$F46,DV$16&lt;$F46+($G46*$I46)),"➤",""),"")</f>
        <v/>
      </c>
      <c r="DW46" s="76" t="str">
        <f aca="false">IF($I46&gt;0%,IF(AND(DW$16&gt;=$F46,DW$16&lt;$F46+($G46*$I46)),"➤",""),"")</f>
        <v/>
      </c>
      <c r="DX46" s="76" t="str">
        <f aca="false">IF($I46&gt;0%,IF(AND(DX$16&gt;=$F46,DX$16&lt;$F46+($G46*$I46)),"➤",""),"")</f>
        <v/>
      </c>
      <c r="DY46" s="76" t="str">
        <f aca="false">IF($I46&gt;0%,IF(AND(DY$16&gt;=$F46,DY$16&lt;$F46+($G46*$I46)),"➤",""),"")</f>
        <v/>
      </c>
      <c r="DZ46" s="76" t="str">
        <f aca="false">IF($I46&gt;0%,IF(AND(DZ$16&gt;=$F46,DZ$16&lt;$F46+($G46*$I46)),"➤",""),"")</f>
        <v/>
      </c>
      <c r="EA46" s="76" t="str">
        <f aca="false">IF($I46&gt;0%,IF(AND(EA$16&gt;=$F46,EA$16&lt;$F46+($G46*$I46)),"➤",""),"")</f>
        <v/>
      </c>
      <c r="EB46" s="76" t="str">
        <f aca="false">IF($I46&gt;0%,IF(AND(EB$16&gt;=$F46,EB$16&lt;$F46+($G46*$I46)),"➤",""),"")</f>
        <v/>
      </c>
      <c r="EC46" s="76" t="str">
        <f aca="false">IF($I46&gt;0%,IF(AND(EC$16&gt;=$F46,EC$16&lt;$F46+($G46*$I46)),"➤",""),"")</f>
        <v/>
      </c>
      <c r="ED46" s="76" t="str">
        <f aca="false">IF($I46&gt;0%,IF(AND(ED$16&gt;=$F46,ED$16&lt;$F46+($G46*$I46)),"➤",""),"")</f>
        <v/>
      </c>
      <c r="EE46" s="76" t="str">
        <f aca="false">IF($I46&gt;0%,IF(AND(EE$16&gt;=$F46,EE$16&lt;$F46+($G46*$I46)),"➤",""),"")</f>
        <v/>
      </c>
      <c r="EF46" s="76" t="str">
        <f aca="false">IF($I46&gt;0%,IF(AND(EF$16&gt;=$F46,EF$16&lt;$F46+($G46*$I46)),"➤",""),"")</f>
        <v/>
      </c>
      <c r="EG46" s="76" t="str">
        <f aca="false">IF($I46&gt;0%,IF(AND(EG$16&gt;=$F46,EG$16&lt;$F46+($G46*$I46)),"➤",""),"")</f>
        <v/>
      </c>
      <c r="EH46" s="76" t="str">
        <f aca="false">IF($I46&gt;0%,IF(AND(EH$16&gt;=$F46,EH$16&lt;$F46+($G46*$I46)),"➤",""),"")</f>
        <v/>
      </c>
      <c r="EI46" s="76" t="str">
        <f aca="false">IF($I46&gt;0%,IF(AND(EI$16&gt;=$F46,EI$16&lt;$F46+($G46*$I46)),"➤",""),"")</f>
        <v/>
      </c>
      <c r="EJ46" s="76" t="str">
        <f aca="false">IF($I46&gt;0%,IF(AND(EJ$16&gt;=$F46,EJ$16&lt;$F46+($G46*$I46)),"➤",""),"")</f>
        <v/>
      </c>
      <c r="EK46" s="76" t="str">
        <f aca="false">IF($I46&gt;0%,IF(AND(EK$16&gt;=$F46,EK$16&lt;$F46+($G46*$I46)),"➤",""),"")</f>
        <v/>
      </c>
      <c r="EL46" s="76" t="str">
        <f aca="false">IF($I46&gt;0%,IF(AND(EL$16&gt;=$F46,EL$16&lt;$F46+($G46*$I46)),"➤",""),"")</f>
        <v/>
      </c>
      <c r="EM46" s="76" t="str">
        <f aca="false">IF($I46&gt;0%,IF(AND(EM$16&gt;=$F46,EM$16&lt;$F46+($G46*$I46)),"➤",""),"")</f>
        <v/>
      </c>
      <c r="EN46" s="76" t="str">
        <f aca="false">IF($I46&gt;0%,IF(AND(EN$16&gt;=$F46,EN$16&lt;$F46+($G46*$I46)),"➤",""),"")</f>
        <v/>
      </c>
      <c r="EO46" s="76" t="str">
        <f aca="false">IF($I46&gt;0%,IF(AND(EO$16&gt;=$F46,EO$16&lt;$F46+($G46*$I46)),"➤",""),"")</f>
        <v/>
      </c>
      <c r="EP46" s="76" t="str">
        <f aca="false">IF($I46&gt;0%,IF(AND(EP$16&gt;=$F46,EP$16&lt;$F46+($G46*$I46)),"➤",""),"")</f>
        <v/>
      </c>
      <c r="EQ46" s="76" t="str">
        <f aca="false">IF($I46&gt;0%,IF(AND(EQ$16&gt;=$F46,EQ$16&lt;$F46+($G46*$I46)),"➤",""),"")</f>
        <v/>
      </c>
      <c r="ER46" s="76" t="str">
        <f aca="false">IF($I46&gt;0%,IF(AND(ER$16&gt;=$F46,ER$16&lt;$F46+($G46*$I46)),"➤",""),"")</f>
        <v/>
      </c>
      <c r="ES46" s="76" t="str">
        <f aca="false">IF($I46&gt;0%,IF(AND(ES$16&gt;=$F46,ES$16&lt;$F46+($G46*$I46)),"➤",""),"")</f>
        <v/>
      </c>
      <c r="ET46" s="76" t="str">
        <f aca="false">IF($I46&gt;0%,IF(AND(ET$16&gt;=$F46,ET$16&lt;$F46+($G46*$I46)),"➤",""),"")</f>
        <v/>
      </c>
      <c r="EU46" s="76" t="str">
        <f aca="false">IF($I46&gt;0%,IF(AND(EU$16&gt;=$F46,EU$16&lt;$F46+($G46*$I46)),"➤",""),"")</f>
        <v/>
      </c>
      <c r="EV46" s="76" t="str">
        <f aca="false">IF($I46&gt;0%,IF(AND(EV$16&gt;=$F46,EV$16&lt;$F46+($G46*$I46)),"➤",""),"")</f>
        <v/>
      </c>
      <c r="EW46" s="76" t="str">
        <f aca="false">IF($I46&gt;0%,IF(AND(EW$16&gt;=$F46,EW$16&lt;$F46+($G46*$I46)),"➤",""),"")</f>
        <v/>
      </c>
      <c r="EX46" s="76" t="str">
        <f aca="false">IF($I46&gt;0%,IF(AND(EX$16&gt;=$F46,EX$16&lt;$F46+($G46*$I46)),"➤",""),"")</f>
        <v/>
      </c>
      <c r="EY46" s="76" t="str">
        <f aca="false">IF($I46&gt;0%,IF(AND(EY$16&gt;=$F46,EY$16&lt;$F46+($G46*$I46)),"➤",""),"")</f>
        <v/>
      </c>
      <c r="EZ46" s="76" t="str">
        <f aca="false">IF($I46&gt;0%,IF(AND(EZ$16&gt;=$F46,EZ$16&lt;$F46+($G46*$I46)),"➤",""),"")</f>
        <v/>
      </c>
      <c r="FA46" s="76" t="str">
        <f aca="false">IF($I46&gt;0%,IF(AND(FA$16&gt;=$F46,FA$16&lt;$F46+($G46*$I46)),"➤",""),"")</f>
        <v/>
      </c>
      <c r="FB46" s="76" t="str">
        <f aca="false">IF($I46&gt;0%,IF(AND(FB$16&gt;=$F46,FB$16&lt;$F46+($G46*$I46)),"➤",""),"")</f>
        <v/>
      </c>
      <c r="FC46" s="76" t="str">
        <f aca="false">IF($I46&gt;0%,IF(AND(FC$16&gt;=$F46,FC$16&lt;$F46+($G46*$I46)),"➤",""),"")</f>
        <v/>
      </c>
      <c r="FD46" s="76" t="str">
        <f aca="false">IF($I46&gt;0%,IF(AND(FD$16&gt;=$F46,FD$16&lt;$F46+($G46*$I46)),"➤",""),"")</f>
        <v/>
      </c>
      <c r="FE46" s="76" t="str">
        <f aca="false">IF($I46&gt;0%,IF(AND(FE$16&gt;=$F46,FE$16&lt;$F46+($G46*$I46)),"➤",""),"")</f>
        <v/>
      </c>
      <c r="FF46" s="76" t="str">
        <f aca="false">IF($I46&gt;0%,IF(AND(FF$16&gt;=$F46,FF$16&lt;$F46+($G46*$I46)),"➤",""),"")</f>
        <v/>
      </c>
      <c r="FG46" s="76" t="str">
        <f aca="false">IF($I46&gt;0%,IF(AND(FG$16&gt;=$F46,FG$16&lt;$F46+($G46*$I46)),"➤",""),"")</f>
        <v/>
      </c>
      <c r="FH46" s="76" t="str">
        <f aca="false">IF($I46&gt;0%,IF(AND(FH$16&gt;=$F46,FH$16&lt;$F46+($G46*$I46)),"➤",""),"")</f>
        <v/>
      </c>
      <c r="FI46" s="76" t="str">
        <f aca="false">IF($I46&gt;0%,IF(AND(FI$16&gt;=$F46,FI$16&lt;$F46+($G46*$I46)),"➤",""),"")</f>
        <v/>
      </c>
      <c r="FJ46" s="76" t="str">
        <f aca="false">IF($I46&gt;0%,IF(AND(FJ$16&gt;=$F46,FJ$16&lt;$F46+($G46*$I46)),"➤",""),"")</f>
        <v/>
      </c>
      <c r="FK46" s="76" t="str">
        <f aca="false">IF($I46&gt;0%,IF(AND(FK$16&gt;=$F46,FK$16&lt;$F46+($G46*$I46)),"➤",""),"")</f>
        <v/>
      </c>
      <c r="FL46" s="76" t="str">
        <f aca="false">IF($I46&gt;0%,IF(AND(FL$16&gt;=$F46,FL$16&lt;$F46+($G46*$I46)),"➤",""),"")</f>
        <v/>
      </c>
      <c r="FM46" s="76" t="str">
        <f aca="false">IF($I46&gt;0%,IF(AND(FM$16&gt;=$F46,FM$16&lt;$F46+($G46*$I46)),"➤",""),"")</f>
        <v/>
      </c>
      <c r="FN46" s="76" t="str">
        <f aca="false">IF($I46&gt;0%,IF(AND(FN$16&gt;=$F46,FN$16&lt;$F46+($G46*$I46)),"➤",""),"")</f>
        <v/>
      </c>
      <c r="FO46" s="76" t="str">
        <f aca="false">IF($I46&gt;0%,IF(AND(FO$16&gt;=$F46,FO$16&lt;$F46+($G46*$I46)),"➤",""),"")</f>
        <v/>
      </c>
      <c r="FP46" s="76" t="str">
        <f aca="false">IF($I46&gt;0%,IF(AND(FP$16&gt;=$F46,FP$16&lt;$F46+($G46*$I46)),"➤",""),"")</f>
        <v/>
      </c>
      <c r="FQ46" s="76" t="str">
        <f aca="false">IF($I46&gt;0%,IF(AND(FQ$16&gt;=$F46,FQ$16&lt;$F46+($G46*$I46)),"➤",""),"")</f>
        <v/>
      </c>
      <c r="FR46" s="76" t="str">
        <f aca="false">IF($I46&gt;0%,IF(AND(FR$16&gt;=$F46,FR$16&lt;$F46+($G46*$I46)),"➤",""),"")</f>
        <v/>
      </c>
      <c r="FS46" s="76" t="str">
        <f aca="false">IF($I46&gt;0%,IF(AND(FS$16&gt;=$F46,FS$16&lt;$F46+($G46*$I46)),"➤",""),"")</f>
        <v/>
      </c>
      <c r="FT46" s="76" t="str">
        <f aca="false">IF($I46&gt;0%,IF(AND(FT$16&gt;=$F46,FT$16&lt;$F46+($G46*$I46)),"➤",""),"")</f>
        <v/>
      </c>
      <c r="FU46" s="76" t="str">
        <f aca="false">IF($I46&gt;0%,IF(AND(FU$16&gt;=$F46,FU$16&lt;$F46+($G46*$I46)),"➤",""),"")</f>
        <v/>
      </c>
      <c r="FV46" s="76" t="str">
        <f aca="false">IF($I46&gt;0%,IF(AND(FV$16&gt;=$F46,FV$16&lt;$F46+($G46*$I46)),"➤",""),"")</f>
        <v/>
      </c>
      <c r="FW46" s="76" t="str">
        <f aca="false">IF($I46&gt;0%,IF(AND(FW$16&gt;=$F46,FW$16&lt;$F46+($G46*$I46)),"➤",""),"")</f>
        <v/>
      </c>
      <c r="FX46" s="76" t="str">
        <f aca="false">IF($I46&gt;0%,IF(AND(FX$16&gt;=$F46,FX$16&lt;$F46+($G46*$I46)),"➤",""),"")</f>
        <v/>
      </c>
      <c r="FY46" s="76" t="str">
        <f aca="false">IF($I46&gt;0%,IF(AND(FY$16&gt;=$F46,FY$16&lt;$F46+($G46*$I46)),"➤",""),"")</f>
        <v/>
      </c>
      <c r="FZ46" s="76" t="str">
        <f aca="false">IF($I46&gt;0%,IF(AND(FZ$16&gt;=$F46,FZ$16&lt;$F46+($G46*$I46)),"➤",""),"")</f>
        <v/>
      </c>
      <c r="GA46" s="76" t="str">
        <f aca="false">IF($I46&gt;0%,IF(AND(GA$16&gt;=$F46,GA$16&lt;$F46+($G46*$I46)),"➤",""),"")</f>
        <v/>
      </c>
      <c r="GB46" s="76" t="str">
        <f aca="false">IF($I46&gt;0%,IF(AND(GB$16&gt;=$F46,GB$16&lt;$F46+($G46*$I46)),"➤",""),"")</f>
        <v/>
      </c>
      <c r="GC46" s="76" t="str">
        <f aca="false">IF($I46&gt;0%,IF(AND(GC$16&gt;=$F46,GC$16&lt;$F46+($G46*$I46)),"➤",""),"")</f>
        <v/>
      </c>
      <c r="GD46" s="76" t="str">
        <f aca="false">IF($I46&gt;0%,IF(AND(GD$16&gt;=$F46,GD$16&lt;$F46+($G46*$I46)),"➤",""),"")</f>
        <v/>
      </c>
      <c r="GE46" s="76" t="str">
        <f aca="false">IF($I46&gt;0%,IF(AND(GE$16&gt;=$F46,GE$16&lt;$F46+($G46*$I46)),"➤",""),"")</f>
        <v/>
      </c>
      <c r="GF46" s="76" t="str">
        <f aca="false">IF($I46&gt;0%,IF(AND(GF$16&gt;=$F46,GF$16&lt;$F46+($G46*$I46)),"➤",""),"")</f>
        <v/>
      </c>
      <c r="GG46" s="76" t="str">
        <f aca="false">IF($I46&gt;0%,IF(AND(GG$16&gt;=$F46,GG$16&lt;$F46+($G46*$I46)),"➤",""),"")</f>
        <v/>
      </c>
      <c r="GH46" s="76" t="str">
        <f aca="false">IF($I46&gt;0%,IF(AND(GH$16&gt;=$F46,GH$16&lt;$F46+($G46*$I46)),"➤",""),"")</f>
        <v/>
      </c>
      <c r="GI46" s="76" t="str">
        <f aca="false">IF($I46&gt;0%,IF(AND(GI$16&gt;=$F46,GI$16&lt;$F46+($G46*$I46)),"➤",""),"")</f>
        <v/>
      </c>
      <c r="GJ46" s="76" t="str">
        <f aca="false">IF($I46&gt;0%,IF(AND(GJ$16&gt;=$F46,GJ$16&lt;$F46+($G46*$I46)),"➤",""),"")</f>
        <v/>
      </c>
      <c r="GK46" s="76" t="str">
        <f aca="false">IF($I46&gt;0%,IF(AND(GK$16&gt;=$F46,GK$16&lt;$F46+($G46*$I46)),"➤",""),"")</f>
        <v/>
      </c>
      <c r="GL46" s="76" t="str">
        <f aca="false">IF($I46&gt;0%,IF(AND(GL$16&gt;=$F46,GL$16&lt;$F46+($G46*$I46)),"➤",""),"")</f>
        <v/>
      </c>
      <c r="GM46" s="76" t="str">
        <f aca="false">IF($I46&gt;0%,IF(AND(GM$16&gt;=$F46,GM$16&lt;$F46+($G46*$I46)),"➤",""),"")</f>
        <v/>
      </c>
      <c r="GN46" s="76" t="str">
        <f aca="false">IF($I46&gt;0%,IF(AND(GN$16&gt;=$F46,GN$16&lt;$F46+($G46*$I46)),"➤",""),"")</f>
        <v/>
      </c>
      <c r="GO46" s="76" t="str">
        <f aca="false">IF($I46&gt;0%,IF(AND(GO$16&gt;=$F46,GO$16&lt;$F46+($G46*$I46)),"➤",""),"")</f>
        <v/>
      </c>
      <c r="GP46" s="76" t="str">
        <f aca="false">IF($I46&gt;0%,IF(AND(GP$16&gt;=$F46,GP$16&lt;$F46+($G46*$I46)),"➤",""),"")</f>
        <v/>
      </c>
      <c r="GQ46" s="76" t="str">
        <f aca="false">IF($I46&gt;0%,IF(AND(GQ$16&gt;=$F46,GQ$16&lt;$F46+($G46*$I46)),"➤",""),"")</f>
        <v/>
      </c>
      <c r="GR46" s="76" t="str">
        <f aca="false">IF($I46&gt;0%,IF(AND(GR$16&gt;=$F46,GR$16&lt;$F46+($G46*$I46)),"➤",""),"")</f>
        <v/>
      </c>
      <c r="GS46" s="76" t="str">
        <f aca="false">IF($I46&gt;0%,IF(AND(GS$16&gt;=$F46,GS$16&lt;$F46+($G46*$I46)),"➤",""),"")</f>
        <v/>
      </c>
      <c r="GT46" s="76" t="str">
        <f aca="false">IF($I46&gt;0%,IF(AND(GT$16&gt;=$F46,GT$16&lt;$F46+($G46*$I46)),"➤",""),"")</f>
        <v/>
      </c>
      <c r="GU46" s="76" t="str">
        <f aca="false">IF($I46&gt;0%,IF(AND(GU$16&gt;=$F46,GU$16&lt;$F46+($G46*$I46)),"➤",""),"")</f>
        <v/>
      </c>
      <c r="GV46" s="76" t="str">
        <f aca="false">IF($I46&gt;0%,IF(AND(GV$16&gt;=$F46,GV$16&lt;$F46+($G46*$I46)),"➤",""),"")</f>
        <v/>
      </c>
      <c r="GW46" s="76" t="str">
        <f aca="false">IF($I46&gt;0%,IF(AND(GW$16&gt;=$F46,GW$16&lt;$F46+($G46*$I46)),"➤",""),"")</f>
        <v/>
      </c>
      <c r="GX46" s="76" t="str">
        <f aca="false">IF($I46&gt;0%,IF(AND(GX$16&gt;=$F46,GX$16&lt;$F46+($G46*$I46)),"➤",""),"")</f>
        <v/>
      </c>
      <c r="GY46" s="76" t="str">
        <f aca="false">IF($I46&gt;0%,IF(AND(GY$16&gt;=$F46,GY$16&lt;$F46+($G46*$I46)),"➤",""),"")</f>
        <v/>
      </c>
      <c r="GZ46" s="76" t="str">
        <f aca="false">IF($I46&gt;0%,IF(AND(GZ$16&gt;=$F46,GZ$16&lt;$F46+($G46*$I46)),"➤",""),"")</f>
        <v/>
      </c>
      <c r="HA46" s="76" t="str">
        <f aca="false">IF($I46&gt;0%,IF(AND(HA$16&gt;=$F46,HA$16&lt;$F46+($G46*$I46)),"➤",""),"")</f>
        <v/>
      </c>
      <c r="HB46" s="76" t="str">
        <f aca="false">IF($I46&gt;0%,IF(AND(HB$16&gt;=$F46,HB$16&lt;$F46+($G46*$I46)),"➤",""),"")</f>
        <v/>
      </c>
      <c r="HC46" s="76" t="str">
        <f aca="false">IF($I46&gt;0%,IF(AND(HC$16&gt;=$F46,HC$16&lt;$F46+($G46*$I46)),"➤",""),"")</f>
        <v/>
      </c>
      <c r="HD46" s="76" t="str">
        <f aca="false">IF($I46&gt;0%,IF(AND(HD$16&gt;=$F46,HD$16&lt;$F46+($G46*$I46)),"➤",""),"")</f>
        <v/>
      </c>
      <c r="HE46" s="76" t="str">
        <f aca="false">IF($I46&gt;0%,IF(AND(HE$16&gt;=$F46,HE$16&lt;$F46+($G46*$I46)),"➤",""),"")</f>
        <v/>
      </c>
      <c r="HF46" s="76" t="str">
        <f aca="false">IF($I46&gt;0%,IF(AND(HF$16&gt;=$F46,HF$16&lt;$F46+($G46*$I46)),"➤",""),"")</f>
        <v/>
      </c>
      <c r="HG46" s="76" t="str">
        <f aca="false">IF($I46&gt;0%,IF(AND(HG$16&gt;=$F46,HG$16&lt;$F46+($G46*$I46)),"➤",""),"")</f>
        <v/>
      </c>
      <c r="HH46" s="76" t="str">
        <f aca="false">IF($I46&gt;0%,IF(AND(HH$16&gt;=$F46,HH$16&lt;$F46+($G46*$I46)),"➤",""),"")</f>
        <v/>
      </c>
      <c r="HI46" s="76" t="str">
        <f aca="false">IF($I46&gt;0%,IF(AND(HI$16&gt;=$F46,HI$16&lt;$F46+($G46*$I46)),"➤",""),"")</f>
        <v/>
      </c>
      <c r="HJ46" s="76" t="str">
        <f aca="false">IF($I46&gt;0%,IF(AND(HJ$16&gt;=$F46,HJ$16&lt;$F46+($G46*$I46)),"➤",""),"")</f>
        <v/>
      </c>
      <c r="HK46" s="76" t="str">
        <f aca="false">IF($I46&gt;0%,IF(AND(HK$16&gt;=$F46,HK$16&lt;$F46+($G46*$I46)),"➤",""),"")</f>
        <v/>
      </c>
      <c r="HL46" s="76" t="str">
        <f aca="false">IF($I46&gt;0%,IF(AND(HL$16&gt;=$F46,HL$16&lt;$F46+($G46*$I46)),"➤",""),"")</f>
        <v/>
      </c>
      <c r="HM46" s="76" t="str">
        <f aca="false">IF($I46&gt;0%,IF(AND(HM$16&gt;=$F46,HM$16&lt;$F46+($G46*$I46)),"➤",""),"")</f>
        <v/>
      </c>
      <c r="HN46" s="76" t="str">
        <f aca="false">IF($I46&gt;0%,IF(AND(HN$16&gt;=$F46,HN$16&lt;$F46+($G46*$I46)),"➤",""),"")</f>
        <v/>
      </c>
      <c r="HO46" s="76" t="str">
        <f aca="false">IF($I46&gt;0%,IF(AND(HO$16&gt;=$F46,HO$16&lt;$F46+($G46*$I46)),"➤",""),"")</f>
        <v/>
      </c>
      <c r="HP46" s="76" t="str">
        <f aca="false">IF($I46&gt;0%,IF(AND(HP$16&gt;=$F46,HP$16&lt;$F46+($G46*$I46)),"➤",""),"")</f>
        <v/>
      </c>
      <c r="HQ46" s="76" t="str">
        <f aca="false">IF($I46&gt;0%,IF(AND(HQ$16&gt;=$F46,HQ$16&lt;$F46+($G46*$I46)),"➤",""),"")</f>
        <v/>
      </c>
      <c r="HR46" s="76" t="str">
        <f aca="false">IF($I46&gt;0%,IF(AND(HR$16&gt;=$F46,HR$16&lt;$F46+($G46*$I46)),"➤",""),"")</f>
        <v/>
      </c>
      <c r="HS46" s="76" t="str">
        <f aca="false">IF($I46&gt;0%,IF(AND(HS$16&gt;=$F46,HS$16&lt;$F46+($G46*$I46)),"➤",""),"")</f>
        <v/>
      </c>
      <c r="HT46" s="76" t="str">
        <f aca="false">IF($I46&gt;0%,IF(AND(HT$16&gt;=$F46,HT$16&lt;$F46+($G46*$I46)),"➤",""),"")</f>
        <v/>
      </c>
      <c r="HU46" s="76" t="str">
        <f aca="false">IF($I46&gt;0%,IF(AND(HU$16&gt;=$F46,HU$16&lt;$F46+($G46*$I46)),"➤",""),"")</f>
        <v/>
      </c>
      <c r="HV46" s="76" t="str">
        <f aca="false">IF($I46&gt;0%,IF(AND(HV$16&gt;=$F46,HV$16&lt;$F46+($G46*$I46)),"➤",""),"")</f>
        <v/>
      </c>
      <c r="HW46" s="76" t="str">
        <f aca="false">IF($I46&gt;0%,IF(AND(HW$16&gt;=$F46,HW$16&lt;$F46+($G46*$I46)),"➤",""),"")</f>
        <v/>
      </c>
      <c r="HX46" s="76" t="str">
        <f aca="false">IF($I46&gt;0%,IF(AND(HX$16&gt;=$F46,HX$16&lt;$F46+($G46*$I46)),"➤",""),"")</f>
        <v/>
      </c>
      <c r="HY46" s="76" t="str">
        <f aca="false">IF($I46&gt;0%,IF(AND(HY$16&gt;=$F46,HY$16&lt;$F46+($G46*$I46)),"➤",""),"")</f>
        <v/>
      </c>
      <c r="HZ46" s="76" t="str">
        <f aca="false">IF($I46&gt;0%,IF(AND(HZ$16&gt;=$F46,HZ$16&lt;$F46+($G46*$I46)),"➤",""),"")</f>
        <v/>
      </c>
      <c r="IA46" s="76" t="str">
        <f aca="false">IF($I46&gt;0%,IF(AND(IA$16&gt;=$F46,IA$16&lt;$F46+($G46*$I46)),"➤",""),"")</f>
        <v/>
      </c>
      <c r="IB46" s="76" t="str">
        <f aca="false">IF($I46&gt;0%,IF(AND(IB$16&gt;=$F46,IB$16&lt;$F46+($G46*$I46)),"➤",""),"")</f>
        <v/>
      </c>
      <c r="IC46" s="76" t="str">
        <f aca="false">IF($I46&gt;0%,IF(AND(IC$16&gt;=$F46,IC$16&lt;$F46+($G46*$I46)),"➤",""),"")</f>
        <v/>
      </c>
      <c r="ID46" s="76" t="str">
        <f aca="false">IF($I46&gt;0%,IF(AND(ID$16&gt;=$F46,ID$16&lt;$F46+($G46*$I46)),"➤",""),"")</f>
        <v/>
      </c>
      <c r="IE46" s="76" t="str">
        <f aca="false">IF($I46&gt;0%,IF(AND(IE$16&gt;=$F46,IE$16&lt;$F46+($G46*$I46)),"➤",""),"")</f>
        <v/>
      </c>
      <c r="IF46" s="76" t="str">
        <f aca="false">IF($I46&gt;0%,IF(AND(IF$16&gt;=$F46,IF$16&lt;$F46+($G46*$I46)),"➤",""),"")</f>
        <v/>
      </c>
      <c r="IG46" s="76" t="str">
        <f aca="false">IF($I46&gt;0%,IF(AND(IG$16&gt;=$F46,IG$16&lt;$F46+($G46*$I46)),"➤",""),"")</f>
        <v/>
      </c>
      <c r="IH46" s="76" t="str">
        <f aca="false">IF($I46&gt;0%,IF(AND(IH$16&gt;=$F46,IH$16&lt;$F46+($G46*$I46)),"➤",""),"")</f>
        <v/>
      </c>
      <c r="II46" s="76" t="str">
        <f aca="false">IF($I46&gt;0%,IF(AND(II$16&gt;=$F46,II$16&lt;$F46+($G46*$I46)),"➤",""),"")</f>
        <v/>
      </c>
      <c r="IJ46" s="76" t="str">
        <f aca="false">IF($I46&gt;0%,IF(AND(IJ$16&gt;=$F46,IJ$16&lt;$F46+($G46*$I46)),"➤",""),"")</f>
        <v/>
      </c>
      <c r="IK46" s="76" t="str">
        <f aca="false">IF($I46&gt;0%,IF(AND(IK$16&gt;=$F46,IK$16&lt;$F46+($G46*$I46)),"➤",""),"")</f>
        <v/>
      </c>
      <c r="IL46" s="76" t="str">
        <f aca="false">IF($I46&gt;0%,IF(AND(IL$16&gt;=$F46,IL$16&lt;$F46+($G46*$I46)),"➤",""),"")</f>
        <v/>
      </c>
      <c r="IM46" s="76" t="str">
        <f aca="false">IF($I46&gt;0%,IF(AND(IM$16&gt;=$F46,IM$16&lt;$F46+($G46*$I46)),"➤",""),"")</f>
        <v/>
      </c>
      <c r="IN46" s="76" t="str">
        <f aca="false">IF($I46&gt;0%,IF(AND(IN$16&gt;=$F46,IN$16&lt;$F46+($G46*$I46)),"➤",""),"")</f>
        <v/>
      </c>
      <c r="IO46" s="76" t="str">
        <f aca="false">IF($I46&gt;0%,IF(AND(IO$16&gt;=$F46,IO$16&lt;$F46+($G46*$I46)),"➤",""),"")</f>
        <v/>
      </c>
      <c r="IP46" s="76" t="str">
        <f aca="false">IF($I46&gt;0%,IF(AND(IP$16&gt;=$F46,IP$16&lt;$F46+($G46*$I46)),"➤",""),"")</f>
        <v/>
      </c>
      <c r="IQ46" s="76" t="str">
        <f aca="false">IF($I46&gt;0%,IF(AND(IQ$16&gt;=$F46,IQ$16&lt;$F46+($G46*$I46)),"➤",""),"")</f>
        <v/>
      </c>
      <c r="IR46" s="76" t="str">
        <f aca="false">IF($I46&gt;0%,IF(AND(IR$16&gt;=$F46,IR$16&lt;$F46+($G46*$I46)),"➤",""),"")</f>
        <v/>
      </c>
      <c r="IS46" s="76" t="str">
        <f aca="false">IF($I46&gt;0%,IF(AND(IS$16&gt;=$F46,IS$16&lt;$F46+($G46*$I46)),"➤",""),"")</f>
        <v/>
      </c>
      <c r="IT46" s="76" t="str">
        <f aca="false">IF($I46&gt;0%,IF(AND(IT$16&gt;=$F46,IT$16&lt;$F46+($G46*$I46)),"➤",""),"")</f>
        <v/>
      </c>
      <c r="IU46" s="76" t="str">
        <f aca="false">IF($I46&gt;0%,IF(AND(IU$16&gt;=$F46,IU$16&lt;$F46+($G46*$I46)),"➤",""),"")</f>
        <v/>
      </c>
      <c r="IV46" s="76" t="str">
        <f aca="false">IF($I46&gt;0%,IF(AND(IV$16&gt;=$F46,IV$16&lt;$F46+($G46*$I46)),"➤",""),"")</f>
        <v/>
      </c>
      <c r="IW46" s="76" t="str">
        <f aca="false">IF($I46&gt;0%,IF(AND(IW$16&gt;=$F46,IW$16&lt;$F46+($G46*$I46)),"➤",""),"")</f>
        <v/>
      </c>
      <c r="IX46" s="76" t="str">
        <f aca="false">IF($I46&gt;0%,IF(AND(IX$16&gt;=$F46,IX$16&lt;$F46+($G46*$I46)),"➤",""),"")</f>
        <v/>
      </c>
      <c r="IY46" s="76" t="str">
        <f aca="false">IF($I46&gt;0%,IF(AND(IY$16&gt;=$F46,IY$16&lt;$F46+($G46*$I46)),"➤",""),"")</f>
        <v/>
      </c>
      <c r="IZ46" s="76" t="str">
        <f aca="false">IF($I46&gt;0%,IF(AND(IZ$16&gt;=$F46,IZ$16&lt;$F46+($G46*$I46)),"➤",""),"")</f>
        <v/>
      </c>
      <c r="JA46" s="76" t="str">
        <f aca="false">IF($I46&gt;0%,IF(AND(JA$16&gt;=$F46,JA$16&lt;$F46+($G46*$I46)),"➤",""),"")</f>
        <v/>
      </c>
      <c r="JB46" s="76" t="str">
        <f aca="false">IF($I46&gt;0%,IF(AND(JB$16&gt;=$F46,JB$16&lt;$F46+($G46*$I46)),"➤",""),"")</f>
        <v/>
      </c>
      <c r="JC46" s="76" t="str">
        <f aca="false">IF($I46&gt;0%,IF(AND(JC$16&gt;=$F46,JC$16&lt;$F46+($G46*$I46)),"➤",""),"")</f>
        <v/>
      </c>
      <c r="JD46" s="76" t="str">
        <f aca="false">IF($I46&gt;0%,IF(AND(JD$16&gt;=$F46,JD$16&lt;$F46+($G46*$I46)),"➤",""),"")</f>
        <v/>
      </c>
      <c r="JE46" s="76" t="str">
        <f aca="false">IF($I46&gt;0%,IF(AND(JE$16&gt;=$F46,JE$16&lt;$F46+($G46*$I46)),"➤",""),"")</f>
        <v/>
      </c>
      <c r="JF46" s="76" t="str">
        <f aca="false">IF($I46&gt;0%,IF(AND(JF$16&gt;=$F46,JF$16&lt;$F46+($G46*$I46)),"➤",""),"")</f>
        <v/>
      </c>
      <c r="JG46" s="76" t="str">
        <f aca="false">IF($I46&gt;0%,IF(AND(JG$16&gt;=$F46,JG$16&lt;$F46+($G46*$I46)),"➤",""),"")</f>
        <v/>
      </c>
      <c r="JH46" s="76" t="str">
        <f aca="false">IF($I46&gt;0%,IF(AND(JH$16&gt;=$F46,JH$16&lt;$F46+($G46*$I46)),"➤",""),"")</f>
        <v/>
      </c>
      <c r="JI46" s="76" t="str">
        <f aca="false">IF($I46&gt;0%,IF(AND(JI$16&gt;=$F46,JI$16&lt;$F46+($G46*$I46)),"➤",""),"")</f>
        <v/>
      </c>
      <c r="JJ46" s="76" t="str">
        <f aca="false">IF($I46&gt;0%,IF(AND(JJ$16&gt;=$F46,JJ$16&lt;$F46+($G46*$I46)),"➤",""),"")</f>
        <v/>
      </c>
      <c r="JK46" s="76" t="str">
        <f aca="false">IF($I46&gt;0%,IF(AND(JK$16&gt;=$F46,JK$16&lt;$F46+($G46*$I46)),"➤",""),"")</f>
        <v/>
      </c>
      <c r="JL46" s="76" t="str">
        <f aca="false">IF($I46&gt;0%,IF(AND(JL$16&gt;=$F46,JL$16&lt;$F46+($G46*$I46)),"➤",""),"")</f>
        <v/>
      </c>
      <c r="JM46" s="76" t="str">
        <f aca="false">IF($I46&gt;0%,IF(AND(JM$16&gt;=$F46,JM$16&lt;$F46+($G46*$I46)),"➤",""),"")</f>
        <v/>
      </c>
      <c r="JN46" s="76" t="str">
        <f aca="false">IF($I46&gt;0%,IF(AND(JN$16&gt;=$F46,JN$16&lt;$F46+($G46*$I46)),"➤",""),"")</f>
        <v/>
      </c>
      <c r="JO46" s="76" t="str">
        <f aca="false">IF($I46&gt;0%,IF(AND(JO$16&gt;=$F46,JO$16&lt;$F46+($G46*$I46)),"➤",""),"")</f>
        <v/>
      </c>
      <c r="JP46" s="76" t="str">
        <f aca="false">IF($I46&gt;0%,IF(AND(JP$16&gt;=$F46,JP$16&lt;$F46+($G46*$I46)),"➤",""),"")</f>
        <v/>
      </c>
      <c r="JQ46" s="76" t="str">
        <f aca="false">IF($I46&gt;0%,IF(AND(JQ$16&gt;=$F46,JQ$16&lt;$F46+($G46*$I46)),"➤",""),"")</f>
        <v/>
      </c>
      <c r="JR46" s="76" t="str">
        <f aca="false">IF($I46&gt;0%,IF(AND(JR$16&gt;=$F46,JR$16&lt;$F46+($G46*$I46)),"➤",""),"")</f>
        <v/>
      </c>
      <c r="JS46" s="76" t="str">
        <f aca="false">IF($I46&gt;0%,IF(AND(JS$16&gt;=$F46,JS$16&lt;$F46+($G46*$I46)),"➤",""),"")</f>
        <v/>
      </c>
      <c r="JT46" s="76" t="str">
        <f aca="false">IF($I46&gt;0%,IF(AND(JT$16&gt;=$F46,JT$16&lt;$F46+($G46*$I46)),"➤",""),"")</f>
        <v/>
      </c>
      <c r="JU46" s="76" t="str">
        <f aca="false">IF($I46&gt;0%,IF(AND(JU$16&gt;=$F46,JU$16&lt;$F46+($G46*$I46)),"➤",""),"")</f>
        <v/>
      </c>
      <c r="JV46" s="76" t="str">
        <f aca="false">IF($I46&gt;0%,IF(AND(JV$16&gt;=$F46,JV$16&lt;$F46+($G46*$I46)),"➤",""),"")</f>
        <v/>
      </c>
      <c r="JW46" s="76" t="str">
        <f aca="false">IF($I46&gt;0%,IF(AND(JW$16&gt;=$F46,JW$16&lt;$F46+($G46*$I46)),"➤",""),"")</f>
        <v/>
      </c>
      <c r="JX46" s="76" t="str">
        <f aca="false">IF($I46&gt;0%,IF(AND(JX$16&gt;=$F46,JX$16&lt;$F46+($G46*$I46)),"➤",""),"")</f>
        <v/>
      </c>
      <c r="JY46" s="76" t="str">
        <f aca="false">IF($I46&gt;0%,IF(AND(JY$16&gt;=$F46,JY$16&lt;$F46+($G46*$I46)),"➤",""),"")</f>
        <v/>
      </c>
      <c r="JZ46" s="76" t="str">
        <f aca="false">IF($I46&gt;0%,IF(AND(JZ$16&gt;=$F46,JZ$16&lt;$F46+($G46*$I46)),"➤",""),"")</f>
        <v/>
      </c>
      <c r="KA46" s="76" t="str">
        <f aca="false">IF($I46&gt;0%,IF(AND(KA$16&gt;=$F46,KA$16&lt;$F46+($G46*$I46)),"➤",""),"")</f>
        <v/>
      </c>
      <c r="KB46" s="76" t="str">
        <f aca="false">IF($I46&gt;0%,IF(AND(KB$16&gt;=$F46,KB$16&lt;$F46+($G46*$I46)),"➤",""),"")</f>
        <v/>
      </c>
      <c r="KC46" s="76" t="str">
        <f aca="false">IF($I46&gt;0%,IF(AND(KC$16&gt;=$F46,KC$16&lt;$F46+($G46*$I46)),"➤",""),"")</f>
        <v/>
      </c>
      <c r="KD46" s="76" t="str">
        <f aca="false">IF($I46&gt;0%,IF(AND(KD$16&gt;=$F46,KD$16&lt;$F46+($G46*$I46)),"➤",""),"")</f>
        <v/>
      </c>
      <c r="KE46" s="76" t="str">
        <f aca="false">IF($I46&gt;0%,IF(AND(KE$16&gt;=$F46,KE$16&lt;$F46+($G46*$I46)),"➤",""),"")</f>
        <v/>
      </c>
      <c r="KF46" s="76" t="str">
        <f aca="false">IF($I46&gt;0%,IF(AND(KF$16&gt;=$F46,KF$16&lt;$F46+($G46*$I46)),"➤",""),"")</f>
        <v/>
      </c>
      <c r="KG46" s="76" t="str">
        <f aca="false">IF($I46&gt;0%,IF(AND(KG$16&gt;=$F46,KG$16&lt;$F46+($G46*$I46)),"➤",""),"")</f>
        <v/>
      </c>
      <c r="KH46" s="76" t="str">
        <f aca="false">IF($I46&gt;0%,IF(AND(KH$16&gt;=$F46,KH$16&lt;$F46+($G46*$I46)),"➤",""),"")</f>
        <v/>
      </c>
      <c r="KI46" s="76" t="str">
        <f aca="false">IF($I46&gt;0%,IF(AND(KI$16&gt;=$F46,KI$16&lt;$F46+($G46*$I46)),"➤",""),"")</f>
        <v/>
      </c>
      <c r="KJ46" s="76" t="str">
        <f aca="false">IF($I46&gt;0%,IF(AND(KJ$16&gt;=$F46,KJ$16&lt;$F46+($G46*$I46)),"➤",""),"")</f>
        <v/>
      </c>
      <c r="KK46" s="76" t="str">
        <f aca="false">IF($I46&gt;0%,IF(AND(KK$16&gt;=$F46,KK$16&lt;$F46+($G46*$I46)),"➤",""),"")</f>
        <v/>
      </c>
      <c r="KL46" s="76" t="str">
        <f aca="false">IF($I46&gt;0%,IF(AND(KL$16&gt;=$F46,KL$16&lt;$F46+($G46*$I46)),"➤",""),"")</f>
        <v/>
      </c>
      <c r="KM46" s="76" t="str">
        <f aca="false">IF($I46&gt;0%,IF(AND(KM$16&gt;=$F46,KM$16&lt;$F46+($G46*$I46)),"➤",""),"")</f>
        <v/>
      </c>
      <c r="KN46" s="76" t="str">
        <f aca="false">IF($I46&gt;0%,IF(AND(KN$16&gt;=$F46,KN$16&lt;$F46+($G46*$I46)),"➤",""),"")</f>
        <v/>
      </c>
      <c r="KO46" s="76" t="str">
        <f aca="false">IF($I46&gt;0%,IF(AND(KO$16&gt;=$F46,KO$16&lt;$F46+($G46*$I46)),"➤",""),"")</f>
        <v/>
      </c>
      <c r="KP46" s="76" t="str">
        <f aca="false">IF($I46&gt;0%,IF(AND(KP$16&gt;=$F46,KP$16&lt;$F46+($G46*$I46)),"➤",""),"")</f>
        <v/>
      </c>
      <c r="KQ46" s="76" t="str">
        <f aca="false">IF($I46&gt;0%,IF(AND(KQ$16&gt;=$F46,KQ$16&lt;$F46+($G46*$I46)),"➤",""),"")</f>
        <v/>
      </c>
      <c r="KR46" s="76" t="str">
        <f aca="false">IF($I46&gt;0%,IF(AND(KR$16&gt;=$F46,KR$16&lt;$F46+($G46*$I46)),"➤",""),"")</f>
        <v/>
      </c>
      <c r="KS46" s="76" t="str">
        <f aca="false">IF($I46&gt;0%,IF(AND(KS$16&gt;=$F46,KS$16&lt;$F46+($G46*$I46)),"➤",""),"")</f>
        <v/>
      </c>
      <c r="KT46" s="76" t="str">
        <f aca="false">IF($I46&gt;0%,IF(AND(KT$16&gt;=$F46,KT$16&lt;$F46+($G46*$I46)),"➤",""),"")</f>
        <v/>
      </c>
      <c r="KU46" s="76" t="str">
        <f aca="false">IF($I46&gt;0%,IF(AND(KU$16&gt;=$F46,KU$16&lt;$F46+($G46*$I46)),"➤",""),"")</f>
        <v/>
      </c>
      <c r="KV46" s="76" t="str">
        <f aca="false">IF($I46&gt;0%,IF(AND(KV$16&gt;=$F46,KV$16&lt;$F46+($G46*$I46)),"➤",""),"")</f>
        <v/>
      </c>
      <c r="KW46" s="76" t="str">
        <f aca="false">IF($I46&gt;0%,IF(AND(KW$16&gt;=$F46,KW$16&lt;$F46+($G46*$I46)),"➤",""),"")</f>
        <v/>
      </c>
      <c r="KX46" s="76" t="str">
        <f aca="false">IF($I46&gt;0%,IF(AND(KX$16&gt;=$F46,KX$16&lt;$F46+($G46*$I46)),"➤",""),"")</f>
        <v/>
      </c>
      <c r="KY46" s="76" t="str">
        <f aca="false">IF($I46&gt;0%,IF(AND(KY$16&gt;=$F46,KY$16&lt;$F46+($G46*$I46)),"➤",""),"")</f>
        <v/>
      </c>
      <c r="KZ46" s="76" t="str">
        <f aca="false">IF($I46&gt;0%,IF(AND(KZ$16&gt;=$F46,KZ$16&lt;$F46+($G46*$I46)),"➤",""),"")</f>
        <v/>
      </c>
      <c r="LA46" s="76" t="str">
        <f aca="false">IF($I46&gt;0%,IF(AND(LA$16&gt;=$F46,LA$16&lt;$F46+($G46*$I46)),"➤",""),"")</f>
        <v/>
      </c>
      <c r="LB46" s="76" t="str">
        <f aca="false">IF($I46&gt;0%,IF(AND(LB$16&gt;=$F46,LB$16&lt;$F46+($G46*$I46)),"➤",""),"")</f>
        <v/>
      </c>
      <c r="LC46" s="76" t="str">
        <f aca="false">IF($I46&gt;0%,IF(AND(LC$16&gt;=$F46,LC$16&lt;$F46+($G46*$I46)),"➤",""),"")</f>
        <v/>
      </c>
      <c r="LD46" s="76" t="str">
        <f aca="false">IF($I46&gt;0%,IF(AND(LD$16&gt;=$F46,LD$16&lt;$F46+($G46*$I46)),"➤",""),"")</f>
        <v/>
      </c>
      <c r="LE46" s="76" t="str">
        <f aca="false">IF($I46&gt;0%,IF(AND(LE$16&gt;=$F46,LE$16&lt;$F46+($G46*$I46)),"➤",""),"")</f>
        <v/>
      </c>
      <c r="LF46" s="76" t="str">
        <f aca="false">IF($I46&gt;0%,IF(AND(LF$16&gt;=$F46,LF$16&lt;$F46+($G46*$I46)),"➤",""),"")</f>
        <v/>
      </c>
      <c r="LG46" s="76" t="str">
        <f aca="false">IF($I46&gt;0%,IF(AND(LG$16&gt;=$F46,LG$16&lt;$F46+($G46*$I46)),"➤",""),"")</f>
        <v/>
      </c>
      <c r="LH46" s="76" t="str">
        <f aca="false">IF($I46&gt;0%,IF(AND(LH$16&gt;=$F46,LH$16&lt;$F46+($G46*$I46)),"➤",""),"")</f>
        <v/>
      </c>
      <c r="LI46" s="76" t="str">
        <f aca="false">IF($I46&gt;0%,IF(AND(LI$16&gt;=$F46,LI$16&lt;$F46+($G46*$I46)),"➤",""),"")</f>
        <v/>
      </c>
      <c r="LJ46" s="76" t="str">
        <f aca="false">IF($I46&gt;0%,IF(AND(LJ$16&gt;=$F46,LJ$16&lt;$F46+($G46*$I46)),"➤",""),"")</f>
        <v/>
      </c>
      <c r="LK46" s="76" t="str">
        <f aca="false">IF($I46&gt;0%,IF(AND(LK$16&gt;=$F46,LK$16&lt;$F46+($G46*$I46)),"➤",""),"")</f>
        <v/>
      </c>
      <c r="LL46" s="76" t="str">
        <f aca="false">IF($I46&gt;0%,IF(AND(LL$16&gt;=$F46,LL$16&lt;$F46+($G46*$I46)),"➤",""),"")</f>
        <v/>
      </c>
      <c r="LM46" s="76" t="str">
        <f aca="false">IF($I46&gt;0%,IF(AND(LM$16&gt;=$F46,LM$16&lt;$F46+($G46*$I46)),"➤",""),"")</f>
        <v/>
      </c>
      <c r="LN46" s="76" t="str">
        <f aca="false">IF($I46&gt;0%,IF(AND(LN$16&gt;=$F46,LN$16&lt;$F46+($G46*$I46)),"➤",""),"")</f>
        <v/>
      </c>
      <c r="LO46" s="76" t="str">
        <f aca="false">IF($I46&gt;0%,IF(AND(LO$16&gt;=$F46,LO$16&lt;$F46+($G46*$I46)),"➤",""),"")</f>
        <v/>
      </c>
      <c r="LP46" s="76" t="str">
        <f aca="false">IF($I46&gt;0%,IF(AND(LP$16&gt;=$F46,LP$16&lt;$F46+($G46*$I46)),"➤",""),"")</f>
        <v/>
      </c>
      <c r="LQ46" s="76" t="str">
        <f aca="false">IF($I46&gt;0%,IF(AND(LQ$16&gt;=$F46,LQ$16&lt;$F46+($G46*$I46)),"➤",""),"")</f>
        <v/>
      </c>
      <c r="LR46" s="76" t="str">
        <f aca="false">IF($I46&gt;0%,IF(AND(LR$16&gt;=$F46,LR$16&lt;$F46+($G46*$I46)),"➤",""),"")</f>
        <v/>
      </c>
      <c r="LS46" s="76" t="str">
        <f aca="false">IF($I46&gt;0%,IF(AND(LS$16&gt;=$F46,LS$16&lt;$F46+($G46*$I46)),"➤",""),"")</f>
        <v/>
      </c>
      <c r="LT46" s="76" t="str">
        <f aca="false">IF($I46&gt;0%,IF(AND(LT$16&gt;=$F46,LT$16&lt;$F46+($G46*$I46)),"➤",""),"")</f>
        <v/>
      </c>
      <c r="LU46" s="76" t="str">
        <f aca="false">IF($I46&gt;0%,IF(AND(LU$16&gt;=$F46,LU$16&lt;$F46+($G46*$I46)),"➤",""),"")</f>
        <v/>
      </c>
      <c r="LV46" s="76" t="str">
        <f aca="false">IF($I46&gt;0%,IF(AND(LV$16&gt;=$F46,LV$16&lt;$F46+($G46*$I46)),"➤",""),"")</f>
        <v/>
      </c>
      <c r="LW46" s="76" t="str">
        <f aca="false">IF($I46&gt;0%,IF(AND(LW$16&gt;=$F46,LW$16&lt;$F46+($G46*$I46)),"➤",""),"")</f>
        <v/>
      </c>
      <c r="LX46" s="76" t="str">
        <f aca="false">IF($I46&gt;0%,IF(AND(LX$16&gt;=$F46,LX$16&lt;$F46+($G46*$I46)),"➤",""),"")</f>
        <v/>
      </c>
      <c r="LY46" s="76" t="str">
        <f aca="false">IF($I46&gt;0%,IF(AND(LY$16&gt;=$F46,LY$16&lt;$F46+($G46*$I46)),"➤",""),"")</f>
        <v/>
      </c>
      <c r="LZ46" s="76" t="str">
        <f aca="false">IF($I46&gt;0%,IF(AND(LZ$16&gt;=$F46,LZ$16&lt;$F46+($G46*$I46)),"➤",""),"")</f>
        <v/>
      </c>
      <c r="MA46" s="76" t="str">
        <f aca="false">IF($I46&gt;0%,IF(AND(MA$16&gt;=$F46,MA$16&lt;$F46+($G46*$I46)),"➤",""),"")</f>
        <v/>
      </c>
      <c r="MB46" s="76" t="str">
        <f aca="false">IF($I46&gt;0%,IF(AND(MB$16&gt;=$F46,MB$16&lt;$F46+($G46*$I46)),"➤",""),"")</f>
        <v/>
      </c>
      <c r="MC46" s="76" t="str">
        <f aca="false">IF($I46&gt;0%,IF(AND(MC$16&gt;=$F46,MC$16&lt;$F46+($G46*$I46)),"➤",""),"")</f>
        <v/>
      </c>
      <c r="MD46" s="76" t="str">
        <f aca="false">IF($I46&gt;0%,IF(AND(MD$16&gt;=$F46,MD$16&lt;$F46+($G46*$I46)),"➤",""),"")</f>
        <v/>
      </c>
      <c r="ME46" s="76" t="str">
        <f aca="false">IF($I46&gt;0%,IF(AND(ME$16&gt;=$F46,ME$16&lt;$F46+($G46*$I46)),"➤",""),"")</f>
        <v/>
      </c>
      <c r="MF46" s="76" t="str">
        <f aca="false">IF($I46&gt;0%,IF(AND(MF$16&gt;=$F46,MF$16&lt;$F46+($G46*$I46)),"➤",""),"")</f>
        <v/>
      </c>
      <c r="MG46" s="76" t="str">
        <f aca="false">IF($I46&gt;0%,IF(AND(MG$16&gt;=$F46,MG$16&lt;$F46+($G46*$I46)),"➤",""),"")</f>
        <v/>
      </c>
      <c r="MH46" s="76" t="str">
        <f aca="false">IF($I46&gt;0%,IF(AND(MH$16&gt;=$F46,MH$16&lt;$F46+($G46*$I46)),"➤",""),"")</f>
        <v/>
      </c>
      <c r="MI46" s="76" t="str">
        <f aca="false">IF($I46&gt;0%,IF(AND(MI$16&gt;=$F46,MI$16&lt;$F46+($G46*$I46)),"➤",""),"")</f>
        <v/>
      </c>
      <c r="MJ46" s="76" t="str">
        <f aca="false">IF($I46&gt;0%,IF(AND(MJ$16&gt;=$F46,MJ$16&lt;$F46+($G46*$I46)),"➤",""),"")</f>
        <v/>
      </c>
      <c r="MK46" s="76" t="str">
        <f aca="false">IF($I46&gt;0%,IF(AND(MK$16&gt;=$F46,MK$16&lt;$F46+($G46*$I46)),"➤",""),"")</f>
        <v/>
      </c>
      <c r="ML46" s="76" t="str">
        <f aca="false">IF($I46&gt;0%,IF(AND(ML$16&gt;=$F46,ML$16&lt;$F46+($G46*$I46)),"➤",""),"")</f>
        <v/>
      </c>
      <c r="MM46" s="76" t="str">
        <f aca="false">IF($I46&gt;0%,IF(AND(MM$16&gt;=$F46,MM$16&lt;$F46+($G46*$I46)),"➤",""),"")</f>
        <v/>
      </c>
      <c r="MN46" s="76" t="str">
        <f aca="false">IF($I46&gt;0%,IF(AND(MN$16&gt;=$F46,MN$16&lt;$F46+($G46*$I46)),"➤",""),"")</f>
        <v/>
      </c>
      <c r="MO46" s="76" t="str">
        <f aca="false">IF($I46&gt;0%,IF(AND(MO$16&gt;=$F46,MO$16&lt;$F46+($G46*$I46)),"➤",""),"")</f>
        <v/>
      </c>
      <c r="MP46" s="76" t="str">
        <f aca="false">IF($I46&gt;0%,IF(AND(MP$16&gt;=$F46,MP$16&lt;$F46+($G46*$I46)),"➤",""),"")</f>
        <v/>
      </c>
      <c r="MQ46" s="76" t="str">
        <f aca="false">IF($I46&gt;0%,IF(AND(MQ$16&gt;=$F46,MQ$16&lt;$F46+($G46*$I46)),"➤",""),"")</f>
        <v/>
      </c>
      <c r="MR46" s="76" t="str">
        <f aca="false">IF($I46&gt;0%,IF(AND(MR$16&gt;=$F46,MR$16&lt;$F46+($G46*$I46)),"➤",""),"")</f>
        <v/>
      </c>
      <c r="MS46" s="76" t="str">
        <f aca="false">IF($I46&gt;0%,IF(AND(MS$16&gt;=$F46,MS$16&lt;$F46+($G46*$I46)),"➤",""),"")</f>
        <v/>
      </c>
      <c r="MT46" s="76" t="str">
        <f aca="false">IF($I46&gt;0%,IF(AND(MT$16&gt;=$F46,MT$16&lt;$F46+($G46*$I46)),"➤",""),"")</f>
        <v/>
      </c>
      <c r="MU46" s="76" t="str">
        <f aca="false">IF($I46&gt;0%,IF(AND(MU$16&gt;=$F46,MU$16&lt;$F46+($G46*$I46)),"➤",""),"")</f>
        <v/>
      </c>
      <c r="MV46" s="76" t="str">
        <f aca="false">IF($I46&gt;0%,IF(AND(MV$16&gt;=$F46,MV$16&lt;$F46+($G46*$I46)),"➤",""),"")</f>
        <v/>
      </c>
      <c r="MW46" s="76" t="str">
        <f aca="false">IF($I46&gt;0%,IF(AND(MW$16&gt;=$F46,MW$16&lt;$F46+($G46*$I46)),"➤",""),"")</f>
        <v/>
      </c>
      <c r="MX46" s="76" t="str">
        <f aca="false">IF($I46&gt;0%,IF(AND(MX$16&gt;=$F46,MX$16&lt;$F46+($G46*$I46)),"➤",""),"")</f>
        <v/>
      </c>
      <c r="MY46" s="76" t="str">
        <f aca="false">IF($I46&gt;0%,IF(AND(MY$16&gt;=$F46,MY$16&lt;$F46+($G46*$I46)),"➤",""),"")</f>
        <v/>
      </c>
      <c r="MZ46" s="76" t="str">
        <f aca="false">IF($I46&gt;0%,IF(AND(MZ$16&gt;=$F46,MZ$16&lt;$F46+($G46*$I46)),"➤",""),"")</f>
        <v/>
      </c>
      <c r="NA46" s="76" t="str">
        <f aca="false">IF($I46&gt;0%,IF(AND(NA$16&gt;=$F46,NA$16&lt;$F46+($G46*$I46)),"➤",""),"")</f>
        <v/>
      </c>
      <c r="NB46" s="76" t="str">
        <f aca="false">IF($I46&gt;0%,IF(AND(NB$16&gt;=$F46,NB$16&lt;$F46+($G46*$I46)),"➤",""),"")</f>
        <v/>
      </c>
      <c r="NC46" s="76" t="str">
        <f aca="false">IF($I46&gt;0%,IF(AND(NC$16&gt;=$F46,NC$16&lt;$F46+($G46*$I46)),"➤",""),"")</f>
        <v/>
      </c>
      <c r="ND46" s="76" t="str">
        <f aca="false">IF($I46&gt;0%,IF(AND(ND$16&gt;=$F46,ND$16&lt;$F46+($G46*$I46)),"➤",""),"")</f>
        <v/>
      </c>
      <c r="NE46" s="76" t="str">
        <f aca="false">IF($I46&gt;0%,IF(AND(NE$16&gt;=$F46,NE$16&lt;$F46+($G46*$I46)),"➤",""),"")</f>
        <v/>
      </c>
      <c r="NF46" s="76" t="str">
        <f aca="false">IF($I46&gt;0%,IF(AND(NF$16&gt;=$F46,NF$16&lt;$F46+($G46*$I46)),"➤",""),"")</f>
        <v/>
      </c>
      <c r="NG46" s="76" t="str">
        <f aca="false">IF($I46&gt;0%,IF(AND(NG$16&gt;=$F46,NG$16&lt;$F46+($G46*$I46)),"➤",""),"")</f>
        <v/>
      </c>
      <c r="NH46" s="76" t="str">
        <f aca="false">IF($I46&gt;0%,IF(AND(NH$16&gt;=$F46,NH$16&lt;$F46+($G46*$I46)),"➤",""),"")</f>
        <v/>
      </c>
      <c r="NI46" s="76" t="str">
        <f aca="false">IF($I46&gt;0%,IF(AND(NI$16&gt;=$F46,NI$16&lt;$F46+($G46*$I46)),"➤",""),"")</f>
        <v/>
      </c>
      <c r="NJ46" s="76" t="str">
        <f aca="false">IF($I46&gt;0%,IF(AND(NJ$16&gt;=$F46,NJ$16&lt;$F46+($G46*$I46)),"➤",""),"")</f>
        <v/>
      </c>
      <c r="NK46" s="76" t="str">
        <f aca="false">IF($I46&gt;0%,IF(AND(NK$16&gt;=$F46,NK$16&lt;$F46+($G46*$I46)),"➤",""),"")</f>
        <v/>
      </c>
      <c r="NL46" s="76" t="str">
        <f aca="false">IF($I46&gt;0%,IF(AND(NL$16&gt;=$F46,NL$16&lt;$F46+($G46*$I46)),"➤",""),"")</f>
        <v/>
      </c>
      <c r="NM46" s="76" t="str">
        <f aca="false">IF($I46&gt;0%,IF(AND(NM$16&gt;=$F46,NM$16&lt;$F46+($G46*$I46)),"➤",""),"")</f>
        <v/>
      </c>
      <c r="NN46" s="76" t="str">
        <f aca="false">IF($I46&gt;0%,IF(AND(NN$16&gt;=$F46,NN$16&lt;$F46+($G46*$I46)),"➤",""),"")</f>
        <v/>
      </c>
      <c r="NO46" s="76" t="str">
        <f aca="false">IF($I46&gt;0%,IF(AND(NO$16&gt;=$F46,NO$16&lt;$F46+($G46*$I46)),"➤",""),"")</f>
        <v/>
      </c>
      <c r="NP46" s="76" t="str">
        <f aca="false">IF($I46&gt;0%,IF(AND(NP$16&gt;=$F46,NP$16&lt;$F46+($G46*$I46)),"➤",""),"")</f>
        <v/>
      </c>
      <c r="NQ46" s="76" t="str">
        <f aca="false">IF($I46&gt;0%,IF(AND(NQ$16&gt;=$F46,NQ$16&lt;$F46+($G46*$I46)),"➤",""),"")</f>
        <v/>
      </c>
      <c r="NR46" s="76" t="str">
        <f aca="false">IF($I46&gt;0%,IF(AND(NR$16&gt;=$F46,NR$16&lt;$F46+($G46*$I46)),"➤",""),"")</f>
        <v/>
      </c>
      <c r="NS46" s="76" t="str">
        <f aca="false">IF($I46&gt;0%,IF(AND(NS$16&gt;=$F46,NS$16&lt;$F46+($G46*$I46)),"➤",""),"")</f>
        <v/>
      </c>
      <c r="NT46" s="76" t="str">
        <f aca="false">IF($I46&gt;0%,IF(AND(NT$16&gt;=$F46,NT$16&lt;$F46+($G46*$I46)),"➤",""),"")</f>
        <v/>
      </c>
      <c r="NU46" s="76" t="str">
        <f aca="false">IF($I46&gt;0%,IF(AND(NU$16&gt;=$F46,NU$16&lt;$F46+($G46*$I46)),"➤",""),"")</f>
        <v/>
      </c>
      <c r="NV46" s="76" t="str">
        <f aca="false">IF($I46&gt;0%,IF(AND(NV$16&gt;=$F46,NV$16&lt;$F46+($G46*$I46)),"➤",""),"")</f>
        <v/>
      </c>
      <c r="NW46" s="76" t="str">
        <f aca="false">IF($I46&gt;0%,IF(AND(NW$16&gt;=$F46,NW$16&lt;$F46+($G46*$I46)),"➤",""),"")</f>
        <v/>
      </c>
      <c r="NX46" s="76" t="str">
        <f aca="false">IF($I46&gt;0%,IF(AND(NX$16&gt;=$F46,NX$16&lt;$F46+($G46*$I46)),"➤",""),"")</f>
        <v/>
      </c>
      <c r="NY46" s="76" t="str">
        <f aca="false">IF($I46&gt;0%,IF(AND(NY$16&gt;=$F46,NY$16&lt;$F46+($G46*$I46)),"➤",""),"")</f>
        <v/>
      </c>
      <c r="NZ46" s="76" t="str">
        <f aca="false">IF($I46&gt;0%,IF(AND(NZ$16&gt;=$F46,NZ$16&lt;$F46+($G46*$I46)),"➤",""),"")</f>
        <v/>
      </c>
      <c r="OA46" s="76" t="str">
        <f aca="false">IF($I46&gt;0%,IF(AND(OA$16&gt;=$F46,OA$16&lt;$F46+($G46*$I46)),"➤",""),"")</f>
        <v/>
      </c>
      <c r="OB46" s="76" t="str">
        <f aca="false">IF($I46&gt;0%,IF(AND(OB$16&gt;=$F46,OB$16&lt;$F46+($G46*$I46)),"➤",""),"")</f>
        <v/>
      </c>
      <c r="OC46" s="76" t="str">
        <f aca="false">IF($I46&gt;0%,IF(AND(OC$16&gt;=$F46,OC$16&lt;$F46+($G46*$I46)),"➤",""),"")</f>
        <v/>
      </c>
      <c r="OD46" s="76" t="str">
        <f aca="false">IF($I46&gt;0%,IF(AND(OD$16&gt;=$F46,OD$16&lt;$F46+($G46*$I46)),"➤",""),"")</f>
        <v/>
      </c>
      <c r="OE46" s="76" t="str">
        <f aca="false">IF($I46&gt;0%,IF(AND(OE$16&gt;=$F46,OE$16&lt;$F46+($G46*$I46)),"➤",""),"")</f>
        <v/>
      </c>
      <c r="OF46" s="76" t="str">
        <f aca="false">IF($I46&gt;0%,IF(AND(OF$16&gt;=$F46,OF$16&lt;$F46+($G46*$I46)),"➤",""),"")</f>
        <v/>
      </c>
      <c r="OG46" s="76" t="str">
        <f aca="false">IF($I46&gt;0%,IF(AND(OG$16&gt;=$F46,OG$16&lt;$F46+($G46*$I46)),"➤",""),"")</f>
        <v/>
      </c>
      <c r="OH46" s="76" t="str">
        <f aca="false">IF($I46&gt;0%,IF(AND(OH$16&gt;=$F46,OH$16&lt;$F46+($G46*$I46)),"➤",""),"")</f>
        <v/>
      </c>
      <c r="OI46" s="76" t="str">
        <f aca="false">IF($I46&gt;0%,IF(AND(OI$16&gt;=$F46,OI$16&lt;$F46+($G46*$I46)),"➤",""),"")</f>
        <v/>
      </c>
      <c r="OJ46" s="76" t="str">
        <f aca="false">IF($I46&gt;0%,IF(AND(OJ$16&gt;=$F46,OJ$16&lt;$F46+($G46*$I46)),"➤",""),"")</f>
        <v/>
      </c>
      <c r="OK46" s="76" t="str">
        <f aca="false">IF($I46&gt;0%,IF(AND(OK$16&gt;=$F46,OK$16&lt;$F46+($G46*$I46)),"➤",""),"")</f>
        <v/>
      </c>
      <c r="OL46" s="76" t="str">
        <f aca="false">IF($I46&gt;0%,IF(AND(OL$16&gt;=$F46,OL$16&lt;$F46+($G46*$I46)),"➤",""),"")</f>
        <v/>
      </c>
      <c r="OM46" s="76" t="str">
        <f aca="false">IF($I46&gt;0%,IF(AND(OM$16&gt;=$F46,OM$16&lt;$F46+($G46*$I46)),"➤",""),"")</f>
        <v/>
      </c>
      <c r="ON46" s="76" t="str">
        <f aca="false">IF($I46&gt;0%,IF(AND(ON$16&gt;=$F46,ON$16&lt;$F46+($G46*$I46)),"➤",""),"")</f>
        <v/>
      </c>
      <c r="OO46" s="76" t="str">
        <f aca="false">IF($I46&gt;0%,IF(AND(OO$16&gt;=$F46,OO$16&lt;$F46+($G46*$I46)),"➤",""),"")</f>
        <v/>
      </c>
      <c r="OP46" s="76" t="str">
        <f aca="false">IF($I46&gt;0%,IF(AND(OP$16&gt;=$F46,OP$16&lt;$F46+($G46*$I46)),"➤",""),"")</f>
        <v/>
      </c>
      <c r="OQ46" s="76" t="str">
        <f aca="false">IF($I46&gt;0%,IF(AND(OQ$16&gt;=$F46,OQ$16&lt;$F46+($G46*$I46)),"➤",""),"")</f>
        <v/>
      </c>
      <c r="OR46" s="76" t="str">
        <f aca="false">IF($I46&gt;0%,IF(AND(OR$16&gt;=$F46,OR$16&lt;$F46+($G46*$I46)),"➤",""),"")</f>
        <v/>
      </c>
      <c r="OS46" s="76" t="str">
        <f aca="false">IF($I46&gt;0%,IF(AND(OS$16&gt;=$F46,OS$16&lt;$F46+($G46*$I46)),"➤",""),"")</f>
        <v/>
      </c>
      <c r="OT46" s="76" t="str">
        <f aca="false">IF($I46&gt;0%,IF(AND(OT$16&gt;=$F46,OT$16&lt;$F46+($G46*$I46)),"➤",""),"")</f>
        <v/>
      </c>
      <c r="OU46" s="76" t="str">
        <f aca="false">IF($I46&gt;0%,IF(AND(OU$16&gt;=$F46,OU$16&lt;$F46+($G46*$I46)),"➤",""),"")</f>
        <v/>
      </c>
      <c r="OV46" s="76" t="str">
        <f aca="false">IF($I46&gt;0%,IF(AND(OV$16&gt;=$F46,OV$16&lt;$F46+($G46*$I46)),"➤",""),"")</f>
        <v/>
      </c>
      <c r="OW46" s="76" t="str">
        <f aca="false">IF($I46&gt;0%,IF(AND(OW$16&gt;=$F46,OW$16&lt;$F46+($G46*$I46)),"➤",""),"")</f>
        <v/>
      </c>
      <c r="OX46" s="76" t="str">
        <f aca="false">IF($I46&gt;0%,IF(AND(OX$16&gt;=$F46,OX$16&lt;$F46+($G46*$I46)),"➤",""),"")</f>
        <v/>
      </c>
      <c r="OY46" s="76" t="str">
        <f aca="false">IF($I46&gt;0%,IF(AND(OY$16&gt;=$F46,OY$16&lt;$F46+($G46*$I46)),"➤",""),"")</f>
        <v/>
      </c>
      <c r="OZ46" s="76" t="str">
        <f aca="false">IF($I46&gt;0%,IF(AND(OZ$16&gt;=$F46,OZ$16&lt;$F46+($G46*$I46)),"➤",""),"")</f>
        <v/>
      </c>
      <c r="PA46" s="76" t="str">
        <f aca="false">IF($I46&gt;0%,IF(AND(PA$16&gt;=$F46,PA$16&lt;$F46+($G46*$I46)),"➤",""),"")</f>
        <v/>
      </c>
      <c r="PB46" s="76" t="str">
        <f aca="false">IF($I46&gt;0%,IF(AND(PB$16&gt;=$F46,PB$16&lt;$F46+($G46*$I46)),"➤",""),"")</f>
        <v/>
      </c>
      <c r="PC46" s="76" t="str">
        <f aca="false">IF($I46&gt;0%,IF(AND(PC$16&gt;=$F46,PC$16&lt;$F46+($G46*$I46)),"➤",""),"")</f>
        <v/>
      </c>
      <c r="PD46" s="76" t="str">
        <f aca="false">IF($I46&gt;0%,IF(AND(PD$16&gt;=$F46,PD$16&lt;$F46+($G46*$I46)),"➤",""),"")</f>
        <v/>
      </c>
      <c r="PE46" s="76" t="str">
        <f aca="false">IF($I46&gt;0%,IF(AND(PE$16&gt;=$F46,PE$16&lt;$F46+($G46*$I46)),"➤",""),"")</f>
        <v/>
      </c>
      <c r="PF46" s="76" t="str">
        <f aca="false">IF($I46&gt;0%,IF(AND(PF$16&gt;=$F46,PF$16&lt;$F46+($G46*$I46)),"➤",""),"")</f>
        <v/>
      </c>
      <c r="PG46" s="76" t="str">
        <f aca="false">IF($I46&gt;0%,IF(AND(PG$16&gt;=$F46,PG$16&lt;$F46+($G46*$I46)),"➤",""),"")</f>
        <v/>
      </c>
      <c r="PH46" s="76" t="str">
        <f aca="false">IF($I46&gt;0%,IF(AND(PH$16&gt;=$F46,PH$16&lt;$F46+($G46*$I46)),"➤",""),"")</f>
        <v/>
      </c>
      <c r="PI46" s="76" t="str">
        <f aca="false">IF($I46&gt;0%,IF(AND(PI$16&gt;=$F46,PI$16&lt;$F46+($G46*$I46)),"➤",""),"")</f>
        <v/>
      </c>
      <c r="PJ46" s="76" t="str">
        <f aca="false">IF($I46&gt;0%,IF(AND(PJ$16&gt;=$F46,PJ$16&lt;$F46+($G46*$I46)),"➤",""),"")</f>
        <v/>
      </c>
      <c r="PK46" s="76" t="str">
        <f aca="false">IF($I46&gt;0%,IF(AND(PK$16&gt;=$F46,PK$16&lt;$F46+($G46*$I46)),"➤",""),"")</f>
        <v/>
      </c>
      <c r="PL46" s="76" t="str">
        <f aca="false">IF($I46&gt;0%,IF(AND(PL$16&gt;=$F46,PL$16&lt;$F46+($G46*$I46)),"➤",""),"")</f>
        <v/>
      </c>
      <c r="PM46" s="76" t="str">
        <f aca="false">IF($I46&gt;0%,IF(AND(PM$16&gt;=$F46,PM$16&lt;$F46+($G46*$I46)),"➤",""),"")</f>
        <v/>
      </c>
      <c r="PN46" s="76" t="str">
        <f aca="false">IF($I46&gt;0%,IF(AND(PN$16&gt;=$F46,PN$16&lt;$F46+($G46*$I46)),"➤",""),"")</f>
        <v/>
      </c>
      <c r="PO46" s="76" t="str">
        <f aca="false">IF($I46&gt;0%,IF(AND(PO$16&gt;=$F46,PO$16&lt;$F46+($G46*$I46)),"➤",""),"")</f>
        <v/>
      </c>
      <c r="PP46" s="76" t="str">
        <f aca="false">IF($I46&gt;0%,IF(AND(PP$16&gt;=$F46,PP$16&lt;$F46+($G46*$I46)),"➤",""),"")</f>
        <v/>
      </c>
      <c r="PQ46" s="76" t="str">
        <f aca="false">IF($I46&gt;0%,IF(AND(PQ$16&gt;=$F46,PQ$16&lt;$F46+($G46*$I46)),"➤",""),"")</f>
        <v/>
      </c>
      <c r="PR46" s="76" t="str">
        <f aca="false">IF($I46&gt;0%,IF(AND(PR$16&gt;=$F46,PR$16&lt;$F46+($G46*$I46)),"➤",""),"")</f>
        <v/>
      </c>
      <c r="PS46" s="76" t="str">
        <f aca="false">IF($I46&gt;0%,IF(AND(PS$16&gt;=$F46,PS$16&lt;$F46+($G46*$I46)),"➤",""),"")</f>
        <v/>
      </c>
      <c r="PT46" s="76" t="str">
        <f aca="false">IF($I46&gt;0%,IF(AND(PT$16&gt;=$F46,PT$16&lt;$F46+($G46*$I46)),"➤",""),"")</f>
        <v/>
      </c>
      <c r="PU46" s="76" t="str">
        <f aca="false">IF($I46&gt;0%,IF(AND(PU$16&gt;=$F46,PU$16&lt;$F46+($G46*$I46)),"➤",""),"")</f>
        <v/>
      </c>
      <c r="PV46" s="76" t="str">
        <f aca="false">IF($I46&gt;0%,IF(AND(PV$16&gt;=$F46,PV$16&lt;$F46+($G46*$I46)),"➤",""),"")</f>
        <v/>
      </c>
      <c r="PW46" s="76" t="str">
        <f aca="false">IF($I46&gt;0%,IF(AND(PW$16&gt;=$F46,PW$16&lt;$F46+($G46*$I46)),"➤",""),"")</f>
        <v/>
      </c>
      <c r="PX46" s="76" t="str">
        <f aca="false">IF($I46&gt;0%,IF(AND(PX$16&gt;=$F46,PX$16&lt;$F46+($G46*$I46)),"➤",""),"")</f>
        <v/>
      </c>
      <c r="PY46" s="76" t="str">
        <f aca="false">IF($I46&gt;0%,IF(AND(PY$16&gt;=$F46,PY$16&lt;$F46+($G46*$I46)),"➤",""),"")</f>
        <v/>
      </c>
      <c r="PZ46" s="76" t="str">
        <f aca="false">IF($I46&gt;0%,IF(AND(PZ$16&gt;=$F46,PZ$16&lt;$F46+($G46*$I46)),"➤",""),"")</f>
        <v/>
      </c>
      <c r="QA46" s="76" t="str">
        <f aca="false">IF($I46&gt;0%,IF(AND(QA$16&gt;=$F46,QA$16&lt;$F46+($G46*$I46)),"➤",""),"")</f>
        <v/>
      </c>
      <c r="QB46" s="76" t="str">
        <f aca="false">IF($I46&gt;0%,IF(AND(QB$16&gt;=$F46,QB$16&lt;$F46+($G46*$I46)),"➤",""),"")</f>
        <v/>
      </c>
      <c r="QC46" s="76" t="str">
        <f aca="false">IF($I46&gt;0%,IF(AND(QC$16&gt;=$F46,QC$16&lt;$F46+($G46*$I46)),"➤",""),"")</f>
        <v/>
      </c>
      <c r="QD46" s="76" t="str">
        <f aca="false">IF($I46&gt;0%,IF(AND(QD$16&gt;=$F46,QD$16&lt;$F46+($G46*$I46)),"➤",""),"")</f>
        <v/>
      </c>
      <c r="QE46" s="76" t="str">
        <f aca="false">IF($I46&gt;0%,IF(AND(QE$16&gt;=$F46,QE$16&lt;$F46+($G46*$I46)),"➤",""),"")</f>
        <v/>
      </c>
      <c r="QF46" s="76" t="str">
        <f aca="false">IF($I46&gt;0%,IF(AND(QF$16&gt;=$F46,QF$16&lt;$F46+($G46*$I46)),"➤",""),"")</f>
        <v/>
      </c>
      <c r="QG46" s="76" t="str">
        <f aca="false">IF($I46&gt;0%,IF(AND(QG$16&gt;=$F46,QG$16&lt;$F46+($G46*$I46)),"➤",""),"")</f>
        <v/>
      </c>
      <c r="QH46" s="76" t="str">
        <f aca="false">IF($I46&gt;0%,IF(AND(QH$16&gt;=$F46,QH$16&lt;$F46+($G46*$I46)),"➤",""),"")</f>
        <v/>
      </c>
      <c r="QI46" s="76" t="str">
        <f aca="false">IF($I46&gt;0%,IF(AND(QI$16&gt;=$F46,QI$16&lt;$F46+($G46*$I46)),"➤",""),"")</f>
        <v/>
      </c>
      <c r="QJ46" s="76" t="str">
        <f aca="false">IF($I46&gt;0%,IF(AND(QJ$16&gt;=$F46,QJ$16&lt;$F46+($G46*$I46)),"➤",""),"")</f>
        <v/>
      </c>
      <c r="QK46" s="76" t="str">
        <f aca="false">IF($I46&gt;0%,IF(AND(QK$16&gt;=$F46,QK$16&lt;$F46+($G46*$I46)),"➤",""),"")</f>
        <v/>
      </c>
      <c r="QL46" s="76" t="str">
        <f aca="false">IF($I46&gt;0%,IF(AND(QL$16&gt;=$F46,QL$16&lt;$F46+($G46*$I46)),"➤",""),"")</f>
        <v/>
      </c>
      <c r="QM46" s="76" t="str">
        <f aca="false">IF($I46&gt;0%,IF(AND(QM$16&gt;=$F46,QM$16&lt;$F46+($G46*$I46)),"➤",""),"")</f>
        <v/>
      </c>
      <c r="QN46" s="76" t="str">
        <f aca="false">IF($I46&gt;0%,IF(AND(QN$16&gt;=$F46,QN$16&lt;$F46+($G46*$I46)),"➤",""),"")</f>
        <v/>
      </c>
      <c r="QO46" s="76" t="str">
        <f aca="false">IF($I46&gt;0%,IF(AND(QO$16&gt;=$F46,QO$16&lt;$F46+($G46*$I46)),"➤",""),"")</f>
        <v/>
      </c>
      <c r="QP46" s="76" t="str">
        <f aca="false">IF($I46&gt;0%,IF(AND(QP$16&gt;=$F46,QP$16&lt;$F46+($G46*$I46)),"➤",""),"")</f>
        <v/>
      </c>
      <c r="QQ46" s="76" t="str">
        <f aca="false">IF($I46&gt;0%,IF(AND(QQ$16&gt;=$F46,QQ$16&lt;$F46+($G46*$I46)),"➤",""),"")</f>
        <v/>
      </c>
      <c r="QR46" s="76" t="str">
        <f aca="false">IF($I46&gt;0%,IF(AND(QR$16&gt;=$F46,QR$16&lt;$F46+($G46*$I46)),"➤",""),"")</f>
        <v/>
      </c>
      <c r="QS46" s="76" t="str">
        <f aca="false">IF($I46&gt;0%,IF(AND(QS$16&gt;=$F46,QS$16&lt;$F46+($G46*$I46)),"➤",""),"")</f>
        <v/>
      </c>
      <c r="QT46" s="76" t="str">
        <f aca="false">IF($I46&gt;0%,IF(AND(QT$16&gt;=$F46,QT$16&lt;$F46+($G46*$I46)),"➤",""),"")</f>
        <v/>
      </c>
      <c r="QU46" s="76" t="str">
        <f aca="false">IF($I46&gt;0%,IF(AND(QU$16&gt;=$F46,QU$16&lt;$F46+($G46*$I46)),"➤",""),"")</f>
        <v/>
      </c>
      <c r="QV46" s="76" t="str">
        <f aca="false">IF($I46&gt;0%,IF(AND(QV$16&gt;=$F46,QV$16&lt;$F46+($G46*$I46)),"➤",""),"")</f>
        <v/>
      </c>
      <c r="QW46" s="76" t="str">
        <f aca="false">IF($I46&gt;0%,IF(AND(QW$16&gt;=$F46,QW$16&lt;$F46+($G46*$I46)),"➤",""),"")</f>
        <v/>
      </c>
      <c r="QX46" s="76" t="str">
        <f aca="false">IF($I46&gt;0%,IF(AND(QX$16&gt;=$F46,QX$16&lt;$F46+($G46*$I46)),"➤",""),"")</f>
        <v/>
      </c>
      <c r="QY46" s="76" t="str">
        <f aca="false">IF($I46&gt;0%,IF(AND(QY$16&gt;=$F46,QY$16&lt;$F46+($G46*$I46)),"➤",""),"")</f>
        <v/>
      </c>
      <c r="QZ46" s="76" t="str">
        <f aca="false">IF($I46&gt;0%,IF(AND(QZ$16&gt;=$F46,QZ$16&lt;$F46+($G46*$I46)),"➤",""),"")</f>
        <v/>
      </c>
      <c r="RA46" s="76" t="str">
        <f aca="false">IF($I46&gt;0%,IF(AND(RA$16&gt;=$F46,RA$16&lt;$F46+($G46*$I46)),"➤",""),"")</f>
        <v/>
      </c>
      <c r="RB46" s="76" t="str">
        <f aca="false">IF($I46&gt;0%,IF(AND(RB$16&gt;=$F46,RB$16&lt;$F46+($G46*$I46)),"➤",""),"")</f>
        <v/>
      </c>
      <c r="RC46" s="76" t="str">
        <f aca="false">IF($I46&gt;0%,IF(AND(RC$16&gt;=$F46,RC$16&lt;$F46+($G46*$I46)),"➤",""),"")</f>
        <v/>
      </c>
      <c r="RD46" s="76" t="str">
        <f aca="false">IF($I46&gt;0%,IF(AND(RD$16&gt;=$F46,RD$16&lt;$F46+($G46*$I46)),"➤",""),"")</f>
        <v/>
      </c>
      <c r="RE46" s="76" t="str">
        <f aca="false">IF($I46&gt;0%,IF(AND(RE$16&gt;=$F46,RE$16&lt;$F46+($G46*$I46)),"➤",""),"")</f>
        <v/>
      </c>
      <c r="RF46" s="76" t="str">
        <f aca="false">IF($I46&gt;0%,IF(AND(RF$16&gt;=$F46,RF$16&lt;$F46+($G46*$I46)),"➤",""),"")</f>
        <v/>
      </c>
      <c r="RG46" s="76" t="str">
        <f aca="false">IF($I46&gt;0%,IF(AND(RG$16&gt;=$F46,RG$16&lt;$F46+($G46*$I46)),"➤",""),"")</f>
        <v/>
      </c>
      <c r="RH46" s="76" t="str">
        <f aca="false">IF($I46&gt;0%,IF(AND(RH$16&gt;=$F46,RH$16&lt;$F46+($G46*$I46)),"➤",""),"")</f>
        <v/>
      </c>
      <c r="RI46" s="76" t="str">
        <f aca="false">IF($I46&gt;0%,IF(AND(RI$16&gt;=$F46,RI$16&lt;$F46+($G46*$I46)),"➤",""),"")</f>
        <v/>
      </c>
      <c r="RJ46" s="76" t="str">
        <f aca="false">IF($I46&gt;0%,IF(AND(RJ$16&gt;=$F46,RJ$16&lt;$F46+($G46*$I46)),"➤",""),"")</f>
        <v/>
      </c>
      <c r="RK46" s="76" t="str">
        <f aca="false">IF($I46&gt;0%,IF(AND(RK$16&gt;=$F46,RK$16&lt;$F46+($G46*$I46)),"➤",""),"")</f>
        <v/>
      </c>
      <c r="RL46" s="76" t="str">
        <f aca="false">IF($I46&gt;0%,IF(AND(RL$16&gt;=$F46,RL$16&lt;$F46+($G46*$I46)),"➤",""),"")</f>
        <v/>
      </c>
      <c r="RM46" s="76" t="str">
        <f aca="false">IF($I46&gt;0%,IF(AND(RM$16&gt;=$F46,RM$16&lt;$F46+($G46*$I46)),"➤",""),"")</f>
        <v/>
      </c>
      <c r="RN46" s="76" t="str">
        <f aca="false">IF($I46&gt;0%,IF(AND(RN$16&gt;=$F46,RN$16&lt;$F46+($G46*$I46)),"➤",""),"")</f>
        <v/>
      </c>
      <c r="RO46" s="76" t="str">
        <f aca="false">IF($I46&gt;0%,IF(AND(RO$16&gt;=$F46,RO$16&lt;$F46+($G46*$I46)),"➤",""),"")</f>
        <v/>
      </c>
      <c r="RP46" s="76" t="str">
        <f aca="false">IF($I46&gt;0%,IF(AND(RP$16&gt;=$F46,RP$16&lt;$F46+($G46*$I46)),"➤",""),"")</f>
        <v/>
      </c>
      <c r="RQ46" s="76" t="str">
        <f aca="false">IF($I46&gt;0%,IF(AND(RQ$16&gt;=$F46,RQ$16&lt;$F46+($G46*$I46)),"➤",""),"")</f>
        <v/>
      </c>
      <c r="RR46" s="76" t="str">
        <f aca="false">IF($I46&gt;0%,IF(AND(RR$16&gt;=$F46,RR$16&lt;$F46+($G46*$I46)),"➤",""),"")</f>
        <v/>
      </c>
      <c r="RS46" s="76" t="str">
        <f aca="false">IF($I46&gt;0%,IF(AND(RS$16&gt;=$F46,RS$16&lt;$F46+($G46*$I46)),"➤",""),"")</f>
        <v/>
      </c>
      <c r="RT46" s="76" t="str">
        <f aca="false">IF($I46&gt;0%,IF(AND(RT$16&gt;=$F46,RT$16&lt;$F46+($G46*$I46)),"➤",""),"")</f>
        <v/>
      </c>
      <c r="RU46" s="76" t="str">
        <f aca="false">IF($I46&gt;0%,IF(AND(RU$16&gt;=$F46,RU$16&lt;$F46+($G46*$I46)),"➤",""),"")</f>
        <v/>
      </c>
      <c r="RV46" s="76" t="str">
        <f aca="false">IF($I46&gt;0%,IF(AND(RV$16&gt;=$F46,RV$16&lt;$F46+($G46*$I46)),"➤",""),"")</f>
        <v/>
      </c>
      <c r="RW46" s="76" t="str">
        <f aca="false">IF($I46&gt;0%,IF(AND(RW$16&gt;=$F46,RW$16&lt;$F46+($G46*$I46)),"➤",""),"")</f>
        <v/>
      </c>
      <c r="RX46" s="76" t="str">
        <f aca="false">IF($I46&gt;0%,IF(AND(RX$16&gt;=$F46,RX$16&lt;$F46+($G46*$I46)),"➤",""),"")</f>
        <v/>
      </c>
      <c r="RY46" s="76" t="str">
        <f aca="false">IF($I46&gt;0%,IF(AND(RY$16&gt;=$F46,RY$16&lt;$F46+($G46*$I46)),"➤",""),"")</f>
        <v/>
      </c>
      <c r="RZ46" s="76" t="str">
        <f aca="false">IF($I46&gt;0%,IF(AND(RZ$16&gt;=$F46,RZ$16&lt;$F46+($G46*$I46)),"➤",""),"")</f>
        <v/>
      </c>
      <c r="SA46" s="76" t="str">
        <f aca="false">IF($I46&gt;0%,IF(AND(SA$16&gt;=$F46,SA$16&lt;$F46+($G46*$I46)),"➤",""),"")</f>
        <v/>
      </c>
      <c r="SB46" s="76" t="str">
        <f aca="false">IF($I46&gt;0%,IF(AND(SB$16&gt;=$F46,SB$16&lt;$F46+($G46*$I46)),"➤",""),"")</f>
        <v/>
      </c>
      <c r="SC46" s="76" t="str">
        <f aca="false">IF($I46&gt;0%,IF(AND(SC$16&gt;=$F46,SC$16&lt;$F46+($G46*$I46)),"➤",""),"")</f>
        <v/>
      </c>
      <c r="SD46" s="76" t="str">
        <f aca="false">IF($I46&gt;0%,IF(AND(SD$16&gt;=$F46,SD$16&lt;$F46+($G46*$I46)),"➤",""),"")</f>
        <v/>
      </c>
      <c r="SE46" s="76" t="str">
        <f aca="false">IF($I46&gt;0%,IF(AND(SE$16&gt;=$F46,SE$16&lt;$F46+($G46*$I46)),"➤",""),"")</f>
        <v/>
      </c>
      <c r="SF46" s="76" t="str">
        <f aca="false">IF($I46&gt;0%,IF(AND(SF$16&gt;=$F46,SF$16&lt;$F46+($G46*$I46)),"➤",""),"")</f>
        <v/>
      </c>
      <c r="SG46" s="76" t="str">
        <f aca="false">IF($I46&gt;0%,IF(AND(SG$16&gt;=$F46,SG$16&lt;$F46+($G46*$I46)),"➤",""),"")</f>
        <v/>
      </c>
      <c r="SH46" s="76" t="str">
        <f aca="false">IF($I46&gt;0%,IF(AND(SH$16&gt;=$F46,SH$16&lt;$F46+($G46*$I46)),"➤",""),"")</f>
        <v/>
      </c>
      <c r="SI46" s="76" t="str">
        <f aca="false">IF($I46&gt;0%,IF(AND(SI$16&gt;=$F46,SI$16&lt;$F46+($G46*$I46)),"➤",""),"")</f>
        <v/>
      </c>
      <c r="SJ46" s="76" t="str">
        <f aca="false">IF($I46&gt;0%,IF(AND(SJ$16&gt;=$F46,SJ$16&lt;$F46+($G46*$I46)),"➤",""),"")</f>
        <v/>
      </c>
      <c r="SK46" s="76" t="str">
        <f aca="false">IF($I46&gt;0%,IF(AND(SK$16&gt;=$F46,SK$16&lt;$F46+($G46*$I46)),"➤",""),"")</f>
        <v/>
      </c>
      <c r="SL46" s="76" t="str">
        <f aca="false">IF($I46&gt;0%,IF(AND(SL$16&gt;=$F46,SL$16&lt;$F46+($G46*$I46)),"➤",""),"")</f>
        <v/>
      </c>
      <c r="SM46" s="76" t="str">
        <f aca="false">IF($I46&gt;0%,IF(AND(SM$16&gt;=$F46,SM$16&lt;$F46+($G46*$I46)),"➤",""),"")</f>
        <v/>
      </c>
      <c r="SN46" s="76" t="str">
        <f aca="false">IF($I46&gt;0%,IF(AND(SN$16&gt;=$F46,SN$16&lt;$F46+($G46*$I46)),"➤",""),"")</f>
        <v/>
      </c>
      <c r="SO46" s="76" t="str">
        <f aca="false">IF($I46&gt;0%,IF(AND(SO$16&gt;=$F46,SO$16&lt;$F46+($G46*$I46)),"➤",""),"")</f>
        <v/>
      </c>
      <c r="SP46" s="76" t="str">
        <f aca="false">IF($I46&gt;0%,IF(AND(SP$16&gt;=$F46,SP$16&lt;$F46+($G46*$I46)),"➤",""),"")</f>
        <v/>
      </c>
      <c r="SQ46" s="76" t="str">
        <f aca="false">IF($I46&gt;0%,IF(AND(SQ$16&gt;=$F46,SQ$16&lt;$F46+($G46*$I46)),"➤",""),"")</f>
        <v/>
      </c>
      <c r="SR46" s="76" t="str">
        <f aca="false">IF($I46&gt;0%,IF(AND(SR$16&gt;=$F46,SR$16&lt;$F46+($G46*$I46)),"➤",""),"")</f>
        <v/>
      </c>
      <c r="SS46" s="76" t="str">
        <f aca="false">IF($I46&gt;0%,IF(AND(SS$16&gt;=$F46,SS$16&lt;$F46+($G46*$I46)),"➤",""),"")</f>
        <v/>
      </c>
      <c r="ST46" s="76" t="str">
        <f aca="false">IF($I46&gt;0%,IF(AND(ST$16&gt;=$F46,ST$16&lt;$F46+($G46*$I46)),"➤",""),"")</f>
        <v/>
      </c>
      <c r="SU46" s="76" t="str">
        <f aca="false">IF($I46&gt;0%,IF(AND(SU$16&gt;=$F46,SU$16&lt;$F46+($G46*$I46)),"➤",""),"")</f>
        <v/>
      </c>
      <c r="SV46" s="76" t="str">
        <f aca="false">IF($I46&gt;0%,IF(AND(SV$16&gt;=$F46,SV$16&lt;$F46+($G46*$I46)),"➤",""),"")</f>
        <v/>
      </c>
      <c r="SW46" s="77" t="str">
        <f aca="false">IF($I46&gt;0%,IF(AND(SW$16&gt;=$F46,SW$16&lt;$F46+($G46*$I46)),"➤",""),"")</f>
        <v/>
      </c>
    </row>
    <row r="47" customFormat="false" ht="14.25" hidden="false" customHeight="false" outlineLevel="1" collapsed="false">
      <c r="C47" s="10"/>
      <c r="D47" s="78"/>
      <c r="E47" s="79"/>
      <c r="F47" s="108" t="n">
        <v>44169</v>
      </c>
      <c r="G47" s="109" t="n">
        <v>5</v>
      </c>
      <c r="H47" s="96" t="n">
        <f aca="false">(F47+G47)-1</f>
        <v>44173</v>
      </c>
      <c r="I47" s="98" t="n">
        <v>0</v>
      </c>
      <c r="J47" s="84"/>
      <c r="K47" s="85"/>
      <c r="L47" s="75" t="str">
        <f aca="false">IF($I47&gt;0%,IF(AND(L$16&gt;=$F47,L$16&lt;$F47+($G47*$I47)),"➤",""),"")</f>
        <v/>
      </c>
      <c r="M47" s="76" t="str">
        <f aca="false">IF($I47&gt;0%,IF(AND(M$16&gt;=$F47,M$16&lt;$F47+($G47*$I47)),"➤",""),"")</f>
        <v/>
      </c>
      <c r="N47" s="76" t="str">
        <f aca="false">IF($I47&gt;0%,IF(AND(N$16&gt;=$F47,N$16&lt;$F47+($G47*$I47)),"➤",""),"")</f>
        <v/>
      </c>
      <c r="O47" s="76" t="str">
        <f aca="false">IF($I47&gt;0%,IF(AND(O$16&gt;=$F47,O$16&lt;$F47+($G47*$I47)),"➤",""),"")</f>
        <v/>
      </c>
      <c r="P47" s="76" t="str">
        <f aca="false">IF($I47&gt;0%,IF(AND(P$16&gt;=$F47,P$16&lt;$F47+($G47*$I47)),"➤",""),"")</f>
        <v/>
      </c>
      <c r="Q47" s="76" t="str">
        <f aca="false">IF($I47&gt;0%,IF(AND(Q$16&gt;=$F47,Q$16&lt;$F47+($G47*$I47)),"➤",""),"")</f>
        <v/>
      </c>
      <c r="R47" s="76" t="str">
        <f aca="false">IF($I47&gt;0%,IF(AND(R$16&gt;=$F47,R$16&lt;$F47+($G47*$I47)),"➤",""),"")</f>
        <v/>
      </c>
      <c r="S47" s="76" t="str">
        <f aca="false">IF($I47&gt;0%,IF(AND(S$16&gt;=$F47,S$16&lt;$F47+($G47*$I47)),"➤",""),"")</f>
        <v/>
      </c>
      <c r="T47" s="76" t="str">
        <f aca="false">IF($I47&gt;0%,IF(AND(T$16&gt;=$F47,T$16&lt;$F47+($G47*$I47)),"➤",""),"")</f>
        <v/>
      </c>
      <c r="U47" s="76" t="str">
        <f aca="false">IF($I47&gt;0%,IF(AND(U$16&gt;=$F47,U$16&lt;$F47+($G47*$I47)),"➤",""),"")</f>
        <v/>
      </c>
      <c r="V47" s="76" t="str">
        <f aca="false">IF($I47&gt;0%,IF(AND(V$16&gt;=$F47,V$16&lt;$F47+($G47*$I47)),"➤",""),"")</f>
        <v/>
      </c>
      <c r="W47" s="76" t="str">
        <f aca="false">IF($I47&gt;0%,IF(AND(W$16&gt;=$F47,W$16&lt;$F47+($G47*$I47)),"➤",""),"")</f>
        <v/>
      </c>
      <c r="X47" s="76" t="str">
        <f aca="false">IF($I47&gt;0%,IF(AND(X$16&gt;=$F47,X$16&lt;$F47+($G47*$I47)),"➤",""),"")</f>
        <v/>
      </c>
      <c r="Y47" s="76" t="str">
        <f aca="false">IF($I47&gt;0%,IF(AND(Y$16&gt;=$F47,Y$16&lt;$F47+($G47*$I47)),"➤",""),"")</f>
        <v/>
      </c>
      <c r="Z47" s="76" t="str">
        <f aca="false">IF($I47&gt;0%,IF(AND(Z$16&gt;=$F47,Z$16&lt;$F47+($G47*$I47)),"➤",""),"")</f>
        <v/>
      </c>
      <c r="AA47" s="76" t="str">
        <f aca="false">IF($I47&gt;0%,IF(AND(AA$16&gt;=$F47,AA$16&lt;$F47+($G47*$I47)),"➤",""),"")</f>
        <v/>
      </c>
      <c r="AB47" s="76" t="str">
        <f aca="false">IF($I47&gt;0%,IF(AND(AB$16&gt;=$F47,AB$16&lt;$F47+($G47*$I47)),"➤",""),"")</f>
        <v/>
      </c>
      <c r="AC47" s="76" t="str">
        <f aca="false">IF($I47&gt;0%,IF(AND(AC$16&gt;=$F47,AC$16&lt;$F47+($G47*$I47)),"➤",""),"")</f>
        <v/>
      </c>
      <c r="AD47" s="76" t="str">
        <f aca="false">IF($I47&gt;0%,IF(AND(AD$16&gt;=$F47,AD$16&lt;$F47+($G47*$I47)),"➤",""),"")</f>
        <v/>
      </c>
      <c r="AE47" s="76" t="str">
        <f aca="false">IF($I47&gt;0%,IF(AND(AE$16&gt;=$F47,AE$16&lt;$F47+($G47*$I47)),"➤",""),"")</f>
        <v/>
      </c>
      <c r="AF47" s="76" t="str">
        <f aca="false">IF($I47&gt;0%,IF(AND(AF$16&gt;=$F47,AF$16&lt;$F47+($G47*$I47)),"➤",""),"")</f>
        <v/>
      </c>
      <c r="AG47" s="76" t="str">
        <f aca="false">IF($I47&gt;0%,IF(AND(AG$16&gt;=$F47,AG$16&lt;$F47+($G47*$I47)),"➤",""),"")</f>
        <v/>
      </c>
      <c r="AH47" s="76" t="str">
        <f aca="false">IF($I47&gt;0%,IF(AND(AH$16&gt;=$F47,AH$16&lt;$F47+($G47*$I47)),"➤",""),"")</f>
        <v/>
      </c>
      <c r="AI47" s="76" t="str">
        <f aca="false">IF($I47&gt;0%,IF(AND(AI$16&gt;=$F47,AI$16&lt;$F47+($G47*$I47)),"➤",""),"")</f>
        <v/>
      </c>
      <c r="AJ47" s="76" t="str">
        <f aca="false">IF($I47&gt;0%,IF(AND(AJ$16&gt;=$F47,AJ$16&lt;$F47+($G47*$I47)),"➤",""),"")</f>
        <v/>
      </c>
      <c r="AK47" s="76" t="str">
        <f aca="false">IF($I47&gt;0%,IF(AND(AK$16&gt;=$F47,AK$16&lt;$F47+($G47*$I47)),"➤",""),"")</f>
        <v/>
      </c>
      <c r="AL47" s="76" t="str">
        <f aca="false">IF($I47&gt;0%,IF(AND(AL$16&gt;=$F47,AL$16&lt;$F47+($G47*$I47)),"➤",""),"")</f>
        <v/>
      </c>
      <c r="AM47" s="76" t="str">
        <f aca="false">IF($I47&gt;0%,IF(AND(AM$16&gt;=$F47,AM$16&lt;$F47+($G47*$I47)),"➤",""),"")</f>
        <v/>
      </c>
      <c r="AN47" s="76" t="str">
        <f aca="false">IF($I47&gt;0%,IF(AND(AN$16&gt;=$F47,AN$16&lt;$F47+($G47*$I47)),"➤",""),"")</f>
        <v/>
      </c>
      <c r="AO47" s="76" t="str">
        <f aca="false">IF($I47&gt;0%,IF(AND(AO$16&gt;=$F47,AO$16&lt;$F47+($G47*$I47)),"➤",""),"")</f>
        <v/>
      </c>
      <c r="AP47" s="76" t="str">
        <f aca="false">IF($I47&gt;0%,IF(AND(AP$16&gt;=$F47,AP$16&lt;$F47+($G47*$I47)),"➤",""),"")</f>
        <v/>
      </c>
      <c r="AQ47" s="76" t="str">
        <f aca="false">IF($I47&gt;0%,IF(AND(AQ$16&gt;=$F47,AQ$16&lt;$F47+($G47*$I47)),"➤",""),"")</f>
        <v/>
      </c>
      <c r="AR47" s="76" t="str">
        <f aca="false">IF($I47&gt;0%,IF(AND(AR$16&gt;=$F47,AR$16&lt;$F47+($G47*$I47)),"➤",""),"")</f>
        <v/>
      </c>
      <c r="AS47" s="76" t="str">
        <f aca="false">IF($I47&gt;0%,IF(AND(AS$16&gt;=$F47,AS$16&lt;$F47+($G47*$I47)),"➤",""),"")</f>
        <v/>
      </c>
      <c r="AT47" s="76" t="str">
        <f aca="false">IF($I47&gt;0%,IF(AND(AT$16&gt;=$F47,AT$16&lt;$F47+($G47*$I47)),"➤",""),"")</f>
        <v/>
      </c>
      <c r="AU47" s="76" t="str">
        <f aca="false">IF($I47&gt;0%,IF(AND(AU$16&gt;=$F47,AU$16&lt;$F47+($G47*$I47)),"➤",""),"")</f>
        <v/>
      </c>
      <c r="AV47" s="76" t="str">
        <f aca="false">IF($I47&gt;0%,IF(AND(AV$16&gt;=$F47,AV$16&lt;$F47+($G47*$I47)),"➤",""),"")</f>
        <v/>
      </c>
      <c r="AW47" s="76" t="str">
        <f aca="false">IF($I47&gt;0%,IF(AND(AW$16&gt;=$F47,AW$16&lt;$F47+($G47*$I47)),"➤",""),"")</f>
        <v/>
      </c>
      <c r="AX47" s="76" t="str">
        <f aca="false">IF($I47&gt;0%,IF(AND(AX$16&gt;=$F47,AX$16&lt;$F47+($G47*$I47)),"➤",""),"")</f>
        <v/>
      </c>
      <c r="AY47" s="76" t="str">
        <f aca="false">IF($I47&gt;0%,IF(AND(AY$16&gt;=$F47,AY$16&lt;$F47+($G47*$I47)),"➤",""),"")</f>
        <v/>
      </c>
      <c r="AZ47" s="76" t="str">
        <f aca="false">IF($I47&gt;0%,IF(AND(AZ$16&gt;=$F47,AZ$16&lt;$F47+($G47*$I47)),"➤",""),"")</f>
        <v/>
      </c>
      <c r="BA47" s="76" t="str">
        <f aca="false">IF($I47&gt;0%,IF(AND(BA$16&gt;=$F47,BA$16&lt;$F47+($G47*$I47)),"➤",""),"")</f>
        <v/>
      </c>
      <c r="BB47" s="76" t="str">
        <f aca="false">IF($I47&gt;0%,IF(AND(BB$16&gt;=$F47,BB$16&lt;$F47+($G47*$I47)),"➤",""),"")</f>
        <v/>
      </c>
      <c r="BC47" s="76" t="str">
        <f aca="false">IF($I47&gt;0%,IF(AND(BC$16&gt;=$F47,BC$16&lt;$F47+($G47*$I47)),"➤",""),"")</f>
        <v/>
      </c>
      <c r="BD47" s="76" t="str">
        <f aca="false">IF($I47&gt;0%,IF(AND(BD$16&gt;=$F47,BD$16&lt;$F47+($G47*$I47)),"➤",""),"")</f>
        <v/>
      </c>
      <c r="BE47" s="76" t="str">
        <f aca="false">IF($I47&gt;0%,IF(AND(BE$16&gt;=$F47,BE$16&lt;$F47+($G47*$I47)),"➤",""),"")</f>
        <v/>
      </c>
      <c r="BF47" s="76" t="str">
        <f aca="false">IF($I47&gt;0%,IF(AND(BF$16&gt;=$F47,BF$16&lt;$F47+($G47*$I47)),"➤",""),"")</f>
        <v/>
      </c>
      <c r="BG47" s="76" t="str">
        <f aca="false">IF($I47&gt;0%,IF(AND(BG$16&gt;=$F47,BG$16&lt;$F47+($G47*$I47)),"➤",""),"")</f>
        <v/>
      </c>
      <c r="BH47" s="76" t="str">
        <f aca="false">IF($I47&gt;0%,IF(AND(BH$16&gt;=$F47,BH$16&lt;$F47+($G47*$I47)),"➤",""),"")</f>
        <v/>
      </c>
      <c r="BI47" s="76" t="str">
        <f aca="false">IF($I47&gt;0%,IF(AND(BI$16&gt;=$F47,BI$16&lt;$F47+($G47*$I47)),"➤",""),"")</f>
        <v/>
      </c>
      <c r="BJ47" s="76" t="str">
        <f aca="false">IF($I47&gt;0%,IF(AND(BJ$16&gt;=$F47,BJ$16&lt;$F47+($G47*$I47)),"➤",""),"")</f>
        <v/>
      </c>
      <c r="BK47" s="76" t="str">
        <f aca="false">IF($I47&gt;0%,IF(AND(BK$16&gt;=$F47,BK$16&lt;$F47+($G47*$I47)),"➤",""),"")</f>
        <v/>
      </c>
      <c r="BL47" s="76" t="str">
        <f aca="false">IF($I47&gt;0%,IF(AND(BL$16&gt;=$F47,BL$16&lt;$F47+($G47*$I47)),"➤",""),"")</f>
        <v/>
      </c>
      <c r="BM47" s="76" t="str">
        <f aca="false">IF($I47&gt;0%,IF(AND(BM$16&gt;=$F47,BM$16&lt;$F47+($G47*$I47)),"➤",""),"")</f>
        <v/>
      </c>
      <c r="BN47" s="76" t="str">
        <f aca="false">IF($I47&gt;0%,IF(AND(BN$16&gt;=$F47,BN$16&lt;$F47+($G47*$I47)),"➤",""),"")</f>
        <v/>
      </c>
      <c r="BO47" s="76" t="str">
        <f aca="false">IF($I47&gt;0%,IF(AND(BO$16&gt;=$F47,BO$16&lt;$F47+($G47*$I47)),"➤",""),"")</f>
        <v/>
      </c>
      <c r="BP47" s="76" t="str">
        <f aca="false">IF($I47&gt;0%,IF(AND(BP$16&gt;=$F47,BP$16&lt;$F47+($G47*$I47)),"➤",""),"")</f>
        <v/>
      </c>
      <c r="BQ47" s="76" t="str">
        <f aca="false">IF($I47&gt;0%,IF(AND(BQ$16&gt;=$F47,BQ$16&lt;$F47+($G47*$I47)),"➤",""),"")</f>
        <v/>
      </c>
      <c r="BR47" s="76" t="str">
        <f aca="false">IF($I47&gt;0%,IF(AND(BR$16&gt;=$F47,BR$16&lt;$F47+($G47*$I47)),"➤",""),"")</f>
        <v/>
      </c>
      <c r="BS47" s="76" t="str">
        <f aca="false">IF($I47&gt;0%,IF(AND(BS$16&gt;=$F47,BS$16&lt;$F47+($G47*$I47)),"➤",""),"")</f>
        <v/>
      </c>
      <c r="BT47" s="76" t="str">
        <f aca="false">IF($I47&gt;0%,IF(AND(BT$16&gt;=$F47,BT$16&lt;$F47+($G47*$I47)),"➤",""),"")</f>
        <v/>
      </c>
      <c r="BU47" s="76" t="str">
        <f aca="false">IF($I47&gt;0%,IF(AND(BU$16&gt;=$F47,BU$16&lt;$F47+($G47*$I47)),"➤",""),"")</f>
        <v/>
      </c>
      <c r="BV47" s="76" t="str">
        <f aca="false">IF($I47&gt;0%,IF(AND(BV$16&gt;=$F47,BV$16&lt;$F47+($G47*$I47)),"➤",""),"")</f>
        <v/>
      </c>
      <c r="BW47" s="76" t="str">
        <f aca="false">IF($I47&gt;0%,IF(AND(BW$16&gt;=$F47,BW$16&lt;$F47+($G47*$I47)),"➤",""),"")</f>
        <v/>
      </c>
      <c r="BX47" s="76" t="str">
        <f aca="false">IF($I47&gt;0%,IF(AND(BX$16&gt;=$F47,BX$16&lt;$F47+($G47*$I47)),"➤",""),"")</f>
        <v/>
      </c>
      <c r="BY47" s="76" t="str">
        <f aca="false">IF($I47&gt;0%,IF(AND(BY$16&gt;=$F47,BY$16&lt;$F47+($G47*$I47)),"➤",""),"")</f>
        <v/>
      </c>
      <c r="BZ47" s="76" t="str">
        <f aca="false">IF($I47&gt;0%,IF(AND(BZ$16&gt;=$F47,BZ$16&lt;$F47+($G47*$I47)),"➤",""),"")</f>
        <v/>
      </c>
      <c r="CA47" s="76" t="str">
        <f aca="false">IF($I47&gt;0%,IF(AND(CA$16&gt;=$F47,CA$16&lt;$F47+($G47*$I47)),"➤",""),"")</f>
        <v/>
      </c>
      <c r="CB47" s="76" t="str">
        <f aca="false">IF($I47&gt;0%,IF(AND(CB$16&gt;=$F47,CB$16&lt;$F47+($G47*$I47)),"➤",""),"")</f>
        <v/>
      </c>
      <c r="CC47" s="76" t="str">
        <f aca="false">IF($I47&gt;0%,IF(AND(CC$16&gt;=$F47,CC$16&lt;$F47+($G47*$I47)),"➤",""),"")</f>
        <v/>
      </c>
      <c r="CD47" s="76" t="str">
        <f aca="false">IF($I47&gt;0%,IF(AND(CD$16&gt;=$F47,CD$16&lt;$F47+($G47*$I47)),"➤",""),"")</f>
        <v/>
      </c>
      <c r="CE47" s="76" t="str">
        <f aca="false">IF($I47&gt;0%,IF(AND(CE$16&gt;=$F47,CE$16&lt;$F47+($G47*$I47)),"➤",""),"")</f>
        <v/>
      </c>
      <c r="CF47" s="76" t="str">
        <f aca="false">IF($I47&gt;0%,IF(AND(CF$16&gt;=$F47,CF$16&lt;$F47+($G47*$I47)),"➤",""),"")</f>
        <v/>
      </c>
      <c r="CG47" s="76" t="str">
        <f aca="false">IF($I47&gt;0%,IF(AND(CG$16&gt;=$F47,CG$16&lt;$F47+($G47*$I47)),"➤",""),"")</f>
        <v/>
      </c>
      <c r="CH47" s="76" t="str">
        <f aca="false">IF($I47&gt;0%,IF(AND(CH$16&gt;=$F47,CH$16&lt;$F47+($G47*$I47)),"➤",""),"")</f>
        <v/>
      </c>
      <c r="CI47" s="76" t="str">
        <f aca="false">IF($I47&gt;0%,IF(AND(CI$16&gt;=$F47,CI$16&lt;$F47+($G47*$I47)),"➤",""),"")</f>
        <v/>
      </c>
      <c r="CJ47" s="76" t="str">
        <f aca="false">IF($I47&gt;0%,IF(AND(CJ$16&gt;=$F47,CJ$16&lt;$F47+($G47*$I47)),"➤",""),"")</f>
        <v/>
      </c>
      <c r="CK47" s="76" t="str">
        <f aca="false">IF($I47&gt;0%,IF(AND(CK$16&gt;=$F47,CK$16&lt;$F47+($G47*$I47)),"➤",""),"")</f>
        <v/>
      </c>
      <c r="CL47" s="76" t="str">
        <f aca="false">IF($I47&gt;0%,IF(AND(CL$16&gt;=$F47,CL$16&lt;$F47+($G47*$I47)),"➤",""),"")</f>
        <v/>
      </c>
      <c r="CM47" s="76" t="str">
        <f aca="false">IF($I47&gt;0%,IF(AND(CM$16&gt;=$F47,CM$16&lt;$F47+($G47*$I47)),"➤",""),"")</f>
        <v/>
      </c>
      <c r="CN47" s="76" t="str">
        <f aca="false">IF($I47&gt;0%,IF(AND(CN$16&gt;=$F47,CN$16&lt;$F47+($G47*$I47)),"➤",""),"")</f>
        <v/>
      </c>
      <c r="CO47" s="76" t="str">
        <f aca="false">IF($I47&gt;0%,IF(AND(CO$16&gt;=$F47,CO$16&lt;$F47+($G47*$I47)),"➤",""),"")</f>
        <v/>
      </c>
      <c r="CP47" s="76" t="str">
        <f aca="false">IF($I47&gt;0%,IF(AND(CP$16&gt;=$F47,CP$16&lt;$F47+($G47*$I47)),"➤",""),"")</f>
        <v/>
      </c>
      <c r="CQ47" s="76" t="str">
        <f aca="false">IF($I47&gt;0%,IF(AND(CQ$16&gt;=$F47,CQ$16&lt;$F47+($G47*$I47)),"➤",""),"")</f>
        <v/>
      </c>
      <c r="CR47" s="76" t="str">
        <f aca="false">IF($I47&gt;0%,IF(AND(CR$16&gt;=$F47,CR$16&lt;$F47+($G47*$I47)),"➤",""),"")</f>
        <v/>
      </c>
      <c r="CS47" s="76" t="str">
        <f aca="false">IF($I47&gt;0%,IF(AND(CS$16&gt;=$F47,CS$16&lt;$F47+($G47*$I47)),"➤",""),"")</f>
        <v/>
      </c>
      <c r="CT47" s="76" t="str">
        <f aca="false">IF($I47&gt;0%,IF(AND(CT$16&gt;=$F47,CT$16&lt;$F47+($G47*$I47)),"➤",""),"")</f>
        <v/>
      </c>
      <c r="CU47" s="76" t="str">
        <f aca="false">IF($I47&gt;0%,IF(AND(CU$16&gt;=$F47,CU$16&lt;$F47+($G47*$I47)),"➤",""),"")</f>
        <v/>
      </c>
      <c r="CV47" s="76" t="str">
        <f aca="false">IF($I47&gt;0%,IF(AND(CV$16&gt;=$F47,CV$16&lt;$F47+($G47*$I47)),"➤",""),"")</f>
        <v/>
      </c>
      <c r="CW47" s="76" t="str">
        <f aca="false">IF($I47&gt;0%,IF(AND(CW$16&gt;=$F47,CW$16&lt;$F47+($G47*$I47)),"➤",""),"")</f>
        <v/>
      </c>
      <c r="CX47" s="76" t="str">
        <f aca="false">IF($I47&gt;0%,IF(AND(CX$16&gt;=$F47,CX$16&lt;$F47+($G47*$I47)),"➤",""),"")</f>
        <v/>
      </c>
      <c r="CY47" s="76" t="str">
        <f aca="false">IF($I47&gt;0%,IF(AND(CY$16&gt;=$F47,CY$16&lt;$F47+($G47*$I47)),"➤",""),"")</f>
        <v/>
      </c>
      <c r="CZ47" s="76" t="str">
        <f aca="false">IF($I47&gt;0%,IF(AND(CZ$16&gt;=$F47,CZ$16&lt;$F47+($G47*$I47)),"➤",""),"")</f>
        <v/>
      </c>
      <c r="DA47" s="76" t="str">
        <f aca="false">IF($I47&gt;0%,IF(AND(DA$16&gt;=$F47,DA$16&lt;$F47+($G47*$I47)),"➤",""),"")</f>
        <v/>
      </c>
      <c r="DB47" s="76" t="str">
        <f aca="false">IF($I47&gt;0%,IF(AND(DB$16&gt;=$F47,DB$16&lt;$F47+($G47*$I47)),"➤",""),"")</f>
        <v/>
      </c>
      <c r="DC47" s="76" t="str">
        <f aca="false">IF($I47&gt;0%,IF(AND(DC$16&gt;=$F47,DC$16&lt;$F47+($G47*$I47)),"➤",""),"")</f>
        <v/>
      </c>
      <c r="DD47" s="76" t="str">
        <f aca="false">IF($I47&gt;0%,IF(AND(DD$16&gt;=$F47,DD$16&lt;$F47+($G47*$I47)),"➤",""),"")</f>
        <v/>
      </c>
      <c r="DE47" s="76" t="str">
        <f aca="false">IF($I47&gt;0%,IF(AND(DE$16&gt;=$F47,DE$16&lt;$F47+($G47*$I47)),"➤",""),"")</f>
        <v/>
      </c>
      <c r="DF47" s="76" t="str">
        <f aca="false">IF($I47&gt;0%,IF(AND(DF$16&gt;=$F47,DF$16&lt;$F47+($G47*$I47)),"➤",""),"")</f>
        <v/>
      </c>
      <c r="DG47" s="76" t="str">
        <f aca="false">IF($I47&gt;0%,IF(AND(DG$16&gt;=$F47,DG$16&lt;$F47+($G47*$I47)),"➤",""),"")</f>
        <v/>
      </c>
      <c r="DH47" s="76" t="str">
        <f aca="false">IF($I47&gt;0%,IF(AND(DH$16&gt;=$F47,DH$16&lt;$F47+($G47*$I47)),"➤",""),"")</f>
        <v/>
      </c>
      <c r="DI47" s="76" t="str">
        <f aca="false">IF($I47&gt;0%,IF(AND(DI$16&gt;=$F47,DI$16&lt;$F47+($G47*$I47)),"➤",""),"")</f>
        <v/>
      </c>
      <c r="DJ47" s="76" t="str">
        <f aca="false">IF($I47&gt;0%,IF(AND(DJ$16&gt;=$F47,DJ$16&lt;$F47+($G47*$I47)),"➤",""),"")</f>
        <v/>
      </c>
      <c r="DK47" s="76" t="str">
        <f aca="false">IF($I47&gt;0%,IF(AND(DK$16&gt;=$F47,DK$16&lt;$F47+($G47*$I47)),"➤",""),"")</f>
        <v/>
      </c>
      <c r="DL47" s="76" t="str">
        <f aca="false">IF($I47&gt;0%,IF(AND(DL$16&gt;=$F47,DL$16&lt;$F47+($G47*$I47)),"➤",""),"")</f>
        <v/>
      </c>
      <c r="DM47" s="76" t="str">
        <f aca="false">IF($I47&gt;0%,IF(AND(DM$16&gt;=$F47,DM$16&lt;$F47+($G47*$I47)),"➤",""),"")</f>
        <v/>
      </c>
      <c r="DN47" s="76" t="str">
        <f aca="false">IF($I47&gt;0%,IF(AND(DN$16&gt;=$F47,DN$16&lt;$F47+($G47*$I47)),"➤",""),"")</f>
        <v/>
      </c>
      <c r="DO47" s="76" t="str">
        <f aca="false">IF($I47&gt;0%,IF(AND(DO$16&gt;=$F47,DO$16&lt;$F47+($G47*$I47)),"➤",""),"")</f>
        <v/>
      </c>
      <c r="DP47" s="76" t="str">
        <f aca="false">IF($I47&gt;0%,IF(AND(DP$16&gt;=$F47,DP$16&lt;$F47+($G47*$I47)),"➤",""),"")</f>
        <v/>
      </c>
      <c r="DQ47" s="76" t="str">
        <f aca="false">IF($I47&gt;0%,IF(AND(DQ$16&gt;=$F47,DQ$16&lt;$F47+($G47*$I47)),"➤",""),"")</f>
        <v/>
      </c>
      <c r="DR47" s="76" t="str">
        <f aca="false">IF($I47&gt;0%,IF(AND(DR$16&gt;=$F47,DR$16&lt;$F47+($G47*$I47)),"➤",""),"")</f>
        <v/>
      </c>
      <c r="DS47" s="76" t="str">
        <f aca="false">IF($I47&gt;0%,IF(AND(DS$16&gt;=$F47,DS$16&lt;$F47+($G47*$I47)),"➤",""),"")</f>
        <v/>
      </c>
      <c r="DT47" s="76" t="str">
        <f aca="false">IF($I47&gt;0%,IF(AND(DT$16&gt;=$F47,DT$16&lt;$F47+($G47*$I47)),"➤",""),"")</f>
        <v/>
      </c>
      <c r="DU47" s="76" t="str">
        <f aca="false">IF($I47&gt;0%,IF(AND(DU$16&gt;=$F47,DU$16&lt;$F47+($G47*$I47)),"➤",""),"")</f>
        <v/>
      </c>
      <c r="DV47" s="76" t="str">
        <f aca="false">IF($I47&gt;0%,IF(AND(DV$16&gt;=$F47,DV$16&lt;$F47+($G47*$I47)),"➤",""),"")</f>
        <v/>
      </c>
      <c r="DW47" s="76" t="str">
        <f aca="false">IF($I47&gt;0%,IF(AND(DW$16&gt;=$F47,DW$16&lt;$F47+($G47*$I47)),"➤",""),"")</f>
        <v/>
      </c>
      <c r="DX47" s="76" t="str">
        <f aca="false">IF($I47&gt;0%,IF(AND(DX$16&gt;=$F47,DX$16&lt;$F47+($G47*$I47)),"➤",""),"")</f>
        <v/>
      </c>
      <c r="DY47" s="76" t="str">
        <f aca="false">IF($I47&gt;0%,IF(AND(DY$16&gt;=$F47,DY$16&lt;$F47+($G47*$I47)),"➤",""),"")</f>
        <v/>
      </c>
      <c r="DZ47" s="76" t="str">
        <f aca="false">IF($I47&gt;0%,IF(AND(DZ$16&gt;=$F47,DZ$16&lt;$F47+($G47*$I47)),"➤",""),"")</f>
        <v/>
      </c>
      <c r="EA47" s="76" t="str">
        <f aca="false">IF($I47&gt;0%,IF(AND(EA$16&gt;=$F47,EA$16&lt;$F47+($G47*$I47)),"➤",""),"")</f>
        <v/>
      </c>
      <c r="EB47" s="76" t="str">
        <f aca="false">IF($I47&gt;0%,IF(AND(EB$16&gt;=$F47,EB$16&lt;$F47+($G47*$I47)),"➤",""),"")</f>
        <v/>
      </c>
      <c r="EC47" s="76" t="str">
        <f aca="false">IF($I47&gt;0%,IF(AND(EC$16&gt;=$F47,EC$16&lt;$F47+($G47*$I47)),"➤",""),"")</f>
        <v/>
      </c>
      <c r="ED47" s="76" t="str">
        <f aca="false">IF($I47&gt;0%,IF(AND(ED$16&gt;=$F47,ED$16&lt;$F47+($G47*$I47)),"➤",""),"")</f>
        <v/>
      </c>
      <c r="EE47" s="76" t="str">
        <f aca="false">IF($I47&gt;0%,IF(AND(EE$16&gt;=$F47,EE$16&lt;$F47+($G47*$I47)),"➤",""),"")</f>
        <v/>
      </c>
      <c r="EF47" s="76" t="str">
        <f aca="false">IF($I47&gt;0%,IF(AND(EF$16&gt;=$F47,EF$16&lt;$F47+($G47*$I47)),"➤",""),"")</f>
        <v/>
      </c>
      <c r="EG47" s="76" t="str">
        <f aca="false">IF($I47&gt;0%,IF(AND(EG$16&gt;=$F47,EG$16&lt;$F47+($G47*$I47)),"➤",""),"")</f>
        <v/>
      </c>
      <c r="EH47" s="76" t="str">
        <f aca="false">IF($I47&gt;0%,IF(AND(EH$16&gt;=$F47,EH$16&lt;$F47+($G47*$I47)),"➤",""),"")</f>
        <v/>
      </c>
      <c r="EI47" s="76" t="str">
        <f aca="false">IF($I47&gt;0%,IF(AND(EI$16&gt;=$F47,EI$16&lt;$F47+($G47*$I47)),"➤",""),"")</f>
        <v/>
      </c>
      <c r="EJ47" s="76" t="str">
        <f aca="false">IF($I47&gt;0%,IF(AND(EJ$16&gt;=$F47,EJ$16&lt;$F47+($G47*$I47)),"➤",""),"")</f>
        <v/>
      </c>
      <c r="EK47" s="76" t="str">
        <f aca="false">IF($I47&gt;0%,IF(AND(EK$16&gt;=$F47,EK$16&lt;$F47+($G47*$I47)),"➤",""),"")</f>
        <v/>
      </c>
      <c r="EL47" s="76" t="str">
        <f aca="false">IF($I47&gt;0%,IF(AND(EL$16&gt;=$F47,EL$16&lt;$F47+($G47*$I47)),"➤",""),"")</f>
        <v/>
      </c>
      <c r="EM47" s="76" t="str">
        <f aca="false">IF($I47&gt;0%,IF(AND(EM$16&gt;=$F47,EM$16&lt;$F47+($G47*$I47)),"➤",""),"")</f>
        <v/>
      </c>
      <c r="EN47" s="76" t="str">
        <f aca="false">IF($I47&gt;0%,IF(AND(EN$16&gt;=$F47,EN$16&lt;$F47+($G47*$I47)),"➤",""),"")</f>
        <v/>
      </c>
      <c r="EO47" s="76" t="str">
        <f aca="false">IF($I47&gt;0%,IF(AND(EO$16&gt;=$F47,EO$16&lt;$F47+($G47*$I47)),"➤",""),"")</f>
        <v/>
      </c>
      <c r="EP47" s="76" t="str">
        <f aca="false">IF($I47&gt;0%,IF(AND(EP$16&gt;=$F47,EP$16&lt;$F47+($G47*$I47)),"➤",""),"")</f>
        <v/>
      </c>
      <c r="EQ47" s="76" t="str">
        <f aca="false">IF($I47&gt;0%,IF(AND(EQ$16&gt;=$F47,EQ$16&lt;$F47+($G47*$I47)),"➤",""),"")</f>
        <v/>
      </c>
      <c r="ER47" s="76" t="str">
        <f aca="false">IF($I47&gt;0%,IF(AND(ER$16&gt;=$F47,ER$16&lt;$F47+($G47*$I47)),"➤",""),"")</f>
        <v/>
      </c>
      <c r="ES47" s="76" t="str">
        <f aca="false">IF($I47&gt;0%,IF(AND(ES$16&gt;=$F47,ES$16&lt;$F47+($G47*$I47)),"➤",""),"")</f>
        <v/>
      </c>
      <c r="ET47" s="76" t="str">
        <f aca="false">IF($I47&gt;0%,IF(AND(ET$16&gt;=$F47,ET$16&lt;$F47+($G47*$I47)),"➤",""),"")</f>
        <v/>
      </c>
      <c r="EU47" s="76" t="str">
        <f aca="false">IF($I47&gt;0%,IF(AND(EU$16&gt;=$F47,EU$16&lt;$F47+($G47*$I47)),"➤",""),"")</f>
        <v/>
      </c>
      <c r="EV47" s="76" t="str">
        <f aca="false">IF($I47&gt;0%,IF(AND(EV$16&gt;=$F47,EV$16&lt;$F47+($G47*$I47)),"➤",""),"")</f>
        <v/>
      </c>
      <c r="EW47" s="76" t="str">
        <f aca="false">IF($I47&gt;0%,IF(AND(EW$16&gt;=$F47,EW$16&lt;$F47+($G47*$I47)),"➤",""),"")</f>
        <v/>
      </c>
      <c r="EX47" s="76" t="str">
        <f aca="false">IF($I47&gt;0%,IF(AND(EX$16&gt;=$F47,EX$16&lt;$F47+($G47*$I47)),"➤",""),"")</f>
        <v/>
      </c>
      <c r="EY47" s="76" t="str">
        <f aca="false">IF($I47&gt;0%,IF(AND(EY$16&gt;=$F47,EY$16&lt;$F47+($G47*$I47)),"➤",""),"")</f>
        <v/>
      </c>
      <c r="EZ47" s="76" t="str">
        <f aca="false">IF($I47&gt;0%,IF(AND(EZ$16&gt;=$F47,EZ$16&lt;$F47+($G47*$I47)),"➤",""),"")</f>
        <v/>
      </c>
      <c r="FA47" s="76" t="str">
        <f aca="false">IF($I47&gt;0%,IF(AND(FA$16&gt;=$F47,FA$16&lt;$F47+($G47*$I47)),"➤",""),"")</f>
        <v/>
      </c>
      <c r="FB47" s="76" t="str">
        <f aca="false">IF($I47&gt;0%,IF(AND(FB$16&gt;=$F47,FB$16&lt;$F47+($G47*$I47)),"➤",""),"")</f>
        <v/>
      </c>
      <c r="FC47" s="76" t="str">
        <f aca="false">IF($I47&gt;0%,IF(AND(FC$16&gt;=$F47,FC$16&lt;$F47+($G47*$I47)),"➤",""),"")</f>
        <v/>
      </c>
      <c r="FD47" s="76" t="str">
        <f aca="false">IF($I47&gt;0%,IF(AND(FD$16&gt;=$F47,FD$16&lt;$F47+($G47*$I47)),"➤",""),"")</f>
        <v/>
      </c>
      <c r="FE47" s="76" t="str">
        <f aca="false">IF($I47&gt;0%,IF(AND(FE$16&gt;=$F47,FE$16&lt;$F47+($G47*$I47)),"➤",""),"")</f>
        <v/>
      </c>
      <c r="FF47" s="76" t="str">
        <f aca="false">IF($I47&gt;0%,IF(AND(FF$16&gt;=$F47,FF$16&lt;$F47+($G47*$I47)),"➤",""),"")</f>
        <v/>
      </c>
      <c r="FG47" s="76" t="str">
        <f aca="false">IF($I47&gt;0%,IF(AND(FG$16&gt;=$F47,FG$16&lt;$F47+($G47*$I47)),"➤",""),"")</f>
        <v/>
      </c>
      <c r="FH47" s="76" t="str">
        <f aca="false">IF($I47&gt;0%,IF(AND(FH$16&gt;=$F47,FH$16&lt;$F47+($G47*$I47)),"➤",""),"")</f>
        <v/>
      </c>
      <c r="FI47" s="76" t="str">
        <f aca="false">IF($I47&gt;0%,IF(AND(FI$16&gt;=$F47,FI$16&lt;$F47+($G47*$I47)),"➤",""),"")</f>
        <v/>
      </c>
      <c r="FJ47" s="76" t="str">
        <f aca="false">IF($I47&gt;0%,IF(AND(FJ$16&gt;=$F47,FJ$16&lt;$F47+($G47*$I47)),"➤",""),"")</f>
        <v/>
      </c>
      <c r="FK47" s="76" t="str">
        <f aca="false">IF($I47&gt;0%,IF(AND(FK$16&gt;=$F47,FK$16&lt;$F47+($G47*$I47)),"➤",""),"")</f>
        <v/>
      </c>
      <c r="FL47" s="76" t="str">
        <f aca="false">IF($I47&gt;0%,IF(AND(FL$16&gt;=$F47,FL$16&lt;$F47+($G47*$I47)),"➤",""),"")</f>
        <v/>
      </c>
      <c r="FM47" s="76" t="str">
        <f aca="false">IF($I47&gt;0%,IF(AND(FM$16&gt;=$F47,FM$16&lt;$F47+($G47*$I47)),"➤",""),"")</f>
        <v/>
      </c>
      <c r="FN47" s="76" t="str">
        <f aca="false">IF($I47&gt;0%,IF(AND(FN$16&gt;=$F47,FN$16&lt;$F47+($G47*$I47)),"➤",""),"")</f>
        <v/>
      </c>
      <c r="FO47" s="76" t="str">
        <f aca="false">IF($I47&gt;0%,IF(AND(FO$16&gt;=$F47,FO$16&lt;$F47+($G47*$I47)),"➤",""),"")</f>
        <v/>
      </c>
      <c r="FP47" s="76" t="str">
        <f aca="false">IF($I47&gt;0%,IF(AND(FP$16&gt;=$F47,FP$16&lt;$F47+($G47*$I47)),"➤",""),"")</f>
        <v/>
      </c>
      <c r="FQ47" s="76" t="str">
        <f aca="false">IF($I47&gt;0%,IF(AND(FQ$16&gt;=$F47,FQ$16&lt;$F47+($G47*$I47)),"➤",""),"")</f>
        <v/>
      </c>
      <c r="FR47" s="76" t="str">
        <f aca="false">IF($I47&gt;0%,IF(AND(FR$16&gt;=$F47,FR$16&lt;$F47+($G47*$I47)),"➤",""),"")</f>
        <v/>
      </c>
      <c r="FS47" s="76" t="str">
        <f aca="false">IF($I47&gt;0%,IF(AND(FS$16&gt;=$F47,FS$16&lt;$F47+($G47*$I47)),"➤",""),"")</f>
        <v/>
      </c>
      <c r="FT47" s="76" t="str">
        <f aca="false">IF($I47&gt;0%,IF(AND(FT$16&gt;=$F47,FT$16&lt;$F47+($G47*$I47)),"➤",""),"")</f>
        <v/>
      </c>
      <c r="FU47" s="76" t="str">
        <f aca="false">IF($I47&gt;0%,IF(AND(FU$16&gt;=$F47,FU$16&lt;$F47+($G47*$I47)),"➤",""),"")</f>
        <v/>
      </c>
      <c r="FV47" s="76" t="str">
        <f aca="false">IF($I47&gt;0%,IF(AND(FV$16&gt;=$F47,FV$16&lt;$F47+($G47*$I47)),"➤",""),"")</f>
        <v/>
      </c>
      <c r="FW47" s="76" t="str">
        <f aca="false">IF($I47&gt;0%,IF(AND(FW$16&gt;=$F47,FW$16&lt;$F47+($G47*$I47)),"➤",""),"")</f>
        <v/>
      </c>
      <c r="FX47" s="76" t="str">
        <f aca="false">IF($I47&gt;0%,IF(AND(FX$16&gt;=$F47,FX$16&lt;$F47+($G47*$I47)),"➤",""),"")</f>
        <v/>
      </c>
      <c r="FY47" s="76" t="str">
        <f aca="false">IF($I47&gt;0%,IF(AND(FY$16&gt;=$F47,FY$16&lt;$F47+($G47*$I47)),"➤",""),"")</f>
        <v/>
      </c>
      <c r="FZ47" s="76" t="str">
        <f aca="false">IF($I47&gt;0%,IF(AND(FZ$16&gt;=$F47,FZ$16&lt;$F47+($G47*$I47)),"➤",""),"")</f>
        <v/>
      </c>
      <c r="GA47" s="76" t="str">
        <f aca="false">IF($I47&gt;0%,IF(AND(GA$16&gt;=$F47,GA$16&lt;$F47+($G47*$I47)),"➤",""),"")</f>
        <v/>
      </c>
      <c r="GB47" s="76" t="str">
        <f aca="false">IF($I47&gt;0%,IF(AND(GB$16&gt;=$F47,GB$16&lt;$F47+($G47*$I47)),"➤",""),"")</f>
        <v/>
      </c>
      <c r="GC47" s="76" t="str">
        <f aca="false">IF($I47&gt;0%,IF(AND(GC$16&gt;=$F47,GC$16&lt;$F47+($G47*$I47)),"➤",""),"")</f>
        <v/>
      </c>
      <c r="GD47" s="76" t="str">
        <f aca="false">IF($I47&gt;0%,IF(AND(GD$16&gt;=$F47,GD$16&lt;$F47+($G47*$I47)),"➤",""),"")</f>
        <v/>
      </c>
      <c r="GE47" s="76" t="str">
        <f aca="false">IF($I47&gt;0%,IF(AND(GE$16&gt;=$F47,GE$16&lt;$F47+($G47*$I47)),"➤",""),"")</f>
        <v/>
      </c>
      <c r="GF47" s="76" t="str">
        <f aca="false">IF($I47&gt;0%,IF(AND(GF$16&gt;=$F47,GF$16&lt;$F47+($G47*$I47)),"➤",""),"")</f>
        <v/>
      </c>
      <c r="GG47" s="76" t="str">
        <f aca="false">IF($I47&gt;0%,IF(AND(GG$16&gt;=$F47,GG$16&lt;$F47+($G47*$I47)),"➤",""),"")</f>
        <v/>
      </c>
      <c r="GH47" s="76" t="str">
        <f aca="false">IF($I47&gt;0%,IF(AND(GH$16&gt;=$F47,GH$16&lt;$F47+($G47*$I47)),"➤",""),"")</f>
        <v/>
      </c>
      <c r="GI47" s="76" t="str">
        <f aca="false">IF($I47&gt;0%,IF(AND(GI$16&gt;=$F47,GI$16&lt;$F47+($G47*$I47)),"➤",""),"")</f>
        <v/>
      </c>
      <c r="GJ47" s="76" t="str">
        <f aca="false">IF($I47&gt;0%,IF(AND(GJ$16&gt;=$F47,GJ$16&lt;$F47+($G47*$I47)),"➤",""),"")</f>
        <v/>
      </c>
      <c r="GK47" s="76" t="str">
        <f aca="false">IF($I47&gt;0%,IF(AND(GK$16&gt;=$F47,GK$16&lt;$F47+($G47*$I47)),"➤",""),"")</f>
        <v/>
      </c>
      <c r="GL47" s="76" t="str">
        <f aca="false">IF($I47&gt;0%,IF(AND(GL$16&gt;=$F47,GL$16&lt;$F47+($G47*$I47)),"➤",""),"")</f>
        <v/>
      </c>
      <c r="GM47" s="76" t="str">
        <f aca="false">IF($I47&gt;0%,IF(AND(GM$16&gt;=$F47,GM$16&lt;$F47+($G47*$I47)),"➤",""),"")</f>
        <v/>
      </c>
      <c r="GN47" s="76" t="str">
        <f aca="false">IF($I47&gt;0%,IF(AND(GN$16&gt;=$F47,GN$16&lt;$F47+($G47*$I47)),"➤",""),"")</f>
        <v/>
      </c>
      <c r="GO47" s="76" t="str">
        <f aca="false">IF($I47&gt;0%,IF(AND(GO$16&gt;=$F47,GO$16&lt;$F47+($G47*$I47)),"➤",""),"")</f>
        <v/>
      </c>
      <c r="GP47" s="76" t="str">
        <f aca="false">IF($I47&gt;0%,IF(AND(GP$16&gt;=$F47,GP$16&lt;$F47+($G47*$I47)),"➤",""),"")</f>
        <v/>
      </c>
      <c r="GQ47" s="76" t="str">
        <f aca="false">IF($I47&gt;0%,IF(AND(GQ$16&gt;=$F47,GQ$16&lt;$F47+($G47*$I47)),"➤",""),"")</f>
        <v/>
      </c>
      <c r="GR47" s="76" t="str">
        <f aca="false">IF($I47&gt;0%,IF(AND(GR$16&gt;=$F47,GR$16&lt;$F47+($G47*$I47)),"➤",""),"")</f>
        <v/>
      </c>
      <c r="GS47" s="76" t="str">
        <f aca="false">IF($I47&gt;0%,IF(AND(GS$16&gt;=$F47,GS$16&lt;$F47+($G47*$I47)),"➤",""),"")</f>
        <v/>
      </c>
      <c r="GT47" s="76" t="str">
        <f aca="false">IF($I47&gt;0%,IF(AND(GT$16&gt;=$F47,GT$16&lt;$F47+($G47*$I47)),"➤",""),"")</f>
        <v/>
      </c>
      <c r="GU47" s="76" t="str">
        <f aca="false">IF($I47&gt;0%,IF(AND(GU$16&gt;=$F47,GU$16&lt;$F47+($G47*$I47)),"➤",""),"")</f>
        <v/>
      </c>
      <c r="GV47" s="76" t="str">
        <f aca="false">IF($I47&gt;0%,IF(AND(GV$16&gt;=$F47,GV$16&lt;$F47+($G47*$I47)),"➤",""),"")</f>
        <v/>
      </c>
      <c r="GW47" s="76" t="str">
        <f aca="false">IF($I47&gt;0%,IF(AND(GW$16&gt;=$F47,GW$16&lt;$F47+($G47*$I47)),"➤",""),"")</f>
        <v/>
      </c>
      <c r="GX47" s="76" t="str">
        <f aca="false">IF($I47&gt;0%,IF(AND(GX$16&gt;=$F47,GX$16&lt;$F47+($G47*$I47)),"➤",""),"")</f>
        <v/>
      </c>
      <c r="GY47" s="76" t="str">
        <f aca="false">IF($I47&gt;0%,IF(AND(GY$16&gt;=$F47,GY$16&lt;$F47+($G47*$I47)),"➤",""),"")</f>
        <v/>
      </c>
      <c r="GZ47" s="76" t="str">
        <f aca="false">IF($I47&gt;0%,IF(AND(GZ$16&gt;=$F47,GZ$16&lt;$F47+($G47*$I47)),"➤",""),"")</f>
        <v/>
      </c>
      <c r="HA47" s="76" t="str">
        <f aca="false">IF($I47&gt;0%,IF(AND(HA$16&gt;=$F47,HA$16&lt;$F47+($G47*$I47)),"➤",""),"")</f>
        <v/>
      </c>
      <c r="HB47" s="76" t="str">
        <f aca="false">IF($I47&gt;0%,IF(AND(HB$16&gt;=$F47,HB$16&lt;$F47+($G47*$I47)),"➤",""),"")</f>
        <v/>
      </c>
      <c r="HC47" s="76" t="str">
        <f aca="false">IF($I47&gt;0%,IF(AND(HC$16&gt;=$F47,HC$16&lt;$F47+($G47*$I47)),"➤",""),"")</f>
        <v/>
      </c>
      <c r="HD47" s="76" t="str">
        <f aca="false">IF($I47&gt;0%,IF(AND(HD$16&gt;=$F47,HD$16&lt;$F47+($G47*$I47)),"➤",""),"")</f>
        <v/>
      </c>
      <c r="HE47" s="76" t="str">
        <f aca="false">IF($I47&gt;0%,IF(AND(HE$16&gt;=$F47,HE$16&lt;$F47+($G47*$I47)),"➤",""),"")</f>
        <v/>
      </c>
      <c r="HF47" s="76" t="str">
        <f aca="false">IF($I47&gt;0%,IF(AND(HF$16&gt;=$F47,HF$16&lt;$F47+($G47*$I47)),"➤",""),"")</f>
        <v/>
      </c>
      <c r="HG47" s="76" t="str">
        <f aca="false">IF($I47&gt;0%,IF(AND(HG$16&gt;=$F47,HG$16&lt;$F47+($G47*$I47)),"➤",""),"")</f>
        <v/>
      </c>
      <c r="HH47" s="76" t="str">
        <f aca="false">IF($I47&gt;0%,IF(AND(HH$16&gt;=$F47,HH$16&lt;$F47+($G47*$I47)),"➤",""),"")</f>
        <v/>
      </c>
      <c r="HI47" s="76" t="str">
        <f aca="false">IF($I47&gt;0%,IF(AND(HI$16&gt;=$F47,HI$16&lt;$F47+($G47*$I47)),"➤",""),"")</f>
        <v/>
      </c>
      <c r="HJ47" s="76" t="str">
        <f aca="false">IF($I47&gt;0%,IF(AND(HJ$16&gt;=$F47,HJ$16&lt;$F47+($G47*$I47)),"➤",""),"")</f>
        <v/>
      </c>
      <c r="HK47" s="76" t="str">
        <f aca="false">IF($I47&gt;0%,IF(AND(HK$16&gt;=$F47,HK$16&lt;$F47+($G47*$I47)),"➤",""),"")</f>
        <v/>
      </c>
      <c r="HL47" s="76" t="str">
        <f aca="false">IF($I47&gt;0%,IF(AND(HL$16&gt;=$F47,HL$16&lt;$F47+($G47*$I47)),"➤",""),"")</f>
        <v/>
      </c>
      <c r="HM47" s="76" t="str">
        <f aca="false">IF($I47&gt;0%,IF(AND(HM$16&gt;=$F47,HM$16&lt;$F47+($G47*$I47)),"➤",""),"")</f>
        <v/>
      </c>
      <c r="HN47" s="76" t="str">
        <f aca="false">IF($I47&gt;0%,IF(AND(HN$16&gt;=$F47,HN$16&lt;$F47+($G47*$I47)),"➤",""),"")</f>
        <v/>
      </c>
      <c r="HO47" s="76" t="str">
        <f aca="false">IF($I47&gt;0%,IF(AND(HO$16&gt;=$F47,HO$16&lt;$F47+($G47*$I47)),"➤",""),"")</f>
        <v/>
      </c>
      <c r="HP47" s="76" t="str">
        <f aca="false">IF($I47&gt;0%,IF(AND(HP$16&gt;=$F47,HP$16&lt;$F47+($G47*$I47)),"➤",""),"")</f>
        <v/>
      </c>
      <c r="HQ47" s="76" t="str">
        <f aca="false">IF($I47&gt;0%,IF(AND(HQ$16&gt;=$F47,HQ$16&lt;$F47+($G47*$I47)),"➤",""),"")</f>
        <v/>
      </c>
      <c r="HR47" s="76" t="str">
        <f aca="false">IF($I47&gt;0%,IF(AND(HR$16&gt;=$F47,HR$16&lt;$F47+($G47*$I47)),"➤",""),"")</f>
        <v/>
      </c>
      <c r="HS47" s="76" t="str">
        <f aca="false">IF($I47&gt;0%,IF(AND(HS$16&gt;=$F47,HS$16&lt;$F47+($G47*$I47)),"➤",""),"")</f>
        <v/>
      </c>
      <c r="HT47" s="76" t="str">
        <f aca="false">IF($I47&gt;0%,IF(AND(HT$16&gt;=$F47,HT$16&lt;$F47+($G47*$I47)),"➤",""),"")</f>
        <v/>
      </c>
      <c r="HU47" s="76" t="str">
        <f aca="false">IF($I47&gt;0%,IF(AND(HU$16&gt;=$F47,HU$16&lt;$F47+($G47*$I47)),"➤",""),"")</f>
        <v/>
      </c>
      <c r="HV47" s="76" t="str">
        <f aca="false">IF($I47&gt;0%,IF(AND(HV$16&gt;=$F47,HV$16&lt;$F47+($G47*$I47)),"➤",""),"")</f>
        <v/>
      </c>
      <c r="HW47" s="76" t="str">
        <f aca="false">IF($I47&gt;0%,IF(AND(HW$16&gt;=$F47,HW$16&lt;$F47+($G47*$I47)),"➤",""),"")</f>
        <v/>
      </c>
      <c r="HX47" s="76" t="str">
        <f aca="false">IF($I47&gt;0%,IF(AND(HX$16&gt;=$F47,HX$16&lt;$F47+($G47*$I47)),"➤",""),"")</f>
        <v/>
      </c>
      <c r="HY47" s="76" t="str">
        <f aca="false">IF($I47&gt;0%,IF(AND(HY$16&gt;=$F47,HY$16&lt;$F47+($G47*$I47)),"➤",""),"")</f>
        <v/>
      </c>
      <c r="HZ47" s="76" t="str">
        <f aca="false">IF($I47&gt;0%,IF(AND(HZ$16&gt;=$F47,HZ$16&lt;$F47+($G47*$I47)),"➤",""),"")</f>
        <v/>
      </c>
      <c r="IA47" s="76" t="str">
        <f aca="false">IF($I47&gt;0%,IF(AND(IA$16&gt;=$F47,IA$16&lt;$F47+($G47*$I47)),"➤",""),"")</f>
        <v/>
      </c>
      <c r="IB47" s="76" t="str">
        <f aca="false">IF($I47&gt;0%,IF(AND(IB$16&gt;=$F47,IB$16&lt;$F47+($G47*$I47)),"➤",""),"")</f>
        <v/>
      </c>
      <c r="IC47" s="76" t="str">
        <f aca="false">IF($I47&gt;0%,IF(AND(IC$16&gt;=$F47,IC$16&lt;$F47+($G47*$I47)),"➤",""),"")</f>
        <v/>
      </c>
      <c r="ID47" s="76" t="str">
        <f aca="false">IF($I47&gt;0%,IF(AND(ID$16&gt;=$F47,ID$16&lt;$F47+($G47*$I47)),"➤",""),"")</f>
        <v/>
      </c>
      <c r="IE47" s="76" t="str">
        <f aca="false">IF($I47&gt;0%,IF(AND(IE$16&gt;=$F47,IE$16&lt;$F47+($G47*$I47)),"➤",""),"")</f>
        <v/>
      </c>
      <c r="IF47" s="76" t="str">
        <f aca="false">IF($I47&gt;0%,IF(AND(IF$16&gt;=$F47,IF$16&lt;$F47+($G47*$I47)),"➤",""),"")</f>
        <v/>
      </c>
      <c r="IG47" s="76" t="str">
        <f aca="false">IF($I47&gt;0%,IF(AND(IG$16&gt;=$F47,IG$16&lt;$F47+($G47*$I47)),"➤",""),"")</f>
        <v/>
      </c>
      <c r="IH47" s="76" t="str">
        <f aca="false">IF($I47&gt;0%,IF(AND(IH$16&gt;=$F47,IH$16&lt;$F47+($G47*$I47)),"➤",""),"")</f>
        <v/>
      </c>
      <c r="II47" s="76" t="str">
        <f aca="false">IF($I47&gt;0%,IF(AND(II$16&gt;=$F47,II$16&lt;$F47+($G47*$I47)),"➤",""),"")</f>
        <v/>
      </c>
      <c r="IJ47" s="76" t="str">
        <f aca="false">IF($I47&gt;0%,IF(AND(IJ$16&gt;=$F47,IJ$16&lt;$F47+($G47*$I47)),"➤",""),"")</f>
        <v/>
      </c>
      <c r="IK47" s="76" t="str">
        <f aca="false">IF($I47&gt;0%,IF(AND(IK$16&gt;=$F47,IK$16&lt;$F47+($G47*$I47)),"➤",""),"")</f>
        <v/>
      </c>
      <c r="IL47" s="76" t="str">
        <f aca="false">IF($I47&gt;0%,IF(AND(IL$16&gt;=$F47,IL$16&lt;$F47+($G47*$I47)),"➤",""),"")</f>
        <v/>
      </c>
      <c r="IM47" s="76" t="str">
        <f aca="false">IF($I47&gt;0%,IF(AND(IM$16&gt;=$F47,IM$16&lt;$F47+($G47*$I47)),"➤",""),"")</f>
        <v/>
      </c>
      <c r="IN47" s="76" t="str">
        <f aca="false">IF($I47&gt;0%,IF(AND(IN$16&gt;=$F47,IN$16&lt;$F47+($G47*$I47)),"➤",""),"")</f>
        <v/>
      </c>
      <c r="IO47" s="76" t="str">
        <f aca="false">IF($I47&gt;0%,IF(AND(IO$16&gt;=$F47,IO$16&lt;$F47+($G47*$I47)),"➤",""),"")</f>
        <v/>
      </c>
      <c r="IP47" s="76" t="str">
        <f aca="false">IF($I47&gt;0%,IF(AND(IP$16&gt;=$F47,IP$16&lt;$F47+($G47*$I47)),"➤",""),"")</f>
        <v/>
      </c>
      <c r="IQ47" s="76" t="str">
        <f aca="false">IF($I47&gt;0%,IF(AND(IQ$16&gt;=$F47,IQ$16&lt;$F47+($G47*$I47)),"➤",""),"")</f>
        <v/>
      </c>
      <c r="IR47" s="76" t="str">
        <f aca="false">IF($I47&gt;0%,IF(AND(IR$16&gt;=$F47,IR$16&lt;$F47+($G47*$I47)),"➤",""),"")</f>
        <v/>
      </c>
      <c r="IS47" s="76" t="str">
        <f aca="false">IF($I47&gt;0%,IF(AND(IS$16&gt;=$F47,IS$16&lt;$F47+($G47*$I47)),"➤",""),"")</f>
        <v/>
      </c>
      <c r="IT47" s="76" t="str">
        <f aca="false">IF($I47&gt;0%,IF(AND(IT$16&gt;=$F47,IT$16&lt;$F47+($G47*$I47)),"➤",""),"")</f>
        <v/>
      </c>
      <c r="IU47" s="76" t="str">
        <f aca="false">IF($I47&gt;0%,IF(AND(IU$16&gt;=$F47,IU$16&lt;$F47+($G47*$I47)),"➤",""),"")</f>
        <v/>
      </c>
      <c r="IV47" s="76" t="str">
        <f aca="false">IF($I47&gt;0%,IF(AND(IV$16&gt;=$F47,IV$16&lt;$F47+($G47*$I47)),"➤",""),"")</f>
        <v/>
      </c>
      <c r="IW47" s="76" t="str">
        <f aca="false">IF($I47&gt;0%,IF(AND(IW$16&gt;=$F47,IW$16&lt;$F47+($G47*$I47)),"➤",""),"")</f>
        <v/>
      </c>
      <c r="IX47" s="76" t="str">
        <f aca="false">IF($I47&gt;0%,IF(AND(IX$16&gt;=$F47,IX$16&lt;$F47+($G47*$I47)),"➤",""),"")</f>
        <v/>
      </c>
      <c r="IY47" s="76" t="str">
        <f aca="false">IF($I47&gt;0%,IF(AND(IY$16&gt;=$F47,IY$16&lt;$F47+($G47*$I47)),"➤",""),"")</f>
        <v/>
      </c>
      <c r="IZ47" s="76" t="str">
        <f aca="false">IF($I47&gt;0%,IF(AND(IZ$16&gt;=$F47,IZ$16&lt;$F47+($G47*$I47)),"➤",""),"")</f>
        <v/>
      </c>
      <c r="JA47" s="76" t="str">
        <f aca="false">IF($I47&gt;0%,IF(AND(JA$16&gt;=$F47,JA$16&lt;$F47+($G47*$I47)),"➤",""),"")</f>
        <v/>
      </c>
      <c r="JB47" s="76" t="str">
        <f aca="false">IF($I47&gt;0%,IF(AND(JB$16&gt;=$F47,JB$16&lt;$F47+($G47*$I47)),"➤",""),"")</f>
        <v/>
      </c>
      <c r="JC47" s="76" t="str">
        <f aca="false">IF($I47&gt;0%,IF(AND(JC$16&gt;=$F47,JC$16&lt;$F47+($G47*$I47)),"➤",""),"")</f>
        <v/>
      </c>
      <c r="JD47" s="76" t="str">
        <f aca="false">IF($I47&gt;0%,IF(AND(JD$16&gt;=$F47,JD$16&lt;$F47+($G47*$I47)),"➤",""),"")</f>
        <v/>
      </c>
      <c r="JE47" s="76" t="str">
        <f aca="false">IF($I47&gt;0%,IF(AND(JE$16&gt;=$F47,JE$16&lt;$F47+($G47*$I47)),"➤",""),"")</f>
        <v/>
      </c>
      <c r="JF47" s="76" t="str">
        <f aca="false">IF($I47&gt;0%,IF(AND(JF$16&gt;=$F47,JF$16&lt;$F47+($G47*$I47)),"➤",""),"")</f>
        <v/>
      </c>
      <c r="JG47" s="76" t="str">
        <f aca="false">IF($I47&gt;0%,IF(AND(JG$16&gt;=$F47,JG$16&lt;$F47+($G47*$I47)),"➤",""),"")</f>
        <v/>
      </c>
      <c r="JH47" s="76" t="str">
        <f aca="false">IF($I47&gt;0%,IF(AND(JH$16&gt;=$F47,JH$16&lt;$F47+($G47*$I47)),"➤",""),"")</f>
        <v/>
      </c>
      <c r="JI47" s="76" t="str">
        <f aca="false">IF($I47&gt;0%,IF(AND(JI$16&gt;=$F47,JI$16&lt;$F47+($G47*$I47)),"➤",""),"")</f>
        <v/>
      </c>
      <c r="JJ47" s="76" t="str">
        <f aca="false">IF($I47&gt;0%,IF(AND(JJ$16&gt;=$F47,JJ$16&lt;$F47+($G47*$I47)),"➤",""),"")</f>
        <v/>
      </c>
      <c r="JK47" s="76" t="str">
        <f aca="false">IF($I47&gt;0%,IF(AND(JK$16&gt;=$F47,JK$16&lt;$F47+($G47*$I47)),"➤",""),"")</f>
        <v/>
      </c>
      <c r="JL47" s="76" t="str">
        <f aca="false">IF($I47&gt;0%,IF(AND(JL$16&gt;=$F47,JL$16&lt;$F47+($G47*$I47)),"➤",""),"")</f>
        <v/>
      </c>
      <c r="JM47" s="76" t="str">
        <f aca="false">IF($I47&gt;0%,IF(AND(JM$16&gt;=$F47,JM$16&lt;$F47+($G47*$I47)),"➤",""),"")</f>
        <v/>
      </c>
      <c r="JN47" s="76" t="str">
        <f aca="false">IF($I47&gt;0%,IF(AND(JN$16&gt;=$F47,JN$16&lt;$F47+($G47*$I47)),"➤",""),"")</f>
        <v/>
      </c>
      <c r="JO47" s="76" t="str">
        <f aca="false">IF($I47&gt;0%,IF(AND(JO$16&gt;=$F47,JO$16&lt;$F47+($G47*$I47)),"➤",""),"")</f>
        <v/>
      </c>
      <c r="JP47" s="76" t="str">
        <f aca="false">IF($I47&gt;0%,IF(AND(JP$16&gt;=$F47,JP$16&lt;$F47+($G47*$I47)),"➤",""),"")</f>
        <v/>
      </c>
      <c r="JQ47" s="76" t="str">
        <f aca="false">IF($I47&gt;0%,IF(AND(JQ$16&gt;=$F47,JQ$16&lt;$F47+($G47*$I47)),"➤",""),"")</f>
        <v/>
      </c>
      <c r="JR47" s="76" t="str">
        <f aca="false">IF($I47&gt;0%,IF(AND(JR$16&gt;=$F47,JR$16&lt;$F47+($G47*$I47)),"➤",""),"")</f>
        <v/>
      </c>
      <c r="JS47" s="76" t="str">
        <f aca="false">IF($I47&gt;0%,IF(AND(JS$16&gt;=$F47,JS$16&lt;$F47+($G47*$I47)),"➤",""),"")</f>
        <v/>
      </c>
      <c r="JT47" s="76" t="str">
        <f aca="false">IF($I47&gt;0%,IF(AND(JT$16&gt;=$F47,JT$16&lt;$F47+($G47*$I47)),"➤",""),"")</f>
        <v/>
      </c>
      <c r="JU47" s="76" t="str">
        <f aca="false">IF($I47&gt;0%,IF(AND(JU$16&gt;=$F47,JU$16&lt;$F47+($G47*$I47)),"➤",""),"")</f>
        <v/>
      </c>
      <c r="JV47" s="76" t="str">
        <f aca="false">IF($I47&gt;0%,IF(AND(JV$16&gt;=$F47,JV$16&lt;$F47+($G47*$I47)),"➤",""),"")</f>
        <v/>
      </c>
      <c r="JW47" s="76" t="str">
        <f aca="false">IF($I47&gt;0%,IF(AND(JW$16&gt;=$F47,JW$16&lt;$F47+($G47*$I47)),"➤",""),"")</f>
        <v/>
      </c>
      <c r="JX47" s="76" t="str">
        <f aca="false">IF($I47&gt;0%,IF(AND(JX$16&gt;=$F47,JX$16&lt;$F47+($G47*$I47)),"➤",""),"")</f>
        <v/>
      </c>
      <c r="JY47" s="76" t="str">
        <f aca="false">IF($I47&gt;0%,IF(AND(JY$16&gt;=$F47,JY$16&lt;$F47+($G47*$I47)),"➤",""),"")</f>
        <v/>
      </c>
      <c r="JZ47" s="76" t="str">
        <f aca="false">IF($I47&gt;0%,IF(AND(JZ$16&gt;=$F47,JZ$16&lt;$F47+($G47*$I47)),"➤",""),"")</f>
        <v/>
      </c>
      <c r="KA47" s="76" t="str">
        <f aca="false">IF($I47&gt;0%,IF(AND(KA$16&gt;=$F47,KA$16&lt;$F47+($G47*$I47)),"➤",""),"")</f>
        <v/>
      </c>
      <c r="KB47" s="76" t="str">
        <f aca="false">IF($I47&gt;0%,IF(AND(KB$16&gt;=$F47,KB$16&lt;$F47+($G47*$I47)),"➤",""),"")</f>
        <v/>
      </c>
      <c r="KC47" s="76" t="str">
        <f aca="false">IF($I47&gt;0%,IF(AND(KC$16&gt;=$F47,KC$16&lt;$F47+($G47*$I47)),"➤",""),"")</f>
        <v/>
      </c>
      <c r="KD47" s="76" t="str">
        <f aca="false">IF($I47&gt;0%,IF(AND(KD$16&gt;=$F47,KD$16&lt;$F47+($G47*$I47)),"➤",""),"")</f>
        <v/>
      </c>
      <c r="KE47" s="76" t="str">
        <f aca="false">IF($I47&gt;0%,IF(AND(KE$16&gt;=$F47,KE$16&lt;$F47+($G47*$I47)),"➤",""),"")</f>
        <v/>
      </c>
      <c r="KF47" s="76" t="str">
        <f aca="false">IF($I47&gt;0%,IF(AND(KF$16&gt;=$F47,KF$16&lt;$F47+($G47*$I47)),"➤",""),"")</f>
        <v/>
      </c>
      <c r="KG47" s="76" t="str">
        <f aca="false">IF($I47&gt;0%,IF(AND(KG$16&gt;=$F47,KG$16&lt;$F47+($G47*$I47)),"➤",""),"")</f>
        <v/>
      </c>
      <c r="KH47" s="76" t="str">
        <f aca="false">IF($I47&gt;0%,IF(AND(KH$16&gt;=$F47,KH$16&lt;$F47+($G47*$I47)),"➤",""),"")</f>
        <v/>
      </c>
      <c r="KI47" s="76" t="str">
        <f aca="false">IF($I47&gt;0%,IF(AND(KI$16&gt;=$F47,KI$16&lt;$F47+($G47*$I47)),"➤",""),"")</f>
        <v/>
      </c>
      <c r="KJ47" s="76" t="str">
        <f aca="false">IF($I47&gt;0%,IF(AND(KJ$16&gt;=$F47,KJ$16&lt;$F47+($G47*$I47)),"➤",""),"")</f>
        <v/>
      </c>
      <c r="KK47" s="76" t="str">
        <f aca="false">IF($I47&gt;0%,IF(AND(KK$16&gt;=$F47,KK$16&lt;$F47+($G47*$I47)),"➤",""),"")</f>
        <v/>
      </c>
      <c r="KL47" s="76" t="str">
        <f aca="false">IF($I47&gt;0%,IF(AND(KL$16&gt;=$F47,KL$16&lt;$F47+($G47*$I47)),"➤",""),"")</f>
        <v/>
      </c>
      <c r="KM47" s="76" t="str">
        <f aca="false">IF($I47&gt;0%,IF(AND(KM$16&gt;=$F47,KM$16&lt;$F47+($G47*$I47)),"➤",""),"")</f>
        <v/>
      </c>
      <c r="KN47" s="76" t="str">
        <f aca="false">IF($I47&gt;0%,IF(AND(KN$16&gt;=$F47,KN$16&lt;$F47+($G47*$I47)),"➤",""),"")</f>
        <v/>
      </c>
      <c r="KO47" s="76" t="str">
        <f aca="false">IF($I47&gt;0%,IF(AND(KO$16&gt;=$F47,KO$16&lt;$F47+($G47*$I47)),"➤",""),"")</f>
        <v/>
      </c>
      <c r="KP47" s="76" t="str">
        <f aca="false">IF($I47&gt;0%,IF(AND(KP$16&gt;=$F47,KP$16&lt;$F47+($G47*$I47)),"➤",""),"")</f>
        <v/>
      </c>
      <c r="KQ47" s="76" t="str">
        <f aca="false">IF($I47&gt;0%,IF(AND(KQ$16&gt;=$F47,KQ$16&lt;$F47+($G47*$I47)),"➤",""),"")</f>
        <v/>
      </c>
      <c r="KR47" s="76" t="str">
        <f aca="false">IF($I47&gt;0%,IF(AND(KR$16&gt;=$F47,KR$16&lt;$F47+($G47*$I47)),"➤",""),"")</f>
        <v/>
      </c>
      <c r="KS47" s="76" t="str">
        <f aca="false">IF($I47&gt;0%,IF(AND(KS$16&gt;=$F47,KS$16&lt;$F47+($G47*$I47)),"➤",""),"")</f>
        <v/>
      </c>
      <c r="KT47" s="76" t="str">
        <f aca="false">IF($I47&gt;0%,IF(AND(KT$16&gt;=$F47,KT$16&lt;$F47+($G47*$I47)),"➤",""),"")</f>
        <v/>
      </c>
      <c r="KU47" s="76" t="str">
        <f aca="false">IF($I47&gt;0%,IF(AND(KU$16&gt;=$F47,KU$16&lt;$F47+($G47*$I47)),"➤",""),"")</f>
        <v/>
      </c>
      <c r="KV47" s="76" t="str">
        <f aca="false">IF($I47&gt;0%,IF(AND(KV$16&gt;=$F47,KV$16&lt;$F47+($G47*$I47)),"➤",""),"")</f>
        <v/>
      </c>
      <c r="KW47" s="76" t="str">
        <f aca="false">IF($I47&gt;0%,IF(AND(KW$16&gt;=$F47,KW$16&lt;$F47+($G47*$I47)),"➤",""),"")</f>
        <v/>
      </c>
      <c r="KX47" s="76" t="str">
        <f aca="false">IF($I47&gt;0%,IF(AND(KX$16&gt;=$F47,KX$16&lt;$F47+($G47*$I47)),"➤",""),"")</f>
        <v/>
      </c>
      <c r="KY47" s="76" t="str">
        <f aca="false">IF($I47&gt;0%,IF(AND(KY$16&gt;=$F47,KY$16&lt;$F47+($G47*$I47)),"➤",""),"")</f>
        <v/>
      </c>
      <c r="KZ47" s="76" t="str">
        <f aca="false">IF($I47&gt;0%,IF(AND(KZ$16&gt;=$F47,KZ$16&lt;$F47+($G47*$I47)),"➤",""),"")</f>
        <v/>
      </c>
      <c r="LA47" s="76" t="str">
        <f aca="false">IF($I47&gt;0%,IF(AND(LA$16&gt;=$F47,LA$16&lt;$F47+($G47*$I47)),"➤",""),"")</f>
        <v/>
      </c>
      <c r="LB47" s="76" t="str">
        <f aca="false">IF($I47&gt;0%,IF(AND(LB$16&gt;=$F47,LB$16&lt;$F47+($G47*$I47)),"➤",""),"")</f>
        <v/>
      </c>
      <c r="LC47" s="76" t="str">
        <f aca="false">IF($I47&gt;0%,IF(AND(LC$16&gt;=$F47,LC$16&lt;$F47+($G47*$I47)),"➤",""),"")</f>
        <v/>
      </c>
      <c r="LD47" s="76" t="str">
        <f aca="false">IF($I47&gt;0%,IF(AND(LD$16&gt;=$F47,LD$16&lt;$F47+($G47*$I47)),"➤",""),"")</f>
        <v/>
      </c>
      <c r="LE47" s="76" t="str">
        <f aca="false">IF($I47&gt;0%,IF(AND(LE$16&gt;=$F47,LE$16&lt;$F47+($G47*$I47)),"➤",""),"")</f>
        <v/>
      </c>
      <c r="LF47" s="76" t="str">
        <f aca="false">IF($I47&gt;0%,IF(AND(LF$16&gt;=$F47,LF$16&lt;$F47+($G47*$I47)),"➤",""),"")</f>
        <v/>
      </c>
      <c r="LG47" s="76" t="str">
        <f aca="false">IF($I47&gt;0%,IF(AND(LG$16&gt;=$F47,LG$16&lt;$F47+($G47*$I47)),"➤",""),"")</f>
        <v/>
      </c>
      <c r="LH47" s="76" t="str">
        <f aca="false">IF($I47&gt;0%,IF(AND(LH$16&gt;=$F47,LH$16&lt;$F47+($G47*$I47)),"➤",""),"")</f>
        <v/>
      </c>
      <c r="LI47" s="76" t="str">
        <f aca="false">IF($I47&gt;0%,IF(AND(LI$16&gt;=$F47,LI$16&lt;$F47+($G47*$I47)),"➤",""),"")</f>
        <v/>
      </c>
      <c r="LJ47" s="76" t="str">
        <f aca="false">IF($I47&gt;0%,IF(AND(LJ$16&gt;=$F47,LJ$16&lt;$F47+($G47*$I47)),"➤",""),"")</f>
        <v/>
      </c>
      <c r="LK47" s="76" t="str">
        <f aca="false">IF($I47&gt;0%,IF(AND(LK$16&gt;=$F47,LK$16&lt;$F47+($G47*$I47)),"➤",""),"")</f>
        <v/>
      </c>
      <c r="LL47" s="76" t="str">
        <f aca="false">IF($I47&gt;0%,IF(AND(LL$16&gt;=$F47,LL$16&lt;$F47+($G47*$I47)),"➤",""),"")</f>
        <v/>
      </c>
      <c r="LM47" s="76" t="str">
        <f aca="false">IF($I47&gt;0%,IF(AND(LM$16&gt;=$F47,LM$16&lt;$F47+($G47*$I47)),"➤",""),"")</f>
        <v/>
      </c>
      <c r="LN47" s="76" t="str">
        <f aca="false">IF($I47&gt;0%,IF(AND(LN$16&gt;=$F47,LN$16&lt;$F47+($G47*$I47)),"➤",""),"")</f>
        <v/>
      </c>
      <c r="LO47" s="76" t="str">
        <f aca="false">IF($I47&gt;0%,IF(AND(LO$16&gt;=$F47,LO$16&lt;$F47+($G47*$I47)),"➤",""),"")</f>
        <v/>
      </c>
      <c r="LP47" s="76" t="str">
        <f aca="false">IF($I47&gt;0%,IF(AND(LP$16&gt;=$F47,LP$16&lt;$F47+($G47*$I47)),"➤",""),"")</f>
        <v/>
      </c>
      <c r="LQ47" s="76" t="str">
        <f aca="false">IF($I47&gt;0%,IF(AND(LQ$16&gt;=$F47,LQ$16&lt;$F47+($G47*$I47)),"➤",""),"")</f>
        <v/>
      </c>
      <c r="LR47" s="76" t="str">
        <f aca="false">IF($I47&gt;0%,IF(AND(LR$16&gt;=$F47,LR$16&lt;$F47+($G47*$I47)),"➤",""),"")</f>
        <v/>
      </c>
      <c r="LS47" s="76" t="str">
        <f aca="false">IF($I47&gt;0%,IF(AND(LS$16&gt;=$F47,LS$16&lt;$F47+($G47*$I47)),"➤",""),"")</f>
        <v/>
      </c>
      <c r="LT47" s="76" t="str">
        <f aca="false">IF($I47&gt;0%,IF(AND(LT$16&gt;=$F47,LT$16&lt;$F47+($G47*$I47)),"➤",""),"")</f>
        <v/>
      </c>
      <c r="LU47" s="76" t="str">
        <f aca="false">IF($I47&gt;0%,IF(AND(LU$16&gt;=$F47,LU$16&lt;$F47+($G47*$I47)),"➤",""),"")</f>
        <v/>
      </c>
      <c r="LV47" s="76" t="str">
        <f aca="false">IF($I47&gt;0%,IF(AND(LV$16&gt;=$F47,LV$16&lt;$F47+($G47*$I47)),"➤",""),"")</f>
        <v/>
      </c>
      <c r="LW47" s="76" t="str">
        <f aca="false">IF($I47&gt;0%,IF(AND(LW$16&gt;=$F47,LW$16&lt;$F47+($G47*$I47)),"➤",""),"")</f>
        <v/>
      </c>
      <c r="LX47" s="76" t="str">
        <f aca="false">IF($I47&gt;0%,IF(AND(LX$16&gt;=$F47,LX$16&lt;$F47+($G47*$I47)),"➤",""),"")</f>
        <v/>
      </c>
      <c r="LY47" s="76" t="str">
        <f aca="false">IF($I47&gt;0%,IF(AND(LY$16&gt;=$F47,LY$16&lt;$F47+($G47*$I47)),"➤",""),"")</f>
        <v/>
      </c>
      <c r="LZ47" s="76" t="str">
        <f aca="false">IF($I47&gt;0%,IF(AND(LZ$16&gt;=$F47,LZ$16&lt;$F47+($G47*$I47)),"➤",""),"")</f>
        <v/>
      </c>
      <c r="MA47" s="76" t="str">
        <f aca="false">IF($I47&gt;0%,IF(AND(MA$16&gt;=$F47,MA$16&lt;$F47+($G47*$I47)),"➤",""),"")</f>
        <v/>
      </c>
      <c r="MB47" s="76" t="str">
        <f aca="false">IF($I47&gt;0%,IF(AND(MB$16&gt;=$F47,MB$16&lt;$F47+($G47*$I47)),"➤",""),"")</f>
        <v/>
      </c>
      <c r="MC47" s="76" t="str">
        <f aca="false">IF($I47&gt;0%,IF(AND(MC$16&gt;=$F47,MC$16&lt;$F47+($G47*$I47)),"➤",""),"")</f>
        <v/>
      </c>
      <c r="MD47" s="76" t="str">
        <f aca="false">IF($I47&gt;0%,IF(AND(MD$16&gt;=$F47,MD$16&lt;$F47+($G47*$I47)),"➤",""),"")</f>
        <v/>
      </c>
      <c r="ME47" s="76" t="str">
        <f aca="false">IF($I47&gt;0%,IF(AND(ME$16&gt;=$F47,ME$16&lt;$F47+($G47*$I47)),"➤",""),"")</f>
        <v/>
      </c>
      <c r="MF47" s="76" t="str">
        <f aca="false">IF($I47&gt;0%,IF(AND(MF$16&gt;=$F47,MF$16&lt;$F47+($G47*$I47)),"➤",""),"")</f>
        <v/>
      </c>
      <c r="MG47" s="76" t="str">
        <f aca="false">IF($I47&gt;0%,IF(AND(MG$16&gt;=$F47,MG$16&lt;$F47+($G47*$I47)),"➤",""),"")</f>
        <v/>
      </c>
      <c r="MH47" s="76" t="str">
        <f aca="false">IF($I47&gt;0%,IF(AND(MH$16&gt;=$F47,MH$16&lt;$F47+($G47*$I47)),"➤",""),"")</f>
        <v/>
      </c>
      <c r="MI47" s="76" t="str">
        <f aca="false">IF($I47&gt;0%,IF(AND(MI$16&gt;=$F47,MI$16&lt;$F47+($G47*$I47)),"➤",""),"")</f>
        <v/>
      </c>
      <c r="MJ47" s="76" t="str">
        <f aca="false">IF($I47&gt;0%,IF(AND(MJ$16&gt;=$F47,MJ$16&lt;$F47+($G47*$I47)),"➤",""),"")</f>
        <v/>
      </c>
      <c r="MK47" s="76" t="str">
        <f aca="false">IF($I47&gt;0%,IF(AND(MK$16&gt;=$F47,MK$16&lt;$F47+($G47*$I47)),"➤",""),"")</f>
        <v/>
      </c>
      <c r="ML47" s="76" t="str">
        <f aca="false">IF($I47&gt;0%,IF(AND(ML$16&gt;=$F47,ML$16&lt;$F47+($G47*$I47)),"➤",""),"")</f>
        <v/>
      </c>
      <c r="MM47" s="76" t="str">
        <f aca="false">IF($I47&gt;0%,IF(AND(MM$16&gt;=$F47,MM$16&lt;$F47+($G47*$I47)),"➤",""),"")</f>
        <v/>
      </c>
      <c r="MN47" s="76" t="str">
        <f aca="false">IF($I47&gt;0%,IF(AND(MN$16&gt;=$F47,MN$16&lt;$F47+($G47*$I47)),"➤",""),"")</f>
        <v/>
      </c>
      <c r="MO47" s="76" t="str">
        <f aca="false">IF($I47&gt;0%,IF(AND(MO$16&gt;=$F47,MO$16&lt;$F47+($G47*$I47)),"➤",""),"")</f>
        <v/>
      </c>
      <c r="MP47" s="76" t="str">
        <f aca="false">IF($I47&gt;0%,IF(AND(MP$16&gt;=$F47,MP$16&lt;$F47+($G47*$I47)),"➤",""),"")</f>
        <v/>
      </c>
      <c r="MQ47" s="76" t="str">
        <f aca="false">IF($I47&gt;0%,IF(AND(MQ$16&gt;=$F47,MQ$16&lt;$F47+($G47*$I47)),"➤",""),"")</f>
        <v/>
      </c>
      <c r="MR47" s="76" t="str">
        <f aca="false">IF($I47&gt;0%,IF(AND(MR$16&gt;=$F47,MR$16&lt;$F47+($G47*$I47)),"➤",""),"")</f>
        <v/>
      </c>
      <c r="MS47" s="76" t="str">
        <f aca="false">IF($I47&gt;0%,IF(AND(MS$16&gt;=$F47,MS$16&lt;$F47+($G47*$I47)),"➤",""),"")</f>
        <v/>
      </c>
      <c r="MT47" s="76" t="str">
        <f aca="false">IF($I47&gt;0%,IF(AND(MT$16&gt;=$F47,MT$16&lt;$F47+($G47*$I47)),"➤",""),"")</f>
        <v/>
      </c>
      <c r="MU47" s="76" t="str">
        <f aca="false">IF($I47&gt;0%,IF(AND(MU$16&gt;=$F47,MU$16&lt;$F47+($G47*$I47)),"➤",""),"")</f>
        <v/>
      </c>
      <c r="MV47" s="76" t="str">
        <f aca="false">IF($I47&gt;0%,IF(AND(MV$16&gt;=$F47,MV$16&lt;$F47+($G47*$I47)),"➤",""),"")</f>
        <v/>
      </c>
      <c r="MW47" s="76" t="str">
        <f aca="false">IF($I47&gt;0%,IF(AND(MW$16&gt;=$F47,MW$16&lt;$F47+($G47*$I47)),"➤",""),"")</f>
        <v/>
      </c>
      <c r="MX47" s="76" t="str">
        <f aca="false">IF($I47&gt;0%,IF(AND(MX$16&gt;=$F47,MX$16&lt;$F47+($G47*$I47)),"➤",""),"")</f>
        <v/>
      </c>
      <c r="MY47" s="76" t="str">
        <f aca="false">IF($I47&gt;0%,IF(AND(MY$16&gt;=$F47,MY$16&lt;$F47+($G47*$I47)),"➤",""),"")</f>
        <v/>
      </c>
      <c r="MZ47" s="76" t="str">
        <f aca="false">IF($I47&gt;0%,IF(AND(MZ$16&gt;=$F47,MZ$16&lt;$F47+($G47*$I47)),"➤",""),"")</f>
        <v/>
      </c>
      <c r="NA47" s="76" t="str">
        <f aca="false">IF($I47&gt;0%,IF(AND(NA$16&gt;=$F47,NA$16&lt;$F47+($G47*$I47)),"➤",""),"")</f>
        <v/>
      </c>
      <c r="NB47" s="76" t="str">
        <f aca="false">IF($I47&gt;0%,IF(AND(NB$16&gt;=$F47,NB$16&lt;$F47+($G47*$I47)),"➤",""),"")</f>
        <v/>
      </c>
      <c r="NC47" s="76" t="str">
        <f aca="false">IF($I47&gt;0%,IF(AND(NC$16&gt;=$F47,NC$16&lt;$F47+($G47*$I47)),"➤",""),"")</f>
        <v/>
      </c>
      <c r="ND47" s="76" t="str">
        <f aca="false">IF($I47&gt;0%,IF(AND(ND$16&gt;=$F47,ND$16&lt;$F47+($G47*$I47)),"➤",""),"")</f>
        <v/>
      </c>
      <c r="NE47" s="76" t="str">
        <f aca="false">IF($I47&gt;0%,IF(AND(NE$16&gt;=$F47,NE$16&lt;$F47+($G47*$I47)),"➤",""),"")</f>
        <v/>
      </c>
      <c r="NF47" s="76" t="str">
        <f aca="false">IF($I47&gt;0%,IF(AND(NF$16&gt;=$F47,NF$16&lt;$F47+($G47*$I47)),"➤",""),"")</f>
        <v/>
      </c>
      <c r="NG47" s="76" t="str">
        <f aca="false">IF($I47&gt;0%,IF(AND(NG$16&gt;=$F47,NG$16&lt;$F47+($G47*$I47)),"➤",""),"")</f>
        <v/>
      </c>
      <c r="NH47" s="76" t="str">
        <f aca="false">IF($I47&gt;0%,IF(AND(NH$16&gt;=$F47,NH$16&lt;$F47+($G47*$I47)),"➤",""),"")</f>
        <v/>
      </c>
      <c r="NI47" s="76" t="str">
        <f aca="false">IF($I47&gt;0%,IF(AND(NI$16&gt;=$F47,NI$16&lt;$F47+($G47*$I47)),"➤",""),"")</f>
        <v/>
      </c>
      <c r="NJ47" s="76" t="str">
        <f aca="false">IF($I47&gt;0%,IF(AND(NJ$16&gt;=$F47,NJ$16&lt;$F47+($G47*$I47)),"➤",""),"")</f>
        <v/>
      </c>
      <c r="NK47" s="76" t="str">
        <f aca="false">IF($I47&gt;0%,IF(AND(NK$16&gt;=$F47,NK$16&lt;$F47+($G47*$I47)),"➤",""),"")</f>
        <v/>
      </c>
      <c r="NL47" s="76" t="str">
        <f aca="false">IF($I47&gt;0%,IF(AND(NL$16&gt;=$F47,NL$16&lt;$F47+($G47*$I47)),"➤",""),"")</f>
        <v/>
      </c>
      <c r="NM47" s="76" t="str">
        <f aca="false">IF($I47&gt;0%,IF(AND(NM$16&gt;=$F47,NM$16&lt;$F47+($G47*$I47)),"➤",""),"")</f>
        <v/>
      </c>
      <c r="NN47" s="76" t="str">
        <f aca="false">IF($I47&gt;0%,IF(AND(NN$16&gt;=$F47,NN$16&lt;$F47+($G47*$I47)),"➤",""),"")</f>
        <v/>
      </c>
      <c r="NO47" s="76" t="str">
        <f aca="false">IF($I47&gt;0%,IF(AND(NO$16&gt;=$F47,NO$16&lt;$F47+($G47*$I47)),"➤",""),"")</f>
        <v/>
      </c>
      <c r="NP47" s="76" t="str">
        <f aca="false">IF($I47&gt;0%,IF(AND(NP$16&gt;=$F47,NP$16&lt;$F47+($G47*$I47)),"➤",""),"")</f>
        <v/>
      </c>
      <c r="NQ47" s="76" t="str">
        <f aca="false">IF($I47&gt;0%,IF(AND(NQ$16&gt;=$F47,NQ$16&lt;$F47+($G47*$I47)),"➤",""),"")</f>
        <v/>
      </c>
      <c r="NR47" s="76" t="str">
        <f aca="false">IF($I47&gt;0%,IF(AND(NR$16&gt;=$F47,NR$16&lt;$F47+($G47*$I47)),"➤",""),"")</f>
        <v/>
      </c>
      <c r="NS47" s="76" t="str">
        <f aca="false">IF($I47&gt;0%,IF(AND(NS$16&gt;=$F47,NS$16&lt;$F47+($G47*$I47)),"➤",""),"")</f>
        <v/>
      </c>
      <c r="NT47" s="76" t="str">
        <f aca="false">IF($I47&gt;0%,IF(AND(NT$16&gt;=$F47,NT$16&lt;$F47+($G47*$I47)),"➤",""),"")</f>
        <v/>
      </c>
      <c r="NU47" s="76" t="str">
        <f aca="false">IF($I47&gt;0%,IF(AND(NU$16&gt;=$F47,NU$16&lt;$F47+($G47*$I47)),"➤",""),"")</f>
        <v/>
      </c>
      <c r="NV47" s="76" t="str">
        <f aca="false">IF($I47&gt;0%,IF(AND(NV$16&gt;=$F47,NV$16&lt;$F47+($G47*$I47)),"➤",""),"")</f>
        <v/>
      </c>
      <c r="NW47" s="76" t="str">
        <f aca="false">IF($I47&gt;0%,IF(AND(NW$16&gt;=$F47,NW$16&lt;$F47+($G47*$I47)),"➤",""),"")</f>
        <v/>
      </c>
      <c r="NX47" s="76" t="str">
        <f aca="false">IF($I47&gt;0%,IF(AND(NX$16&gt;=$F47,NX$16&lt;$F47+($G47*$I47)),"➤",""),"")</f>
        <v/>
      </c>
      <c r="NY47" s="76" t="str">
        <f aca="false">IF($I47&gt;0%,IF(AND(NY$16&gt;=$F47,NY$16&lt;$F47+($G47*$I47)),"➤",""),"")</f>
        <v/>
      </c>
      <c r="NZ47" s="76" t="str">
        <f aca="false">IF($I47&gt;0%,IF(AND(NZ$16&gt;=$F47,NZ$16&lt;$F47+($G47*$I47)),"➤",""),"")</f>
        <v/>
      </c>
      <c r="OA47" s="76" t="str">
        <f aca="false">IF($I47&gt;0%,IF(AND(OA$16&gt;=$F47,OA$16&lt;$F47+($G47*$I47)),"➤",""),"")</f>
        <v/>
      </c>
      <c r="OB47" s="76" t="str">
        <f aca="false">IF($I47&gt;0%,IF(AND(OB$16&gt;=$F47,OB$16&lt;$F47+($G47*$I47)),"➤",""),"")</f>
        <v/>
      </c>
      <c r="OC47" s="76" t="str">
        <f aca="false">IF($I47&gt;0%,IF(AND(OC$16&gt;=$F47,OC$16&lt;$F47+($G47*$I47)),"➤",""),"")</f>
        <v/>
      </c>
      <c r="OD47" s="76" t="str">
        <f aca="false">IF($I47&gt;0%,IF(AND(OD$16&gt;=$F47,OD$16&lt;$F47+($G47*$I47)),"➤",""),"")</f>
        <v/>
      </c>
      <c r="OE47" s="76" t="str">
        <f aca="false">IF($I47&gt;0%,IF(AND(OE$16&gt;=$F47,OE$16&lt;$F47+($G47*$I47)),"➤",""),"")</f>
        <v/>
      </c>
      <c r="OF47" s="76" t="str">
        <f aca="false">IF($I47&gt;0%,IF(AND(OF$16&gt;=$F47,OF$16&lt;$F47+($G47*$I47)),"➤",""),"")</f>
        <v/>
      </c>
      <c r="OG47" s="76" t="str">
        <f aca="false">IF($I47&gt;0%,IF(AND(OG$16&gt;=$F47,OG$16&lt;$F47+($G47*$I47)),"➤",""),"")</f>
        <v/>
      </c>
      <c r="OH47" s="76" t="str">
        <f aca="false">IF($I47&gt;0%,IF(AND(OH$16&gt;=$F47,OH$16&lt;$F47+($G47*$I47)),"➤",""),"")</f>
        <v/>
      </c>
      <c r="OI47" s="76" t="str">
        <f aca="false">IF($I47&gt;0%,IF(AND(OI$16&gt;=$F47,OI$16&lt;$F47+($G47*$I47)),"➤",""),"")</f>
        <v/>
      </c>
      <c r="OJ47" s="76" t="str">
        <f aca="false">IF($I47&gt;0%,IF(AND(OJ$16&gt;=$F47,OJ$16&lt;$F47+($G47*$I47)),"➤",""),"")</f>
        <v/>
      </c>
      <c r="OK47" s="76" t="str">
        <f aca="false">IF($I47&gt;0%,IF(AND(OK$16&gt;=$F47,OK$16&lt;$F47+($G47*$I47)),"➤",""),"")</f>
        <v/>
      </c>
      <c r="OL47" s="76" t="str">
        <f aca="false">IF($I47&gt;0%,IF(AND(OL$16&gt;=$F47,OL$16&lt;$F47+($G47*$I47)),"➤",""),"")</f>
        <v/>
      </c>
      <c r="OM47" s="76" t="str">
        <f aca="false">IF($I47&gt;0%,IF(AND(OM$16&gt;=$F47,OM$16&lt;$F47+($G47*$I47)),"➤",""),"")</f>
        <v/>
      </c>
      <c r="ON47" s="76" t="str">
        <f aca="false">IF($I47&gt;0%,IF(AND(ON$16&gt;=$F47,ON$16&lt;$F47+($G47*$I47)),"➤",""),"")</f>
        <v/>
      </c>
      <c r="OO47" s="76" t="str">
        <f aca="false">IF($I47&gt;0%,IF(AND(OO$16&gt;=$F47,OO$16&lt;$F47+($G47*$I47)),"➤",""),"")</f>
        <v/>
      </c>
      <c r="OP47" s="76" t="str">
        <f aca="false">IF($I47&gt;0%,IF(AND(OP$16&gt;=$F47,OP$16&lt;$F47+($G47*$I47)),"➤",""),"")</f>
        <v/>
      </c>
      <c r="OQ47" s="76" t="str">
        <f aca="false">IF($I47&gt;0%,IF(AND(OQ$16&gt;=$F47,OQ$16&lt;$F47+($G47*$I47)),"➤",""),"")</f>
        <v/>
      </c>
      <c r="OR47" s="76" t="str">
        <f aca="false">IF($I47&gt;0%,IF(AND(OR$16&gt;=$F47,OR$16&lt;$F47+($G47*$I47)),"➤",""),"")</f>
        <v/>
      </c>
      <c r="OS47" s="76" t="str">
        <f aca="false">IF($I47&gt;0%,IF(AND(OS$16&gt;=$F47,OS$16&lt;$F47+($G47*$I47)),"➤",""),"")</f>
        <v/>
      </c>
      <c r="OT47" s="76" t="str">
        <f aca="false">IF($I47&gt;0%,IF(AND(OT$16&gt;=$F47,OT$16&lt;$F47+($G47*$I47)),"➤",""),"")</f>
        <v/>
      </c>
      <c r="OU47" s="76" t="str">
        <f aca="false">IF($I47&gt;0%,IF(AND(OU$16&gt;=$F47,OU$16&lt;$F47+($G47*$I47)),"➤",""),"")</f>
        <v/>
      </c>
      <c r="OV47" s="76" t="str">
        <f aca="false">IF($I47&gt;0%,IF(AND(OV$16&gt;=$F47,OV$16&lt;$F47+($G47*$I47)),"➤",""),"")</f>
        <v/>
      </c>
      <c r="OW47" s="76" t="str">
        <f aca="false">IF($I47&gt;0%,IF(AND(OW$16&gt;=$F47,OW$16&lt;$F47+($G47*$I47)),"➤",""),"")</f>
        <v/>
      </c>
      <c r="OX47" s="76" t="str">
        <f aca="false">IF($I47&gt;0%,IF(AND(OX$16&gt;=$F47,OX$16&lt;$F47+($G47*$I47)),"➤",""),"")</f>
        <v/>
      </c>
      <c r="OY47" s="76" t="str">
        <f aca="false">IF($I47&gt;0%,IF(AND(OY$16&gt;=$F47,OY$16&lt;$F47+($G47*$I47)),"➤",""),"")</f>
        <v/>
      </c>
      <c r="OZ47" s="76" t="str">
        <f aca="false">IF($I47&gt;0%,IF(AND(OZ$16&gt;=$F47,OZ$16&lt;$F47+($G47*$I47)),"➤",""),"")</f>
        <v/>
      </c>
      <c r="PA47" s="76" t="str">
        <f aca="false">IF($I47&gt;0%,IF(AND(PA$16&gt;=$F47,PA$16&lt;$F47+($G47*$I47)),"➤",""),"")</f>
        <v/>
      </c>
      <c r="PB47" s="76" t="str">
        <f aca="false">IF($I47&gt;0%,IF(AND(PB$16&gt;=$F47,PB$16&lt;$F47+($G47*$I47)),"➤",""),"")</f>
        <v/>
      </c>
      <c r="PC47" s="76" t="str">
        <f aca="false">IF($I47&gt;0%,IF(AND(PC$16&gt;=$F47,PC$16&lt;$F47+($G47*$I47)),"➤",""),"")</f>
        <v/>
      </c>
      <c r="PD47" s="76" t="str">
        <f aca="false">IF($I47&gt;0%,IF(AND(PD$16&gt;=$F47,PD$16&lt;$F47+($G47*$I47)),"➤",""),"")</f>
        <v/>
      </c>
      <c r="PE47" s="76" t="str">
        <f aca="false">IF($I47&gt;0%,IF(AND(PE$16&gt;=$F47,PE$16&lt;$F47+($G47*$I47)),"➤",""),"")</f>
        <v/>
      </c>
      <c r="PF47" s="76" t="str">
        <f aca="false">IF($I47&gt;0%,IF(AND(PF$16&gt;=$F47,PF$16&lt;$F47+($G47*$I47)),"➤",""),"")</f>
        <v/>
      </c>
      <c r="PG47" s="76" t="str">
        <f aca="false">IF($I47&gt;0%,IF(AND(PG$16&gt;=$F47,PG$16&lt;$F47+($G47*$I47)),"➤",""),"")</f>
        <v/>
      </c>
      <c r="PH47" s="76" t="str">
        <f aca="false">IF($I47&gt;0%,IF(AND(PH$16&gt;=$F47,PH$16&lt;$F47+($G47*$I47)),"➤",""),"")</f>
        <v/>
      </c>
      <c r="PI47" s="76" t="str">
        <f aca="false">IF($I47&gt;0%,IF(AND(PI$16&gt;=$F47,PI$16&lt;$F47+($G47*$I47)),"➤",""),"")</f>
        <v/>
      </c>
      <c r="PJ47" s="76" t="str">
        <f aca="false">IF($I47&gt;0%,IF(AND(PJ$16&gt;=$F47,PJ$16&lt;$F47+($G47*$I47)),"➤",""),"")</f>
        <v/>
      </c>
      <c r="PK47" s="76" t="str">
        <f aca="false">IF($I47&gt;0%,IF(AND(PK$16&gt;=$F47,PK$16&lt;$F47+($G47*$I47)),"➤",""),"")</f>
        <v/>
      </c>
      <c r="PL47" s="76" t="str">
        <f aca="false">IF($I47&gt;0%,IF(AND(PL$16&gt;=$F47,PL$16&lt;$F47+($G47*$I47)),"➤",""),"")</f>
        <v/>
      </c>
      <c r="PM47" s="76" t="str">
        <f aca="false">IF($I47&gt;0%,IF(AND(PM$16&gt;=$F47,PM$16&lt;$F47+($G47*$I47)),"➤",""),"")</f>
        <v/>
      </c>
      <c r="PN47" s="76" t="str">
        <f aca="false">IF($I47&gt;0%,IF(AND(PN$16&gt;=$F47,PN$16&lt;$F47+($G47*$I47)),"➤",""),"")</f>
        <v/>
      </c>
      <c r="PO47" s="76" t="str">
        <f aca="false">IF($I47&gt;0%,IF(AND(PO$16&gt;=$F47,PO$16&lt;$F47+($G47*$I47)),"➤",""),"")</f>
        <v/>
      </c>
      <c r="PP47" s="76" t="str">
        <f aca="false">IF($I47&gt;0%,IF(AND(PP$16&gt;=$F47,PP$16&lt;$F47+($G47*$I47)),"➤",""),"")</f>
        <v/>
      </c>
      <c r="PQ47" s="76" t="str">
        <f aca="false">IF($I47&gt;0%,IF(AND(PQ$16&gt;=$F47,PQ$16&lt;$F47+($G47*$I47)),"➤",""),"")</f>
        <v/>
      </c>
      <c r="PR47" s="76" t="str">
        <f aca="false">IF($I47&gt;0%,IF(AND(PR$16&gt;=$F47,PR$16&lt;$F47+($G47*$I47)),"➤",""),"")</f>
        <v/>
      </c>
      <c r="PS47" s="76" t="str">
        <f aca="false">IF($I47&gt;0%,IF(AND(PS$16&gt;=$F47,PS$16&lt;$F47+($G47*$I47)),"➤",""),"")</f>
        <v/>
      </c>
      <c r="PT47" s="76" t="str">
        <f aca="false">IF($I47&gt;0%,IF(AND(PT$16&gt;=$F47,PT$16&lt;$F47+($G47*$I47)),"➤",""),"")</f>
        <v/>
      </c>
      <c r="PU47" s="76" t="str">
        <f aca="false">IF($I47&gt;0%,IF(AND(PU$16&gt;=$F47,PU$16&lt;$F47+($G47*$I47)),"➤",""),"")</f>
        <v/>
      </c>
      <c r="PV47" s="76" t="str">
        <f aca="false">IF($I47&gt;0%,IF(AND(PV$16&gt;=$F47,PV$16&lt;$F47+($G47*$I47)),"➤",""),"")</f>
        <v/>
      </c>
      <c r="PW47" s="76" t="str">
        <f aca="false">IF($I47&gt;0%,IF(AND(PW$16&gt;=$F47,PW$16&lt;$F47+($G47*$I47)),"➤",""),"")</f>
        <v/>
      </c>
      <c r="PX47" s="76" t="str">
        <f aca="false">IF($I47&gt;0%,IF(AND(PX$16&gt;=$F47,PX$16&lt;$F47+($G47*$I47)),"➤",""),"")</f>
        <v/>
      </c>
      <c r="PY47" s="76" t="str">
        <f aca="false">IF($I47&gt;0%,IF(AND(PY$16&gt;=$F47,PY$16&lt;$F47+($G47*$I47)),"➤",""),"")</f>
        <v/>
      </c>
      <c r="PZ47" s="76" t="str">
        <f aca="false">IF($I47&gt;0%,IF(AND(PZ$16&gt;=$F47,PZ$16&lt;$F47+($G47*$I47)),"➤",""),"")</f>
        <v/>
      </c>
      <c r="QA47" s="76" t="str">
        <f aca="false">IF($I47&gt;0%,IF(AND(QA$16&gt;=$F47,QA$16&lt;$F47+($G47*$I47)),"➤",""),"")</f>
        <v/>
      </c>
      <c r="QB47" s="76" t="str">
        <f aca="false">IF($I47&gt;0%,IF(AND(QB$16&gt;=$F47,QB$16&lt;$F47+($G47*$I47)),"➤",""),"")</f>
        <v/>
      </c>
      <c r="QC47" s="76" t="str">
        <f aca="false">IF($I47&gt;0%,IF(AND(QC$16&gt;=$F47,QC$16&lt;$F47+($G47*$I47)),"➤",""),"")</f>
        <v/>
      </c>
      <c r="QD47" s="76" t="str">
        <f aca="false">IF($I47&gt;0%,IF(AND(QD$16&gt;=$F47,QD$16&lt;$F47+($G47*$I47)),"➤",""),"")</f>
        <v/>
      </c>
      <c r="QE47" s="76" t="str">
        <f aca="false">IF($I47&gt;0%,IF(AND(QE$16&gt;=$F47,QE$16&lt;$F47+($G47*$I47)),"➤",""),"")</f>
        <v/>
      </c>
      <c r="QF47" s="76" t="str">
        <f aca="false">IF($I47&gt;0%,IF(AND(QF$16&gt;=$F47,QF$16&lt;$F47+($G47*$I47)),"➤",""),"")</f>
        <v/>
      </c>
      <c r="QG47" s="76" t="str">
        <f aca="false">IF($I47&gt;0%,IF(AND(QG$16&gt;=$F47,QG$16&lt;$F47+($G47*$I47)),"➤",""),"")</f>
        <v/>
      </c>
      <c r="QH47" s="76" t="str">
        <f aca="false">IF($I47&gt;0%,IF(AND(QH$16&gt;=$F47,QH$16&lt;$F47+($G47*$I47)),"➤",""),"")</f>
        <v/>
      </c>
      <c r="QI47" s="76" t="str">
        <f aca="false">IF($I47&gt;0%,IF(AND(QI$16&gt;=$F47,QI$16&lt;$F47+($G47*$I47)),"➤",""),"")</f>
        <v/>
      </c>
      <c r="QJ47" s="76" t="str">
        <f aca="false">IF($I47&gt;0%,IF(AND(QJ$16&gt;=$F47,QJ$16&lt;$F47+($G47*$I47)),"➤",""),"")</f>
        <v/>
      </c>
      <c r="QK47" s="76" t="str">
        <f aca="false">IF($I47&gt;0%,IF(AND(QK$16&gt;=$F47,QK$16&lt;$F47+($G47*$I47)),"➤",""),"")</f>
        <v/>
      </c>
      <c r="QL47" s="76" t="str">
        <f aca="false">IF($I47&gt;0%,IF(AND(QL$16&gt;=$F47,QL$16&lt;$F47+($G47*$I47)),"➤",""),"")</f>
        <v/>
      </c>
      <c r="QM47" s="76" t="str">
        <f aca="false">IF($I47&gt;0%,IF(AND(QM$16&gt;=$F47,QM$16&lt;$F47+($G47*$I47)),"➤",""),"")</f>
        <v/>
      </c>
      <c r="QN47" s="76" t="str">
        <f aca="false">IF($I47&gt;0%,IF(AND(QN$16&gt;=$F47,QN$16&lt;$F47+($G47*$I47)),"➤",""),"")</f>
        <v/>
      </c>
      <c r="QO47" s="76" t="str">
        <f aca="false">IF($I47&gt;0%,IF(AND(QO$16&gt;=$F47,QO$16&lt;$F47+($G47*$I47)),"➤",""),"")</f>
        <v/>
      </c>
      <c r="QP47" s="76" t="str">
        <f aca="false">IF($I47&gt;0%,IF(AND(QP$16&gt;=$F47,QP$16&lt;$F47+($G47*$I47)),"➤",""),"")</f>
        <v/>
      </c>
      <c r="QQ47" s="76" t="str">
        <f aca="false">IF($I47&gt;0%,IF(AND(QQ$16&gt;=$F47,QQ$16&lt;$F47+($G47*$I47)),"➤",""),"")</f>
        <v/>
      </c>
      <c r="QR47" s="76" t="str">
        <f aca="false">IF($I47&gt;0%,IF(AND(QR$16&gt;=$F47,QR$16&lt;$F47+($G47*$I47)),"➤",""),"")</f>
        <v/>
      </c>
      <c r="QS47" s="76" t="str">
        <f aca="false">IF($I47&gt;0%,IF(AND(QS$16&gt;=$F47,QS$16&lt;$F47+($G47*$I47)),"➤",""),"")</f>
        <v/>
      </c>
      <c r="QT47" s="76" t="str">
        <f aca="false">IF($I47&gt;0%,IF(AND(QT$16&gt;=$F47,QT$16&lt;$F47+($G47*$I47)),"➤",""),"")</f>
        <v/>
      </c>
      <c r="QU47" s="76" t="str">
        <f aca="false">IF($I47&gt;0%,IF(AND(QU$16&gt;=$F47,QU$16&lt;$F47+($G47*$I47)),"➤",""),"")</f>
        <v/>
      </c>
      <c r="QV47" s="76" t="str">
        <f aca="false">IF($I47&gt;0%,IF(AND(QV$16&gt;=$F47,QV$16&lt;$F47+($G47*$I47)),"➤",""),"")</f>
        <v/>
      </c>
      <c r="QW47" s="76" t="str">
        <f aca="false">IF($I47&gt;0%,IF(AND(QW$16&gt;=$F47,QW$16&lt;$F47+($G47*$I47)),"➤",""),"")</f>
        <v/>
      </c>
      <c r="QX47" s="76" t="str">
        <f aca="false">IF($I47&gt;0%,IF(AND(QX$16&gt;=$F47,QX$16&lt;$F47+($G47*$I47)),"➤",""),"")</f>
        <v/>
      </c>
      <c r="QY47" s="76" t="str">
        <f aca="false">IF($I47&gt;0%,IF(AND(QY$16&gt;=$F47,QY$16&lt;$F47+($G47*$I47)),"➤",""),"")</f>
        <v/>
      </c>
      <c r="QZ47" s="76" t="str">
        <f aca="false">IF($I47&gt;0%,IF(AND(QZ$16&gt;=$F47,QZ$16&lt;$F47+($G47*$I47)),"➤",""),"")</f>
        <v/>
      </c>
      <c r="RA47" s="76" t="str">
        <f aca="false">IF($I47&gt;0%,IF(AND(RA$16&gt;=$F47,RA$16&lt;$F47+($G47*$I47)),"➤",""),"")</f>
        <v/>
      </c>
      <c r="RB47" s="76" t="str">
        <f aca="false">IF($I47&gt;0%,IF(AND(RB$16&gt;=$F47,RB$16&lt;$F47+($G47*$I47)),"➤",""),"")</f>
        <v/>
      </c>
      <c r="RC47" s="76" t="str">
        <f aca="false">IF($I47&gt;0%,IF(AND(RC$16&gt;=$F47,RC$16&lt;$F47+($G47*$I47)),"➤",""),"")</f>
        <v/>
      </c>
      <c r="RD47" s="76" t="str">
        <f aca="false">IF($I47&gt;0%,IF(AND(RD$16&gt;=$F47,RD$16&lt;$F47+($G47*$I47)),"➤",""),"")</f>
        <v/>
      </c>
      <c r="RE47" s="76" t="str">
        <f aca="false">IF($I47&gt;0%,IF(AND(RE$16&gt;=$F47,RE$16&lt;$F47+($G47*$I47)),"➤",""),"")</f>
        <v/>
      </c>
      <c r="RF47" s="76" t="str">
        <f aca="false">IF($I47&gt;0%,IF(AND(RF$16&gt;=$F47,RF$16&lt;$F47+($G47*$I47)),"➤",""),"")</f>
        <v/>
      </c>
      <c r="RG47" s="76" t="str">
        <f aca="false">IF($I47&gt;0%,IF(AND(RG$16&gt;=$F47,RG$16&lt;$F47+($G47*$I47)),"➤",""),"")</f>
        <v/>
      </c>
      <c r="RH47" s="76" t="str">
        <f aca="false">IF($I47&gt;0%,IF(AND(RH$16&gt;=$F47,RH$16&lt;$F47+($G47*$I47)),"➤",""),"")</f>
        <v/>
      </c>
      <c r="RI47" s="76" t="str">
        <f aca="false">IF($I47&gt;0%,IF(AND(RI$16&gt;=$F47,RI$16&lt;$F47+($G47*$I47)),"➤",""),"")</f>
        <v/>
      </c>
      <c r="RJ47" s="76" t="str">
        <f aca="false">IF($I47&gt;0%,IF(AND(RJ$16&gt;=$F47,RJ$16&lt;$F47+($G47*$I47)),"➤",""),"")</f>
        <v/>
      </c>
      <c r="RK47" s="76" t="str">
        <f aca="false">IF($I47&gt;0%,IF(AND(RK$16&gt;=$F47,RK$16&lt;$F47+($G47*$I47)),"➤",""),"")</f>
        <v/>
      </c>
      <c r="RL47" s="76" t="str">
        <f aca="false">IF($I47&gt;0%,IF(AND(RL$16&gt;=$F47,RL$16&lt;$F47+($G47*$I47)),"➤",""),"")</f>
        <v/>
      </c>
      <c r="RM47" s="76" t="str">
        <f aca="false">IF($I47&gt;0%,IF(AND(RM$16&gt;=$F47,RM$16&lt;$F47+($G47*$I47)),"➤",""),"")</f>
        <v/>
      </c>
      <c r="RN47" s="76" t="str">
        <f aca="false">IF($I47&gt;0%,IF(AND(RN$16&gt;=$F47,RN$16&lt;$F47+($G47*$I47)),"➤",""),"")</f>
        <v/>
      </c>
      <c r="RO47" s="76" t="str">
        <f aca="false">IF($I47&gt;0%,IF(AND(RO$16&gt;=$F47,RO$16&lt;$F47+($G47*$I47)),"➤",""),"")</f>
        <v/>
      </c>
      <c r="RP47" s="76" t="str">
        <f aca="false">IF($I47&gt;0%,IF(AND(RP$16&gt;=$F47,RP$16&lt;$F47+($G47*$I47)),"➤",""),"")</f>
        <v/>
      </c>
      <c r="RQ47" s="76" t="str">
        <f aca="false">IF($I47&gt;0%,IF(AND(RQ$16&gt;=$F47,RQ$16&lt;$F47+($G47*$I47)),"➤",""),"")</f>
        <v/>
      </c>
      <c r="RR47" s="76" t="str">
        <f aca="false">IF($I47&gt;0%,IF(AND(RR$16&gt;=$F47,RR$16&lt;$F47+($G47*$I47)),"➤",""),"")</f>
        <v/>
      </c>
      <c r="RS47" s="76" t="str">
        <f aca="false">IF($I47&gt;0%,IF(AND(RS$16&gt;=$F47,RS$16&lt;$F47+($G47*$I47)),"➤",""),"")</f>
        <v/>
      </c>
      <c r="RT47" s="76" t="str">
        <f aca="false">IF($I47&gt;0%,IF(AND(RT$16&gt;=$F47,RT$16&lt;$F47+($G47*$I47)),"➤",""),"")</f>
        <v/>
      </c>
      <c r="RU47" s="76" t="str">
        <f aca="false">IF($I47&gt;0%,IF(AND(RU$16&gt;=$F47,RU$16&lt;$F47+($G47*$I47)),"➤",""),"")</f>
        <v/>
      </c>
      <c r="RV47" s="76" t="str">
        <f aca="false">IF($I47&gt;0%,IF(AND(RV$16&gt;=$F47,RV$16&lt;$F47+($G47*$I47)),"➤",""),"")</f>
        <v/>
      </c>
      <c r="RW47" s="76" t="str">
        <f aca="false">IF($I47&gt;0%,IF(AND(RW$16&gt;=$F47,RW$16&lt;$F47+($G47*$I47)),"➤",""),"")</f>
        <v/>
      </c>
      <c r="RX47" s="76" t="str">
        <f aca="false">IF($I47&gt;0%,IF(AND(RX$16&gt;=$F47,RX$16&lt;$F47+($G47*$I47)),"➤",""),"")</f>
        <v/>
      </c>
      <c r="RY47" s="76" t="str">
        <f aca="false">IF($I47&gt;0%,IF(AND(RY$16&gt;=$F47,RY$16&lt;$F47+($G47*$I47)),"➤",""),"")</f>
        <v/>
      </c>
      <c r="RZ47" s="76" t="str">
        <f aca="false">IF($I47&gt;0%,IF(AND(RZ$16&gt;=$F47,RZ$16&lt;$F47+($G47*$I47)),"➤",""),"")</f>
        <v/>
      </c>
      <c r="SA47" s="76" t="str">
        <f aca="false">IF($I47&gt;0%,IF(AND(SA$16&gt;=$F47,SA$16&lt;$F47+($G47*$I47)),"➤",""),"")</f>
        <v/>
      </c>
      <c r="SB47" s="76" t="str">
        <f aca="false">IF($I47&gt;0%,IF(AND(SB$16&gt;=$F47,SB$16&lt;$F47+($G47*$I47)),"➤",""),"")</f>
        <v/>
      </c>
      <c r="SC47" s="76" t="str">
        <f aca="false">IF($I47&gt;0%,IF(AND(SC$16&gt;=$F47,SC$16&lt;$F47+($G47*$I47)),"➤",""),"")</f>
        <v/>
      </c>
      <c r="SD47" s="76" t="str">
        <f aca="false">IF($I47&gt;0%,IF(AND(SD$16&gt;=$F47,SD$16&lt;$F47+($G47*$I47)),"➤",""),"")</f>
        <v/>
      </c>
      <c r="SE47" s="76" t="str">
        <f aca="false">IF($I47&gt;0%,IF(AND(SE$16&gt;=$F47,SE$16&lt;$F47+($G47*$I47)),"➤",""),"")</f>
        <v/>
      </c>
      <c r="SF47" s="76" t="str">
        <f aca="false">IF($I47&gt;0%,IF(AND(SF$16&gt;=$F47,SF$16&lt;$F47+($G47*$I47)),"➤",""),"")</f>
        <v/>
      </c>
      <c r="SG47" s="76" t="str">
        <f aca="false">IF($I47&gt;0%,IF(AND(SG$16&gt;=$F47,SG$16&lt;$F47+($G47*$I47)),"➤",""),"")</f>
        <v/>
      </c>
      <c r="SH47" s="76" t="str">
        <f aca="false">IF($I47&gt;0%,IF(AND(SH$16&gt;=$F47,SH$16&lt;$F47+($G47*$I47)),"➤",""),"")</f>
        <v/>
      </c>
      <c r="SI47" s="76" t="str">
        <f aca="false">IF($I47&gt;0%,IF(AND(SI$16&gt;=$F47,SI$16&lt;$F47+($G47*$I47)),"➤",""),"")</f>
        <v/>
      </c>
      <c r="SJ47" s="76" t="str">
        <f aca="false">IF($I47&gt;0%,IF(AND(SJ$16&gt;=$F47,SJ$16&lt;$F47+($G47*$I47)),"➤",""),"")</f>
        <v/>
      </c>
      <c r="SK47" s="76" t="str">
        <f aca="false">IF($I47&gt;0%,IF(AND(SK$16&gt;=$F47,SK$16&lt;$F47+($G47*$I47)),"➤",""),"")</f>
        <v/>
      </c>
      <c r="SL47" s="76" t="str">
        <f aca="false">IF($I47&gt;0%,IF(AND(SL$16&gt;=$F47,SL$16&lt;$F47+($G47*$I47)),"➤",""),"")</f>
        <v/>
      </c>
      <c r="SM47" s="76" t="str">
        <f aca="false">IF($I47&gt;0%,IF(AND(SM$16&gt;=$F47,SM$16&lt;$F47+($G47*$I47)),"➤",""),"")</f>
        <v/>
      </c>
      <c r="SN47" s="76" t="str">
        <f aca="false">IF($I47&gt;0%,IF(AND(SN$16&gt;=$F47,SN$16&lt;$F47+($G47*$I47)),"➤",""),"")</f>
        <v/>
      </c>
      <c r="SO47" s="76" t="str">
        <f aca="false">IF($I47&gt;0%,IF(AND(SO$16&gt;=$F47,SO$16&lt;$F47+($G47*$I47)),"➤",""),"")</f>
        <v/>
      </c>
      <c r="SP47" s="76" t="str">
        <f aca="false">IF($I47&gt;0%,IF(AND(SP$16&gt;=$F47,SP$16&lt;$F47+($G47*$I47)),"➤",""),"")</f>
        <v/>
      </c>
      <c r="SQ47" s="76" t="str">
        <f aca="false">IF($I47&gt;0%,IF(AND(SQ$16&gt;=$F47,SQ$16&lt;$F47+($G47*$I47)),"➤",""),"")</f>
        <v/>
      </c>
      <c r="SR47" s="76" t="str">
        <f aca="false">IF($I47&gt;0%,IF(AND(SR$16&gt;=$F47,SR$16&lt;$F47+($G47*$I47)),"➤",""),"")</f>
        <v/>
      </c>
      <c r="SS47" s="76" t="str">
        <f aca="false">IF($I47&gt;0%,IF(AND(SS$16&gt;=$F47,SS$16&lt;$F47+($G47*$I47)),"➤",""),"")</f>
        <v/>
      </c>
      <c r="ST47" s="76" t="str">
        <f aca="false">IF($I47&gt;0%,IF(AND(ST$16&gt;=$F47,ST$16&lt;$F47+($G47*$I47)),"➤",""),"")</f>
        <v/>
      </c>
      <c r="SU47" s="76" t="str">
        <f aca="false">IF($I47&gt;0%,IF(AND(SU$16&gt;=$F47,SU$16&lt;$F47+($G47*$I47)),"➤",""),"")</f>
        <v/>
      </c>
      <c r="SV47" s="76" t="str">
        <f aca="false">IF($I47&gt;0%,IF(AND(SV$16&gt;=$F47,SV$16&lt;$F47+($G47*$I47)),"➤",""),"")</f>
        <v/>
      </c>
      <c r="SW47" s="77" t="str">
        <f aca="false">IF($I47&gt;0%,IF(AND(SW$16&gt;=$F47,SW$16&lt;$F47+($G47*$I47)),"➤",""),"")</f>
        <v/>
      </c>
    </row>
    <row r="48" customFormat="false" ht="14.25" hidden="false" customHeight="false" outlineLevel="1" collapsed="false">
      <c r="C48" s="10"/>
      <c r="D48" s="78"/>
      <c r="E48" s="79"/>
      <c r="F48" s="108" t="n">
        <v>44175</v>
      </c>
      <c r="G48" s="109" t="n">
        <v>5</v>
      </c>
      <c r="H48" s="96" t="n">
        <f aca="false">(F48+G48)-1</f>
        <v>44179</v>
      </c>
      <c r="I48" s="98" t="n">
        <v>0</v>
      </c>
      <c r="J48" s="84"/>
      <c r="K48" s="85"/>
      <c r="L48" s="75" t="str">
        <f aca="false">IF($I48&gt;0%,IF(AND(L$16&gt;=$F48,L$16&lt;$F48+($G48*$I48)),"➤",""),"")</f>
        <v/>
      </c>
      <c r="M48" s="76" t="str">
        <f aca="false">IF($I48&gt;0%,IF(AND(M$16&gt;=$F48,M$16&lt;$F48+($G48*$I48)),"➤",""),"")</f>
        <v/>
      </c>
      <c r="N48" s="76" t="str">
        <f aca="false">IF($I48&gt;0%,IF(AND(N$16&gt;=$F48,N$16&lt;$F48+($G48*$I48)),"➤",""),"")</f>
        <v/>
      </c>
      <c r="O48" s="76" t="str">
        <f aca="false">IF($I48&gt;0%,IF(AND(O$16&gt;=$F48,O$16&lt;$F48+($G48*$I48)),"➤",""),"")</f>
        <v/>
      </c>
      <c r="P48" s="76" t="str">
        <f aca="false">IF($I48&gt;0%,IF(AND(P$16&gt;=$F48,P$16&lt;$F48+($G48*$I48)),"➤",""),"")</f>
        <v/>
      </c>
      <c r="Q48" s="76" t="str">
        <f aca="false">IF($I48&gt;0%,IF(AND(Q$16&gt;=$F48,Q$16&lt;$F48+($G48*$I48)),"➤",""),"")</f>
        <v/>
      </c>
      <c r="R48" s="76" t="str">
        <f aca="false">IF($I48&gt;0%,IF(AND(R$16&gt;=$F48,R$16&lt;$F48+($G48*$I48)),"➤",""),"")</f>
        <v/>
      </c>
      <c r="S48" s="76" t="str">
        <f aca="false">IF($I48&gt;0%,IF(AND(S$16&gt;=$F48,S$16&lt;$F48+($G48*$I48)),"➤",""),"")</f>
        <v/>
      </c>
      <c r="T48" s="76" t="str">
        <f aca="false">IF($I48&gt;0%,IF(AND(T$16&gt;=$F48,T$16&lt;$F48+($G48*$I48)),"➤",""),"")</f>
        <v/>
      </c>
      <c r="U48" s="76" t="str">
        <f aca="false">IF($I48&gt;0%,IF(AND(U$16&gt;=$F48,U$16&lt;$F48+($G48*$I48)),"➤",""),"")</f>
        <v/>
      </c>
      <c r="V48" s="76" t="str">
        <f aca="false">IF($I48&gt;0%,IF(AND(V$16&gt;=$F48,V$16&lt;$F48+($G48*$I48)),"➤",""),"")</f>
        <v/>
      </c>
      <c r="W48" s="76" t="str">
        <f aca="false">IF($I48&gt;0%,IF(AND(W$16&gt;=$F48,W$16&lt;$F48+($G48*$I48)),"➤",""),"")</f>
        <v/>
      </c>
      <c r="X48" s="76" t="str">
        <f aca="false">IF($I48&gt;0%,IF(AND(X$16&gt;=$F48,X$16&lt;$F48+($G48*$I48)),"➤",""),"")</f>
        <v/>
      </c>
      <c r="Y48" s="76" t="str">
        <f aca="false">IF($I48&gt;0%,IF(AND(Y$16&gt;=$F48,Y$16&lt;$F48+($G48*$I48)),"➤",""),"")</f>
        <v/>
      </c>
      <c r="Z48" s="76" t="str">
        <f aca="false">IF($I48&gt;0%,IF(AND(Z$16&gt;=$F48,Z$16&lt;$F48+($G48*$I48)),"➤",""),"")</f>
        <v/>
      </c>
      <c r="AA48" s="76" t="str">
        <f aca="false">IF($I48&gt;0%,IF(AND(AA$16&gt;=$F48,AA$16&lt;$F48+($G48*$I48)),"➤",""),"")</f>
        <v/>
      </c>
      <c r="AB48" s="76" t="str">
        <f aca="false">IF($I48&gt;0%,IF(AND(AB$16&gt;=$F48,AB$16&lt;$F48+($G48*$I48)),"➤",""),"")</f>
        <v/>
      </c>
      <c r="AC48" s="76" t="str">
        <f aca="false">IF($I48&gt;0%,IF(AND(AC$16&gt;=$F48,AC$16&lt;$F48+($G48*$I48)),"➤",""),"")</f>
        <v/>
      </c>
      <c r="AD48" s="76" t="str">
        <f aca="false">IF($I48&gt;0%,IF(AND(AD$16&gt;=$F48,AD$16&lt;$F48+($G48*$I48)),"➤",""),"")</f>
        <v/>
      </c>
      <c r="AE48" s="76" t="str">
        <f aca="false">IF($I48&gt;0%,IF(AND(AE$16&gt;=$F48,AE$16&lt;$F48+($G48*$I48)),"➤",""),"")</f>
        <v/>
      </c>
      <c r="AF48" s="76" t="str">
        <f aca="false">IF($I48&gt;0%,IF(AND(AF$16&gt;=$F48,AF$16&lt;$F48+($G48*$I48)),"➤",""),"")</f>
        <v/>
      </c>
      <c r="AG48" s="76" t="str">
        <f aca="false">IF($I48&gt;0%,IF(AND(AG$16&gt;=$F48,AG$16&lt;$F48+($G48*$I48)),"➤",""),"")</f>
        <v/>
      </c>
      <c r="AH48" s="76" t="str">
        <f aca="false">IF($I48&gt;0%,IF(AND(AH$16&gt;=$F48,AH$16&lt;$F48+($G48*$I48)),"➤",""),"")</f>
        <v/>
      </c>
      <c r="AI48" s="76" t="str">
        <f aca="false">IF($I48&gt;0%,IF(AND(AI$16&gt;=$F48,AI$16&lt;$F48+($G48*$I48)),"➤",""),"")</f>
        <v/>
      </c>
      <c r="AJ48" s="76" t="str">
        <f aca="false">IF($I48&gt;0%,IF(AND(AJ$16&gt;=$F48,AJ$16&lt;$F48+($G48*$I48)),"➤",""),"")</f>
        <v/>
      </c>
      <c r="AK48" s="76" t="str">
        <f aca="false">IF($I48&gt;0%,IF(AND(AK$16&gt;=$F48,AK$16&lt;$F48+($G48*$I48)),"➤",""),"")</f>
        <v/>
      </c>
      <c r="AL48" s="76" t="str">
        <f aca="false">IF($I48&gt;0%,IF(AND(AL$16&gt;=$F48,AL$16&lt;$F48+($G48*$I48)),"➤",""),"")</f>
        <v/>
      </c>
      <c r="AM48" s="76" t="str">
        <f aca="false">IF($I48&gt;0%,IF(AND(AM$16&gt;=$F48,AM$16&lt;$F48+($G48*$I48)),"➤",""),"")</f>
        <v/>
      </c>
      <c r="AN48" s="76" t="str">
        <f aca="false">IF($I48&gt;0%,IF(AND(AN$16&gt;=$F48,AN$16&lt;$F48+($G48*$I48)),"➤",""),"")</f>
        <v/>
      </c>
      <c r="AO48" s="76" t="str">
        <f aca="false">IF($I48&gt;0%,IF(AND(AO$16&gt;=$F48,AO$16&lt;$F48+($G48*$I48)),"➤",""),"")</f>
        <v/>
      </c>
      <c r="AP48" s="76" t="str">
        <f aca="false">IF($I48&gt;0%,IF(AND(AP$16&gt;=$F48,AP$16&lt;$F48+($G48*$I48)),"➤",""),"")</f>
        <v/>
      </c>
      <c r="AQ48" s="76" t="str">
        <f aca="false">IF($I48&gt;0%,IF(AND(AQ$16&gt;=$F48,AQ$16&lt;$F48+($G48*$I48)),"➤",""),"")</f>
        <v/>
      </c>
      <c r="AR48" s="76" t="str">
        <f aca="false">IF($I48&gt;0%,IF(AND(AR$16&gt;=$F48,AR$16&lt;$F48+($G48*$I48)),"➤",""),"")</f>
        <v/>
      </c>
      <c r="AS48" s="76" t="str">
        <f aca="false">IF($I48&gt;0%,IF(AND(AS$16&gt;=$F48,AS$16&lt;$F48+($G48*$I48)),"➤",""),"")</f>
        <v/>
      </c>
      <c r="AT48" s="76" t="str">
        <f aca="false">IF($I48&gt;0%,IF(AND(AT$16&gt;=$F48,AT$16&lt;$F48+($G48*$I48)),"➤",""),"")</f>
        <v/>
      </c>
      <c r="AU48" s="76" t="str">
        <f aca="false">IF($I48&gt;0%,IF(AND(AU$16&gt;=$F48,AU$16&lt;$F48+($G48*$I48)),"➤",""),"")</f>
        <v/>
      </c>
      <c r="AV48" s="76" t="str">
        <f aca="false">IF($I48&gt;0%,IF(AND(AV$16&gt;=$F48,AV$16&lt;$F48+($G48*$I48)),"➤",""),"")</f>
        <v/>
      </c>
      <c r="AW48" s="76" t="str">
        <f aca="false">IF($I48&gt;0%,IF(AND(AW$16&gt;=$F48,AW$16&lt;$F48+($G48*$I48)),"➤",""),"")</f>
        <v/>
      </c>
      <c r="AX48" s="76" t="str">
        <f aca="false">IF($I48&gt;0%,IF(AND(AX$16&gt;=$F48,AX$16&lt;$F48+($G48*$I48)),"➤",""),"")</f>
        <v/>
      </c>
      <c r="AY48" s="76" t="str">
        <f aca="false">IF($I48&gt;0%,IF(AND(AY$16&gt;=$F48,AY$16&lt;$F48+($G48*$I48)),"➤",""),"")</f>
        <v/>
      </c>
      <c r="AZ48" s="76" t="str">
        <f aca="false">IF($I48&gt;0%,IF(AND(AZ$16&gt;=$F48,AZ$16&lt;$F48+($G48*$I48)),"➤",""),"")</f>
        <v/>
      </c>
      <c r="BA48" s="76" t="str">
        <f aca="false">IF($I48&gt;0%,IF(AND(BA$16&gt;=$F48,BA$16&lt;$F48+($G48*$I48)),"➤",""),"")</f>
        <v/>
      </c>
      <c r="BB48" s="76" t="str">
        <f aca="false">IF($I48&gt;0%,IF(AND(BB$16&gt;=$F48,BB$16&lt;$F48+($G48*$I48)),"➤",""),"")</f>
        <v/>
      </c>
      <c r="BC48" s="76" t="str">
        <f aca="false">IF($I48&gt;0%,IF(AND(BC$16&gt;=$F48,BC$16&lt;$F48+($G48*$I48)),"➤",""),"")</f>
        <v/>
      </c>
      <c r="BD48" s="76" t="str">
        <f aca="false">IF($I48&gt;0%,IF(AND(BD$16&gt;=$F48,BD$16&lt;$F48+($G48*$I48)),"➤",""),"")</f>
        <v/>
      </c>
      <c r="BE48" s="76" t="str">
        <f aca="false">IF($I48&gt;0%,IF(AND(BE$16&gt;=$F48,BE$16&lt;$F48+($G48*$I48)),"➤",""),"")</f>
        <v/>
      </c>
      <c r="BF48" s="76" t="str">
        <f aca="false">IF($I48&gt;0%,IF(AND(BF$16&gt;=$F48,BF$16&lt;$F48+($G48*$I48)),"➤",""),"")</f>
        <v/>
      </c>
      <c r="BG48" s="76" t="str">
        <f aca="false">IF($I48&gt;0%,IF(AND(BG$16&gt;=$F48,BG$16&lt;$F48+($G48*$I48)),"➤",""),"")</f>
        <v/>
      </c>
      <c r="BH48" s="76" t="str">
        <f aca="false">IF($I48&gt;0%,IF(AND(BH$16&gt;=$F48,BH$16&lt;$F48+($G48*$I48)),"➤",""),"")</f>
        <v/>
      </c>
      <c r="BI48" s="76" t="str">
        <f aca="false">IF($I48&gt;0%,IF(AND(BI$16&gt;=$F48,BI$16&lt;$F48+($G48*$I48)),"➤",""),"")</f>
        <v/>
      </c>
      <c r="BJ48" s="76" t="str">
        <f aca="false">IF($I48&gt;0%,IF(AND(BJ$16&gt;=$F48,BJ$16&lt;$F48+($G48*$I48)),"➤",""),"")</f>
        <v/>
      </c>
      <c r="BK48" s="76" t="str">
        <f aca="false">IF($I48&gt;0%,IF(AND(BK$16&gt;=$F48,BK$16&lt;$F48+($G48*$I48)),"➤",""),"")</f>
        <v/>
      </c>
      <c r="BL48" s="76" t="str">
        <f aca="false">IF($I48&gt;0%,IF(AND(BL$16&gt;=$F48,BL$16&lt;$F48+($G48*$I48)),"➤",""),"")</f>
        <v/>
      </c>
      <c r="BM48" s="76" t="str">
        <f aca="false">IF($I48&gt;0%,IF(AND(BM$16&gt;=$F48,BM$16&lt;$F48+($G48*$I48)),"➤",""),"")</f>
        <v/>
      </c>
      <c r="BN48" s="76" t="str">
        <f aca="false">IF($I48&gt;0%,IF(AND(BN$16&gt;=$F48,BN$16&lt;$F48+($G48*$I48)),"➤",""),"")</f>
        <v/>
      </c>
      <c r="BO48" s="76" t="str">
        <f aca="false">IF($I48&gt;0%,IF(AND(BO$16&gt;=$F48,BO$16&lt;$F48+($G48*$I48)),"➤",""),"")</f>
        <v/>
      </c>
      <c r="BP48" s="76" t="str">
        <f aca="false">IF($I48&gt;0%,IF(AND(BP$16&gt;=$F48,BP$16&lt;$F48+($G48*$I48)),"➤",""),"")</f>
        <v/>
      </c>
      <c r="BQ48" s="76" t="str">
        <f aca="false">IF($I48&gt;0%,IF(AND(BQ$16&gt;=$F48,BQ$16&lt;$F48+($G48*$I48)),"➤",""),"")</f>
        <v/>
      </c>
      <c r="BR48" s="76" t="str">
        <f aca="false">IF($I48&gt;0%,IF(AND(BR$16&gt;=$F48,BR$16&lt;$F48+($G48*$I48)),"➤",""),"")</f>
        <v/>
      </c>
      <c r="BS48" s="76" t="str">
        <f aca="false">IF($I48&gt;0%,IF(AND(BS$16&gt;=$F48,BS$16&lt;$F48+($G48*$I48)),"➤",""),"")</f>
        <v/>
      </c>
      <c r="BT48" s="76" t="str">
        <f aca="false">IF($I48&gt;0%,IF(AND(BT$16&gt;=$F48,BT$16&lt;$F48+($G48*$I48)),"➤",""),"")</f>
        <v/>
      </c>
      <c r="BU48" s="76" t="str">
        <f aca="false">IF($I48&gt;0%,IF(AND(BU$16&gt;=$F48,BU$16&lt;$F48+($G48*$I48)),"➤",""),"")</f>
        <v/>
      </c>
      <c r="BV48" s="76" t="str">
        <f aca="false">IF($I48&gt;0%,IF(AND(BV$16&gt;=$F48,BV$16&lt;$F48+($G48*$I48)),"➤",""),"")</f>
        <v/>
      </c>
      <c r="BW48" s="76" t="str">
        <f aca="false">IF($I48&gt;0%,IF(AND(BW$16&gt;=$F48,BW$16&lt;$F48+($G48*$I48)),"➤",""),"")</f>
        <v/>
      </c>
      <c r="BX48" s="76" t="str">
        <f aca="false">IF($I48&gt;0%,IF(AND(BX$16&gt;=$F48,BX$16&lt;$F48+($G48*$I48)),"➤",""),"")</f>
        <v/>
      </c>
      <c r="BY48" s="76" t="str">
        <f aca="false">IF($I48&gt;0%,IF(AND(BY$16&gt;=$F48,BY$16&lt;$F48+($G48*$I48)),"➤",""),"")</f>
        <v/>
      </c>
      <c r="BZ48" s="76" t="str">
        <f aca="false">IF($I48&gt;0%,IF(AND(BZ$16&gt;=$F48,BZ$16&lt;$F48+($G48*$I48)),"➤",""),"")</f>
        <v/>
      </c>
      <c r="CA48" s="76" t="str">
        <f aca="false">IF($I48&gt;0%,IF(AND(CA$16&gt;=$F48,CA$16&lt;$F48+($G48*$I48)),"➤",""),"")</f>
        <v/>
      </c>
      <c r="CB48" s="76" t="str">
        <f aca="false">IF($I48&gt;0%,IF(AND(CB$16&gt;=$F48,CB$16&lt;$F48+($G48*$I48)),"➤",""),"")</f>
        <v/>
      </c>
      <c r="CC48" s="76" t="str">
        <f aca="false">IF($I48&gt;0%,IF(AND(CC$16&gt;=$F48,CC$16&lt;$F48+($G48*$I48)),"➤",""),"")</f>
        <v/>
      </c>
      <c r="CD48" s="76" t="str">
        <f aca="false">IF($I48&gt;0%,IF(AND(CD$16&gt;=$F48,CD$16&lt;$F48+($G48*$I48)),"➤",""),"")</f>
        <v/>
      </c>
      <c r="CE48" s="76" t="str">
        <f aca="false">IF($I48&gt;0%,IF(AND(CE$16&gt;=$F48,CE$16&lt;$F48+($G48*$I48)),"➤",""),"")</f>
        <v/>
      </c>
      <c r="CF48" s="76" t="str">
        <f aca="false">IF($I48&gt;0%,IF(AND(CF$16&gt;=$F48,CF$16&lt;$F48+($G48*$I48)),"➤",""),"")</f>
        <v/>
      </c>
      <c r="CG48" s="76" t="str">
        <f aca="false">IF($I48&gt;0%,IF(AND(CG$16&gt;=$F48,CG$16&lt;$F48+($G48*$I48)),"➤",""),"")</f>
        <v/>
      </c>
      <c r="CH48" s="76" t="str">
        <f aca="false">IF($I48&gt;0%,IF(AND(CH$16&gt;=$F48,CH$16&lt;$F48+($G48*$I48)),"➤",""),"")</f>
        <v/>
      </c>
      <c r="CI48" s="76" t="str">
        <f aca="false">IF($I48&gt;0%,IF(AND(CI$16&gt;=$F48,CI$16&lt;$F48+($G48*$I48)),"➤",""),"")</f>
        <v/>
      </c>
      <c r="CJ48" s="76" t="str">
        <f aca="false">IF($I48&gt;0%,IF(AND(CJ$16&gt;=$F48,CJ$16&lt;$F48+($G48*$I48)),"➤",""),"")</f>
        <v/>
      </c>
      <c r="CK48" s="76" t="str">
        <f aca="false">IF($I48&gt;0%,IF(AND(CK$16&gt;=$F48,CK$16&lt;$F48+($G48*$I48)),"➤",""),"")</f>
        <v/>
      </c>
      <c r="CL48" s="76" t="str">
        <f aca="false">IF($I48&gt;0%,IF(AND(CL$16&gt;=$F48,CL$16&lt;$F48+($G48*$I48)),"➤",""),"")</f>
        <v/>
      </c>
      <c r="CM48" s="76" t="str">
        <f aca="false">IF($I48&gt;0%,IF(AND(CM$16&gt;=$F48,CM$16&lt;$F48+($G48*$I48)),"➤",""),"")</f>
        <v/>
      </c>
      <c r="CN48" s="76" t="str">
        <f aca="false">IF($I48&gt;0%,IF(AND(CN$16&gt;=$F48,CN$16&lt;$F48+($G48*$I48)),"➤",""),"")</f>
        <v/>
      </c>
      <c r="CO48" s="76" t="str">
        <f aca="false">IF($I48&gt;0%,IF(AND(CO$16&gt;=$F48,CO$16&lt;$F48+($G48*$I48)),"➤",""),"")</f>
        <v/>
      </c>
      <c r="CP48" s="76" t="str">
        <f aca="false">IF($I48&gt;0%,IF(AND(CP$16&gt;=$F48,CP$16&lt;$F48+($G48*$I48)),"➤",""),"")</f>
        <v/>
      </c>
      <c r="CQ48" s="76" t="str">
        <f aca="false">IF($I48&gt;0%,IF(AND(CQ$16&gt;=$F48,CQ$16&lt;$F48+($G48*$I48)),"➤",""),"")</f>
        <v/>
      </c>
      <c r="CR48" s="76" t="str">
        <f aca="false">IF($I48&gt;0%,IF(AND(CR$16&gt;=$F48,CR$16&lt;$F48+($G48*$I48)),"➤",""),"")</f>
        <v/>
      </c>
      <c r="CS48" s="76" t="str">
        <f aca="false">IF($I48&gt;0%,IF(AND(CS$16&gt;=$F48,CS$16&lt;$F48+($G48*$I48)),"➤",""),"")</f>
        <v/>
      </c>
      <c r="CT48" s="76" t="str">
        <f aca="false">IF($I48&gt;0%,IF(AND(CT$16&gt;=$F48,CT$16&lt;$F48+($G48*$I48)),"➤",""),"")</f>
        <v/>
      </c>
      <c r="CU48" s="76" t="str">
        <f aca="false">IF($I48&gt;0%,IF(AND(CU$16&gt;=$F48,CU$16&lt;$F48+($G48*$I48)),"➤",""),"")</f>
        <v/>
      </c>
      <c r="CV48" s="76" t="str">
        <f aca="false">IF($I48&gt;0%,IF(AND(CV$16&gt;=$F48,CV$16&lt;$F48+($G48*$I48)),"➤",""),"")</f>
        <v/>
      </c>
      <c r="CW48" s="76" t="str">
        <f aca="false">IF($I48&gt;0%,IF(AND(CW$16&gt;=$F48,CW$16&lt;$F48+($G48*$I48)),"➤",""),"")</f>
        <v/>
      </c>
      <c r="CX48" s="76" t="str">
        <f aca="false">IF($I48&gt;0%,IF(AND(CX$16&gt;=$F48,CX$16&lt;$F48+($G48*$I48)),"➤",""),"")</f>
        <v/>
      </c>
      <c r="CY48" s="76" t="str">
        <f aca="false">IF($I48&gt;0%,IF(AND(CY$16&gt;=$F48,CY$16&lt;$F48+($G48*$I48)),"➤",""),"")</f>
        <v/>
      </c>
      <c r="CZ48" s="76" t="str">
        <f aca="false">IF($I48&gt;0%,IF(AND(CZ$16&gt;=$F48,CZ$16&lt;$F48+($G48*$I48)),"➤",""),"")</f>
        <v/>
      </c>
      <c r="DA48" s="76" t="str">
        <f aca="false">IF($I48&gt;0%,IF(AND(DA$16&gt;=$F48,DA$16&lt;$F48+($G48*$I48)),"➤",""),"")</f>
        <v/>
      </c>
      <c r="DB48" s="76" t="str">
        <f aca="false">IF($I48&gt;0%,IF(AND(DB$16&gt;=$F48,DB$16&lt;$F48+($G48*$I48)),"➤",""),"")</f>
        <v/>
      </c>
      <c r="DC48" s="76" t="str">
        <f aca="false">IF($I48&gt;0%,IF(AND(DC$16&gt;=$F48,DC$16&lt;$F48+($G48*$I48)),"➤",""),"")</f>
        <v/>
      </c>
      <c r="DD48" s="76" t="str">
        <f aca="false">IF($I48&gt;0%,IF(AND(DD$16&gt;=$F48,DD$16&lt;$F48+($G48*$I48)),"➤",""),"")</f>
        <v/>
      </c>
      <c r="DE48" s="76" t="str">
        <f aca="false">IF($I48&gt;0%,IF(AND(DE$16&gt;=$F48,DE$16&lt;$F48+($G48*$I48)),"➤",""),"")</f>
        <v/>
      </c>
      <c r="DF48" s="76" t="str">
        <f aca="false">IF($I48&gt;0%,IF(AND(DF$16&gt;=$F48,DF$16&lt;$F48+($G48*$I48)),"➤",""),"")</f>
        <v/>
      </c>
      <c r="DG48" s="76" t="str">
        <f aca="false">IF($I48&gt;0%,IF(AND(DG$16&gt;=$F48,DG$16&lt;$F48+($G48*$I48)),"➤",""),"")</f>
        <v/>
      </c>
      <c r="DH48" s="76" t="str">
        <f aca="false">IF($I48&gt;0%,IF(AND(DH$16&gt;=$F48,DH$16&lt;$F48+($G48*$I48)),"➤",""),"")</f>
        <v/>
      </c>
      <c r="DI48" s="76" t="str">
        <f aca="false">IF($I48&gt;0%,IF(AND(DI$16&gt;=$F48,DI$16&lt;$F48+($G48*$I48)),"➤",""),"")</f>
        <v/>
      </c>
      <c r="DJ48" s="76" t="str">
        <f aca="false">IF($I48&gt;0%,IF(AND(DJ$16&gt;=$F48,DJ$16&lt;$F48+($G48*$I48)),"➤",""),"")</f>
        <v/>
      </c>
      <c r="DK48" s="76" t="str">
        <f aca="false">IF($I48&gt;0%,IF(AND(DK$16&gt;=$F48,DK$16&lt;$F48+($G48*$I48)),"➤",""),"")</f>
        <v/>
      </c>
      <c r="DL48" s="76" t="str">
        <f aca="false">IF($I48&gt;0%,IF(AND(DL$16&gt;=$F48,DL$16&lt;$F48+($G48*$I48)),"➤",""),"")</f>
        <v/>
      </c>
      <c r="DM48" s="76" t="str">
        <f aca="false">IF($I48&gt;0%,IF(AND(DM$16&gt;=$F48,DM$16&lt;$F48+($G48*$I48)),"➤",""),"")</f>
        <v/>
      </c>
      <c r="DN48" s="76" t="str">
        <f aca="false">IF($I48&gt;0%,IF(AND(DN$16&gt;=$F48,DN$16&lt;$F48+($G48*$I48)),"➤",""),"")</f>
        <v/>
      </c>
      <c r="DO48" s="76" t="str">
        <f aca="false">IF($I48&gt;0%,IF(AND(DO$16&gt;=$F48,DO$16&lt;$F48+($G48*$I48)),"➤",""),"")</f>
        <v/>
      </c>
      <c r="DP48" s="76" t="str">
        <f aca="false">IF($I48&gt;0%,IF(AND(DP$16&gt;=$F48,DP$16&lt;$F48+($G48*$I48)),"➤",""),"")</f>
        <v/>
      </c>
      <c r="DQ48" s="76" t="str">
        <f aca="false">IF($I48&gt;0%,IF(AND(DQ$16&gt;=$F48,DQ$16&lt;$F48+($G48*$I48)),"➤",""),"")</f>
        <v/>
      </c>
      <c r="DR48" s="76" t="str">
        <f aca="false">IF($I48&gt;0%,IF(AND(DR$16&gt;=$F48,DR$16&lt;$F48+($G48*$I48)),"➤",""),"")</f>
        <v/>
      </c>
      <c r="DS48" s="76" t="str">
        <f aca="false">IF($I48&gt;0%,IF(AND(DS$16&gt;=$F48,DS$16&lt;$F48+($G48*$I48)),"➤",""),"")</f>
        <v/>
      </c>
      <c r="DT48" s="76" t="str">
        <f aca="false">IF($I48&gt;0%,IF(AND(DT$16&gt;=$F48,DT$16&lt;$F48+($G48*$I48)),"➤",""),"")</f>
        <v/>
      </c>
      <c r="DU48" s="76" t="str">
        <f aca="false">IF($I48&gt;0%,IF(AND(DU$16&gt;=$F48,DU$16&lt;$F48+($G48*$I48)),"➤",""),"")</f>
        <v/>
      </c>
      <c r="DV48" s="76" t="str">
        <f aca="false">IF($I48&gt;0%,IF(AND(DV$16&gt;=$F48,DV$16&lt;$F48+($G48*$I48)),"➤",""),"")</f>
        <v/>
      </c>
      <c r="DW48" s="76" t="str">
        <f aca="false">IF($I48&gt;0%,IF(AND(DW$16&gt;=$F48,DW$16&lt;$F48+($G48*$I48)),"➤",""),"")</f>
        <v/>
      </c>
      <c r="DX48" s="76" t="str">
        <f aca="false">IF($I48&gt;0%,IF(AND(DX$16&gt;=$F48,DX$16&lt;$F48+($G48*$I48)),"➤",""),"")</f>
        <v/>
      </c>
      <c r="DY48" s="76" t="str">
        <f aca="false">IF($I48&gt;0%,IF(AND(DY$16&gt;=$F48,DY$16&lt;$F48+($G48*$I48)),"➤",""),"")</f>
        <v/>
      </c>
      <c r="DZ48" s="76" t="str">
        <f aca="false">IF($I48&gt;0%,IF(AND(DZ$16&gt;=$F48,DZ$16&lt;$F48+($G48*$I48)),"➤",""),"")</f>
        <v/>
      </c>
      <c r="EA48" s="76" t="str">
        <f aca="false">IF($I48&gt;0%,IF(AND(EA$16&gt;=$F48,EA$16&lt;$F48+($G48*$I48)),"➤",""),"")</f>
        <v/>
      </c>
      <c r="EB48" s="76" t="str">
        <f aca="false">IF($I48&gt;0%,IF(AND(EB$16&gt;=$F48,EB$16&lt;$F48+($G48*$I48)),"➤",""),"")</f>
        <v/>
      </c>
      <c r="EC48" s="76" t="str">
        <f aca="false">IF($I48&gt;0%,IF(AND(EC$16&gt;=$F48,EC$16&lt;$F48+($G48*$I48)),"➤",""),"")</f>
        <v/>
      </c>
      <c r="ED48" s="76" t="str">
        <f aca="false">IF($I48&gt;0%,IF(AND(ED$16&gt;=$F48,ED$16&lt;$F48+($G48*$I48)),"➤",""),"")</f>
        <v/>
      </c>
      <c r="EE48" s="76" t="str">
        <f aca="false">IF($I48&gt;0%,IF(AND(EE$16&gt;=$F48,EE$16&lt;$F48+($G48*$I48)),"➤",""),"")</f>
        <v/>
      </c>
      <c r="EF48" s="76" t="str">
        <f aca="false">IF($I48&gt;0%,IF(AND(EF$16&gt;=$F48,EF$16&lt;$F48+($G48*$I48)),"➤",""),"")</f>
        <v/>
      </c>
      <c r="EG48" s="76" t="str">
        <f aca="false">IF($I48&gt;0%,IF(AND(EG$16&gt;=$F48,EG$16&lt;$F48+($G48*$I48)),"➤",""),"")</f>
        <v/>
      </c>
      <c r="EH48" s="76" t="str">
        <f aca="false">IF($I48&gt;0%,IF(AND(EH$16&gt;=$F48,EH$16&lt;$F48+($G48*$I48)),"➤",""),"")</f>
        <v/>
      </c>
      <c r="EI48" s="76" t="str">
        <f aca="false">IF($I48&gt;0%,IF(AND(EI$16&gt;=$F48,EI$16&lt;$F48+($G48*$I48)),"➤",""),"")</f>
        <v/>
      </c>
      <c r="EJ48" s="76" t="str">
        <f aca="false">IF($I48&gt;0%,IF(AND(EJ$16&gt;=$F48,EJ$16&lt;$F48+($G48*$I48)),"➤",""),"")</f>
        <v/>
      </c>
      <c r="EK48" s="76" t="str">
        <f aca="false">IF($I48&gt;0%,IF(AND(EK$16&gt;=$F48,EK$16&lt;$F48+($G48*$I48)),"➤",""),"")</f>
        <v/>
      </c>
      <c r="EL48" s="76" t="str">
        <f aca="false">IF($I48&gt;0%,IF(AND(EL$16&gt;=$F48,EL$16&lt;$F48+($G48*$I48)),"➤",""),"")</f>
        <v/>
      </c>
      <c r="EM48" s="76" t="str">
        <f aca="false">IF($I48&gt;0%,IF(AND(EM$16&gt;=$F48,EM$16&lt;$F48+($G48*$I48)),"➤",""),"")</f>
        <v/>
      </c>
      <c r="EN48" s="76" t="str">
        <f aca="false">IF($I48&gt;0%,IF(AND(EN$16&gt;=$F48,EN$16&lt;$F48+($G48*$I48)),"➤",""),"")</f>
        <v/>
      </c>
      <c r="EO48" s="76" t="str">
        <f aca="false">IF($I48&gt;0%,IF(AND(EO$16&gt;=$F48,EO$16&lt;$F48+($G48*$I48)),"➤",""),"")</f>
        <v/>
      </c>
      <c r="EP48" s="76" t="str">
        <f aca="false">IF($I48&gt;0%,IF(AND(EP$16&gt;=$F48,EP$16&lt;$F48+($G48*$I48)),"➤",""),"")</f>
        <v/>
      </c>
      <c r="EQ48" s="76" t="str">
        <f aca="false">IF($I48&gt;0%,IF(AND(EQ$16&gt;=$F48,EQ$16&lt;$F48+($G48*$I48)),"➤",""),"")</f>
        <v/>
      </c>
      <c r="ER48" s="76" t="str">
        <f aca="false">IF($I48&gt;0%,IF(AND(ER$16&gt;=$F48,ER$16&lt;$F48+($G48*$I48)),"➤",""),"")</f>
        <v/>
      </c>
      <c r="ES48" s="76" t="str">
        <f aca="false">IF($I48&gt;0%,IF(AND(ES$16&gt;=$F48,ES$16&lt;$F48+($G48*$I48)),"➤",""),"")</f>
        <v/>
      </c>
      <c r="ET48" s="76" t="str">
        <f aca="false">IF($I48&gt;0%,IF(AND(ET$16&gt;=$F48,ET$16&lt;$F48+($G48*$I48)),"➤",""),"")</f>
        <v/>
      </c>
      <c r="EU48" s="76" t="str">
        <f aca="false">IF($I48&gt;0%,IF(AND(EU$16&gt;=$F48,EU$16&lt;$F48+($G48*$I48)),"➤",""),"")</f>
        <v/>
      </c>
      <c r="EV48" s="76" t="str">
        <f aca="false">IF($I48&gt;0%,IF(AND(EV$16&gt;=$F48,EV$16&lt;$F48+($G48*$I48)),"➤",""),"")</f>
        <v/>
      </c>
      <c r="EW48" s="76" t="str">
        <f aca="false">IF($I48&gt;0%,IF(AND(EW$16&gt;=$F48,EW$16&lt;$F48+($G48*$I48)),"➤",""),"")</f>
        <v/>
      </c>
      <c r="EX48" s="76" t="str">
        <f aca="false">IF($I48&gt;0%,IF(AND(EX$16&gt;=$F48,EX$16&lt;$F48+($G48*$I48)),"➤",""),"")</f>
        <v/>
      </c>
      <c r="EY48" s="76" t="str">
        <f aca="false">IF($I48&gt;0%,IF(AND(EY$16&gt;=$F48,EY$16&lt;$F48+($G48*$I48)),"➤",""),"")</f>
        <v/>
      </c>
      <c r="EZ48" s="76" t="str">
        <f aca="false">IF($I48&gt;0%,IF(AND(EZ$16&gt;=$F48,EZ$16&lt;$F48+($G48*$I48)),"➤",""),"")</f>
        <v/>
      </c>
      <c r="FA48" s="76" t="str">
        <f aca="false">IF($I48&gt;0%,IF(AND(FA$16&gt;=$F48,FA$16&lt;$F48+($G48*$I48)),"➤",""),"")</f>
        <v/>
      </c>
      <c r="FB48" s="76" t="str">
        <f aca="false">IF($I48&gt;0%,IF(AND(FB$16&gt;=$F48,FB$16&lt;$F48+($G48*$I48)),"➤",""),"")</f>
        <v/>
      </c>
      <c r="FC48" s="76" t="str">
        <f aca="false">IF($I48&gt;0%,IF(AND(FC$16&gt;=$F48,FC$16&lt;$F48+($G48*$I48)),"➤",""),"")</f>
        <v/>
      </c>
      <c r="FD48" s="76" t="str">
        <f aca="false">IF($I48&gt;0%,IF(AND(FD$16&gt;=$F48,FD$16&lt;$F48+($G48*$I48)),"➤",""),"")</f>
        <v/>
      </c>
      <c r="FE48" s="76" t="str">
        <f aca="false">IF($I48&gt;0%,IF(AND(FE$16&gt;=$F48,FE$16&lt;$F48+($G48*$I48)),"➤",""),"")</f>
        <v/>
      </c>
      <c r="FF48" s="76" t="str">
        <f aca="false">IF($I48&gt;0%,IF(AND(FF$16&gt;=$F48,FF$16&lt;$F48+($G48*$I48)),"➤",""),"")</f>
        <v/>
      </c>
      <c r="FG48" s="76" t="str">
        <f aca="false">IF($I48&gt;0%,IF(AND(FG$16&gt;=$F48,FG$16&lt;$F48+($G48*$I48)),"➤",""),"")</f>
        <v/>
      </c>
      <c r="FH48" s="76" t="str">
        <f aca="false">IF($I48&gt;0%,IF(AND(FH$16&gt;=$F48,FH$16&lt;$F48+($G48*$I48)),"➤",""),"")</f>
        <v/>
      </c>
      <c r="FI48" s="76" t="str">
        <f aca="false">IF($I48&gt;0%,IF(AND(FI$16&gt;=$F48,FI$16&lt;$F48+($G48*$I48)),"➤",""),"")</f>
        <v/>
      </c>
      <c r="FJ48" s="76" t="str">
        <f aca="false">IF($I48&gt;0%,IF(AND(FJ$16&gt;=$F48,FJ$16&lt;$F48+($G48*$I48)),"➤",""),"")</f>
        <v/>
      </c>
      <c r="FK48" s="76" t="str">
        <f aca="false">IF($I48&gt;0%,IF(AND(FK$16&gt;=$F48,FK$16&lt;$F48+($G48*$I48)),"➤",""),"")</f>
        <v/>
      </c>
      <c r="FL48" s="76" t="str">
        <f aca="false">IF($I48&gt;0%,IF(AND(FL$16&gt;=$F48,FL$16&lt;$F48+($G48*$I48)),"➤",""),"")</f>
        <v/>
      </c>
      <c r="FM48" s="76" t="str">
        <f aca="false">IF($I48&gt;0%,IF(AND(FM$16&gt;=$F48,FM$16&lt;$F48+($G48*$I48)),"➤",""),"")</f>
        <v/>
      </c>
      <c r="FN48" s="76" t="str">
        <f aca="false">IF($I48&gt;0%,IF(AND(FN$16&gt;=$F48,FN$16&lt;$F48+($G48*$I48)),"➤",""),"")</f>
        <v/>
      </c>
      <c r="FO48" s="76" t="str">
        <f aca="false">IF($I48&gt;0%,IF(AND(FO$16&gt;=$F48,FO$16&lt;$F48+($G48*$I48)),"➤",""),"")</f>
        <v/>
      </c>
      <c r="FP48" s="76" t="str">
        <f aca="false">IF($I48&gt;0%,IF(AND(FP$16&gt;=$F48,FP$16&lt;$F48+($G48*$I48)),"➤",""),"")</f>
        <v/>
      </c>
      <c r="FQ48" s="76" t="str">
        <f aca="false">IF($I48&gt;0%,IF(AND(FQ$16&gt;=$F48,FQ$16&lt;$F48+($G48*$I48)),"➤",""),"")</f>
        <v/>
      </c>
      <c r="FR48" s="76" t="str">
        <f aca="false">IF($I48&gt;0%,IF(AND(FR$16&gt;=$F48,FR$16&lt;$F48+($G48*$I48)),"➤",""),"")</f>
        <v/>
      </c>
      <c r="FS48" s="76" t="str">
        <f aca="false">IF($I48&gt;0%,IF(AND(FS$16&gt;=$F48,FS$16&lt;$F48+($G48*$I48)),"➤",""),"")</f>
        <v/>
      </c>
      <c r="FT48" s="76" t="str">
        <f aca="false">IF($I48&gt;0%,IF(AND(FT$16&gt;=$F48,FT$16&lt;$F48+($G48*$I48)),"➤",""),"")</f>
        <v/>
      </c>
      <c r="FU48" s="76" t="str">
        <f aca="false">IF($I48&gt;0%,IF(AND(FU$16&gt;=$F48,FU$16&lt;$F48+($G48*$I48)),"➤",""),"")</f>
        <v/>
      </c>
      <c r="FV48" s="76" t="str">
        <f aca="false">IF($I48&gt;0%,IF(AND(FV$16&gt;=$F48,FV$16&lt;$F48+($G48*$I48)),"➤",""),"")</f>
        <v/>
      </c>
      <c r="FW48" s="76" t="str">
        <f aca="false">IF($I48&gt;0%,IF(AND(FW$16&gt;=$F48,FW$16&lt;$F48+($G48*$I48)),"➤",""),"")</f>
        <v/>
      </c>
      <c r="FX48" s="76" t="str">
        <f aca="false">IF($I48&gt;0%,IF(AND(FX$16&gt;=$F48,FX$16&lt;$F48+($G48*$I48)),"➤",""),"")</f>
        <v/>
      </c>
      <c r="FY48" s="76" t="str">
        <f aca="false">IF($I48&gt;0%,IF(AND(FY$16&gt;=$F48,FY$16&lt;$F48+($G48*$I48)),"➤",""),"")</f>
        <v/>
      </c>
      <c r="FZ48" s="76" t="str">
        <f aca="false">IF($I48&gt;0%,IF(AND(FZ$16&gt;=$F48,FZ$16&lt;$F48+($G48*$I48)),"➤",""),"")</f>
        <v/>
      </c>
      <c r="GA48" s="76" t="str">
        <f aca="false">IF($I48&gt;0%,IF(AND(GA$16&gt;=$F48,GA$16&lt;$F48+($G48*$I48)),"➤",""),"")</f>
        <v/>
      </c>
      <c r="GB48" s="76" t="str">
        <f aca="false">IF($I48&gt;0%,IF(AND(GB$16&gt;=$F48,GB$16&lt;$F48+($G48*$I48)),"➤",""),"")</f>
        <v/>
      </c>
      <c r="GC48" s="76" t="str">
        <f aca="false">IF($I48&gt;0%,IF(AND(GC$16&gt;=$F48,GC$16&lt;$F48+($G48*$I48)),"➤",""),"")</f>
        <v/>
      </c>
      <c r="GD48" s="76" t="str">
        <f aca="false">IF($I48&gt;0%,IF(AND(GD$16&gt;=$F48,GD$16&lt;$F48+($G48*$I48)),"➤",""),"")</f>
        <v/>
      </c>
      <c r="GE48" s="76" t="str">
        <f aca="false">IF($I48&gt;0%,IF(AND(GE$16&gt;=$F48,GE$16&lt;$F48+($G48*$I48)),"➤",""),"")</f>
        <v/>
      </c>
      <c r="GF48" s="76" t="str">
        <f aca="false">IF($I48&gt;0%,IF(AND(GF$16&gt;=$F48,GF$16&lt;$F48+($G48*$I48)),"➤",""),"")</f>
        <v/>
      </c>
      <c r="GG48" s="76" t="str">
        <f aca="false">IF($I48&gt;0%,IF(AND(GG$16&gt;=$F48,GG$16&lt;$F48+($G48*$I48)),"➤",""),"")</f>
        <v/>
      </c>
      <c r="GH48" s="76" t="str">
        <f aca="false">IF($I48&gt;0%,IF(AND(GH$16&gt;=$F48,GH$16&lt;$F48+($G48*$I48)),"➤",""),"")</f>
        <v/>
      </c>
      <c r="GI48" s="76" t="str">
        <f aca="false">IF($I48&gt;0%,IF(AND(GI$16&gt;=$F48,GI$16&lt;$F48+($G48*$I48)),"➤",""),"")</f>
        <v/>
      </c>
      <c r="GJ48" s="76" t="str">
        <f aca="false">IF($I48&gt;0%,IF(AND(GJ$16&gt;=$F48,GJ$16&lt;$F48+($G48*$I48)),"➤",""),"")</f>
        <v/>
      </c>
      <c r="GK48" s="76" t="str">
        <f aca="false">IF($I48&gt;0%,IF(AND(GK$16&gt;=$F48,GK$16&lt;$F48+($G48*$I48)),"➤",""),"")</f>
        <v/>
      </c>
      <c r="GL48" s="76" t="str">
        <f aca="false">IF($I48&gt;0%,IF(AND(GL$16&gt;=$F48,GL$16&lt;$F48+($G48*$I48)),"➤",""),"")</f>
        <v/>
      </c>
      <c r="GM48" s="76" t="str">
        <f aca="false">IF($I48&gt;0%,IF(AND(GM$16&gt;=$F48,GM$16&lt;$F48+($G48*$I48)),"➤",""),"")</f>
        <v/>
      </c>
      <c r="GN48" s="76" t="str">
        <f aca="false">IF($I48&gt;0%,IF(AND(GN$16&gt;=$F48,GN$16&lt;$F48+($G48*$I48)),"➤",""),"")</f>
        <v/>
      </c>
      <c r="GO48" s="76" t="str">
        <f aca="false">IF($I48&gt;0%,IF(AND(GO$16&gt;=$F48,GO$16&lt;$F48+($G48*$I48)),"➤",""),"")</f>
        <v/>
      </c>
      <c r="GP48" s="76" t="str">
        <f aca="false">IF($I48&gt;0%,IF(AND(GP$16&gt;=$F48,GP$16&lt;$F48+($G48*$I48)),"➤",""),"")</f>
        <v/>
      </c>
      <c r="GQ48" s="76" t="str">
        <f aca="false">IF($I48&gt;0%,IF(AND(GQ$16&gt;=$F48,GQ$16&lt;$F48+($G48*$I48)),"➤",""),"")</f>
        <v/>
      </c>
      <c r="GR48" s="76" t="str">
        <f aca="false">IF($I48&gt;0%,IF(AND(GR$16&gt;=$F48,GR$16&lt;$F48+($G48*$I48)),"➤",""),"")</f>
        <v/>
      </c>
      <c r="GS48" s="76" t="str">
        <f aca="false">IF($I48&gt;0%,IF(AND(GS$16&gt;=$F48,GS$16&lt;$F48+($G48*$I48)),"➤",""),"")</f>
        <v/>
      </c>
      <c r="GT48" s="76" t="str">
        <f aca="false">IF($I48&gt;0%,IF(AND(GT$16&gt;=$F48,GT$16&lt;$F48+($G48*$I48)),"➤",""),"")</f>
        <v/>
      </c>
      <c r="GU48" s="76" t="str">
        <f aca="false">IF($I48&gt;0%,IF(AND(GU$16&gt;=$F48,GU$16&lt;$F48+($G48*$I48)),"➤",""),"")</f>
        <v/>
      </c>
      <c r="GV48" s="76" t="str">
        <f aca="false">IF($I48&gt;0%,IF(AND(GV$16&gt;=$F48,GV$16&lt;$F48+($G48*$I48)),"➤",""),"")</f>
        <v/>
      </c>
      <c r="GW48" s="76" t="str">
        <f aca="false">IF($I48&gt;0%,IF(AND(GW$16&gt;=$F48,GW$16&lt;$F48+($G48*$I48)),"➤",""),"")</f>
        <v/>
      </c>
      <c r="GX48" s="76" t="str">
        <f aca="false">IF($I48&gt;0%,IF(AND(GX$16&gt;=$F48,GX$16&lt;$F48+($G48*$I48)),"➤",""),"")</f>
        <v/>
      </c>
      <c r="GY48" s="76" t="str">
        <f aca="false">IF($I48&gt;0%,IF(AND(GY$16&gt;=$F48,GY$16&lt;$F48+($G48*$I48)),"➤",""),"")</f>
        <v/>
      </c>
      <c r="GZ48" s="76" t="str">
        <f aca="false">IF($I48&gt;0%,IF(AND(GZ$16&gt;=$F48,GZ$16&lt;$F48+($G48*$I48)),"➤",""),"")</f>
        <v/>
      </c>
      <c r="HA48" s="76" t="str">
        <f aca="false">IF($I48&gt;0%,IF(AND(HA$16&gt;=$F48,HA$16&lt;$F48+($G48*$I48)),"➤",""),"")</f>
        <v/>
      </c>
      <c r="HB48" s="76" t="str">
        <f aca="false">IF($I48&gt;0%,IF(AND(HB$16&gt;=$F48,HB$16&lt;$F48+($G48*$I48)),"➤",""),"")</f>
        <v/>
      </c>
      <c r="HC48" s="76" t="str">
        <f aca="false">IF($I48&gt;0%,IF(AND(HC$16&gt;=$F48,HC$16&lt;$F48+($G48*$I48)),"➤",""),"")</f>
        <v/>
      </c>
      <c r="HD48" s="76" t="str">
        <f aca="false">IF($I48&gt;0%,IF(AND(HD$16&gt;=$F48,HD$16&lt;$F48+($G48*$I48)),"➤",""),"")</f>
        <v/>
      </c>
      <c r="HE48" s="76" t="str">
        <f aca="false">IF($I48&gt;0%,IF(AND(HE$16&gt;=$F48,HE$16&lt;$F48+($G48*$I48)),"➤",""),"")</f>
        <v/>
      </c>
      <c r="HF48" s="76" t="str">
        <f aca="false">IF($I48&gt;0%,IF(AND(HF$16&gt;=$F48,HF$16&lt;$F48+($G48*$I48)),"➤",""),"")</f>
        <v/>
      </c>
      <c r="HG48" s="76" t="str">
        <f aca="false">IF($I48&gt;0%,IF(AND(HG$16&gt;=$F48,HG$16&lt;$F48+($G48*$I48)),"➤",""),"")</f>
        <v/>
      </c>
      <c r="HH48" s="76" t="str">
        <f aca="false">IF($I48&gt;0%,IF(AND(HH$16&gt;=$F48,HH$16&lt;$F48+($G48*$I48)),"➤",""),"")</f>
        <v/>
      </c>
      <c r="HI48" s="76" t="str">
        <f aca="false">IF($I48&gt;0%,IF(AND(HI$16&gt;=$F48,HI$16&lt;$F48+($G48*$I48)),"➤",""),"")</f>
        <v/>
      </c>
      <c r="HJ48" s="76" t="str">
        <f aca="false">IF($I48&gt;0%,IF(AND(HJ$16&gt;=$F48,HJ$16&lt;$F48+($G48*$I48)),"➤",""),"")</f>
        <v/>
      </c>
      <c r="HK48" s="76" t="str">
        <f aca="false">IF($I48&gt;0%,IF(AND(HK$16&gt;=$F48,HK$16&lt;$F48+($G48*$I48)),"➤",""),"")</f>
        <v/>
      </c>
      <c r="HL48" s="76" t="str">
        <f aca="false">IF($I48&gt;0%,IF(AND(HL$16&gt;=$F48,HL$16&lt;$F48+($G48*$I48)),"➤",""),"")</f>
        <v/>
      </c>
      <c r="HM48" s="76" t="str">
        <f aca="false">IF($I48&gt;0%,IF(AND(HM$16&gt;=$F48,HM$16&lt;$F48+($G48*$I48)),"➤",""),"")</f>
        <v/>
      </c>
      <c r="HN48" s="76" t="str">
        <f aca="false">IF($I48&gt;0%,IF(AND(HN$16&gt;=$F48,HN$16&lt;$F48+($G48*$I48)),"➤",""),"")</f>
        <v/>
      </c>
      <c r="HO48" s="76" t="str">
        <f aca="false">IF($I48&gt;0%,IF(AND(HO$16&gt;=$F48,HO$16&lt;$F48+($G48*$I48)),"➤",""),"")</f>
        <v/>
      </c>
      <c r="HP48" s="76" t="str">
        <f aca="false">IF($I48&gt;0%,IF(AND(HP$16&gt;=$F48,HP$16&lt;$F48+($G48*$I48)),"➤",""),"")</f>
        <v/>
      </c>
      <c r="HQ48" s="76" t="str">
        <f aca="false">IF($I48&gt;0%,IF(AND(HQ$16&gt;=$F48,HQ$16&lt;$F48+($G48*$I48)),"➤",""),"")</f>
        <v/>
      </c>
      <c r="HR48" s="76" t="str">
        <f aca="false">IF($I48&gt;0%,IF(AND(HR$16&gt;=$F48,HR$16&lt;$F48+($G48*$I48)),"➤",""),"")</f>
        <v/>
      </c>
      <c r="HS48" s="76" t="str">
        <f aca="false">IF($I48&gt;0%,IF(AND(HS$16&gt;=$F48,HS$16&lt;$F48+($G48*$I48)),"➤",""),"")</f>
        <v/>
      </c>
      <c r="HT48" s="76" t="str">
        <f aca="false">IF($I48&gt;0%,IF(AND(HT$16&gt;=$F48,HT$16&lt;$F48+($G48*$I48)),"➤",""),"")</f>
        <v/>
      </c>
      <c r="HU48" s="76" t="str">
        <f aca="false">IF($I48&gt;0%,IF(AND(HU$16&gt;=$F48,HU$16&lt;$F48+($G48*$I48)),"➤",""),"")</f>
        <v/>
      </c>
      <c r="HV48" s="76" t="str">
        <f aca="false">IF($I48&gt;0%,IF(AND(HV$16&gt;=$F48,HV$16&lt;$F48+($G48*$I48)),"➤",""),"")</f>
        <v/>
      </c>
      <c r="HW48" s="76" t="str">
        <f aca="false">IF($I48&gt;0%,IF(AND(HW$16&gt;=$F48,HW$16&lt;$F48+($G48*$I48)),"➤",""),"")</f>
        <v/>
      </c>
      <c r="HX48" s="76" t="str">
        <f aca="false">IF($I48&gt;0%,IF(AND(HX$16&gt;=$F48,HX$16&lt;$F48+($G48*$I48)),"➤",""),"")</f>
        <v/>
      </c>
      <c r="HY48" s="76" t="str">
        <f aca="false">IF($I48&gt;0%,IF(AND(HY$16&gt;=$F48,HY$16&lt;$F48+($G48*$I48)),"➤",""),"")</f>
        <v/>
      </c>
      <c r="HZ48" s="76" t="str">
        <f aca="false">IF($I48&gt;0%,IF(AND(HZ$16&gt;=$F48,HZ$16&lt;$F48+($G48*$I48)),"➤",""),"")</f>
        <v/>
      </c>
      <c r="IA48" s="76" t="str">
        <f aca="false">IF($I48&gt;0%,IF(AND(IA$16&gt;=$F48,IA$16&lt;$F48+($G48*$I48)),"➤",""),"")</f>
        <v/>
      </c>
      <c r="IB48" s="76" t="str">
        <f aca="false">IF($I48&gt;0%,IF(AND(IB$16&gt;=$F48,IB$16&lt;$F48+($G48*$I48)),"➤",""),"")</f>
        <v/>
      </c>
      <c r="IC48" s="76" t="str">
        <f aca="false">IF($I48&gt;0%,IF(AND(IC$16&gt;=$F48,IC$16&lt;$F48+($G48*$I48)),"➤",""),"")</f>
        <v/>
      </c>
      <c r="ID48" s="76" t="str">
        <f aca="false">IF($I48&gt;0%,IF(AND(ID$16&gt;=$F48,ID$16&lt;$F48+($G48*$I48)),"➤",""),"")</f>
        <v/>
      </c>
      <c r="IE48" s="76" t="str">
        <f aca="false">IF($I48&gt;0%,IF(AND(IE$16&gt;=$F48,IE$16&lt;$F48+($G48*$I48)),"➤",""),"")</f>
        <v/>
      </c>
      <c r="IF48" s="76" t="str">
        <f aca="false">IF($I48&gt;0%,IF(AND(IF$16&gt;=$F48,IF$16&lt;$F48+($G48*$I48)),"➤",""),"")</f>
        <v/>
      </c>
      <c r="IG48" s="76" t="str">
        <f aca="false">IF($I48&gt;0%,IF(AND(IG$16&gt;=$F48,IG$16&lt;$F48+($G48*$I48)),"➤",""),"")</f>
        <v/>
      </c>
      <c r="IH48" s="76" t="str">
        <f aca="false">IF($I48&gt;0%,IF(AND(IH$16&gt;=$F48,IH$16&lt;$F48+($G48*$I48)),"➤",""),"")</f>
        <v/>
      </c>
      <c r="II48" s="76" t="str">
        <f aca="false">IF($I48&gt;0%,IF(AND(II$16&gt;=$F48,II$16&lt;$F48+($G48*$I48)),"➤",""),"")</f>
        <v/>
      </c>
      <c r="IJ48" s="76" t="str">
        <f aca="false">IF($I48&gt;0%,IF(AND(IJ$16&gt;=$F48,IJ$16&lt;$F48+($G48*$I48)),"➤",""),"")</f>
        <v/>
      </c>
      <c r="IK48" s="76" t="str">
        <f aca="false">IF($I48&gt;0%,IF(AND(IK$16&gt;=$F48,IK$16&lt;$F48+($G48*$I48)),"➤",""),"")</f>
        <v/>
      </c>
      <c r="IL48" s="76" t="str">
        <f aca="false">IF($I48&gt;0%,IF(AND(IL$16&gt;=$F48,IL$16&lt;$F48+($G48*$I48)),"➤",""),"")</f>
        <v/>
      </c>
      <c r="IM48" s="76" t="str">
        <f aca="false">IF($I48&gt;0%,IF(AND(IM$16&gt;=$F48,IM$16&lt;$F48+($G48*$I48)),"➤",""),"")</f>
        <v/>
      </c>
      <c r="IN48" s="76" t="str">
        <f aca="false">IF($I48&gt;0%,IF(AND(IN$16&gt;=$F48,IN$16&lt;$F48+($G48*$I48)),"➤",""),"")</f>
        <v/>
      </c>
      <c r="IO48" s="76" t="str">
        <f aca="false">IF($I48&gt;0%,IF(AND(IO$16&gt;=$F48,IO$16&lt;$F48+($G48*$I48)),"➤",""),"")</f>
        <v/>
      </c>
      <c r="IP48" s="76" t="str">
        <f aca="false">IF($I48&gt;0%,IF(AND(IP$16&gt;=$F48,IP$16&lt;$F48+($G48*$I48)),"➤",""),"")</f>
        <v/>
      </c>
      <c r="IQ48" s="76" t="str">
        <f aca="false">IF($I48&gt;0%,IF(AND(IQ$16&gt;=$F48,IQ$16&lt;$F48+($G48*$I48)),"➤",""),"")</f>
        <v/>
      </c>
      <c r="IR48" s="76" t="str">
        <f aca="false">IF($I48&gt;0%,IF(AND(IR$16&gt;=$F48,IR$16&lt;$F48+($G48*$I48)),"➤",""),"")</f>
        <v/>
      </c>
      <c r="IS48" s="76" t="str">
        <f aca="false">IF($I48&gt;0%,IF(AND(IS$16&gt;=$F48,IS$16&lt;$F48+($G48*$I48)),"➤",""),"")</f>
        <v/>
      </c>
      <c r="IT48" s="76" t="str">
        <f aca="false">IF($I48&gt;0%,IF(AND(IT$16&gt;=$F48,IT$16&lt;$F48+($G48*$I48)),"➤",""),"")</f>
        <v/>
      </c>
      <c r="IU48" s="76" t="str">
        <f aca="false">IF($I48&gt;0%,IF(AND(IU$16&gt;=$F48,IU$16&lt;$F48+($G48*$I48)),"➤",""),"")</f>
        <v/>
      </c>
      <c r="IV48" s="76" t="str">
        <f aca="false">IF($I48&gt;0%,IF(AND(IV$16&gt;=$F48,IV$16&lt;$F48+($G48*$I48)),"➤",""),"")</f>
        <v/>
      </c>
      <c r="IW48" s="76" t="str">
        <f aca="false">IF($I48&gt;0%,IF(AND(IW$16&gt;=$F48,IW$16&lt;$F48+($G48*$I48)),"➤",""),"")</f>
        <v/>
      </c>
      <c r="IX48" s="76" t="str">
        <f aca="false">IF($I48&gt;0%,IF(AND(IX$16&gt;=$F48,IX$16&lt;$F48+($G48*$I48)),"➤",""),"")</f>
        <v/>
      </c>
      <c r="IY48" s="76" t="str">
        <f aca="false">IF($I48&gt;0%,IF(AND(IY$16&gt;=$F48,IY$16&lt;$F48+($G48*$I48)),"➤",""),"")</f>
        <v/>
      </c>
      <c r="IZ48" s="76" t="str">
        <f aca="false">IF($I48&gt;0%,IF(AND(IZ$16&gt;=$F48,IZ$16&lt;$F48+($G48*$I48)),"➤",""),"")</f>
        <v/>
      </c>
      <c r="JA48" s="76" t="str">
        <f aca="false">IF($I48&gt;0%,IF(AND(JA$16&gt;=$F48,JA$16&lt;$F48+($G48*$I48)),"➤",""),"")</f>
        <v/>
      </c>
      <c r="JB48" s="76" t="str">
        <f aca="false">IF($I48&gt;0%,IF(AND(JB$16&gt;=$F48,JB$16&lt;$F48+($G48*$I48)),"➤",""),"")</f>
        <v/>
      </c>
      <c r="JC48" s="76" t="str">
        <f aca="false">IF($I48&gt;0%,IF(AND(JC$16&gt;=$F48,JC$16&lt;$F48+($G48*$I48)),"➤",""),"")</f>
        <v/>
      </c>
      <c r="JD48" s="76" t="str">
        <f aca="false">IF($I48&gt;0%,IF(AND(JD$16&gt;=$F48,JD$16&lt;$F48+($G48*$I48)),"➤",""),"")</f>
        <v/>
      </c>
      <c r="JE48" s="76" t="str">
        <f aca="false">IF($I48&gt;0%,IF(AND(JE$16&gt;=$F48,JE$16&lt;$F48+($G48*$I48)),"➤",""),"")</f>
        <v/>
      </c>
      <c r="JF48" s="76" t="str">
        <f aca="false">IF($I48&gt;0%,IF(AND(JF$16&gt;=$F48,JF$16&lt;$F48+($G48*$I48)),"➤",""),"")</f>
        <v/>
      </c>
      <c r="JG48" s="76" t="str">
        <f aca="false">IF($I48&gt;0%,IF(AND(JG$16&gt;=$F48,JG$16&lt;$F48+($G48*$I48)),"➤",""),"")</f>
        <v/>
      </c>
      <c r="JH48" s="76" t="str">
        <f aca="false">IF($I48&gt;0%,IF(AND(JH$16&gt;=$F48,JH$16&lt;$F48+($G48*$I48)),"➤",""),"")</f>
        <v/>
      </c>
      <c r="JI48" s="76" t="str">
        <f aca="false">IF($I48&gt;0%,IF(AND(JI$16&gt;=$F48,JI$16&lt;$F48+($G48*$I48)),"➤",""),"")</f>
        <v/>
      </c>
      <c r="JJ48" s="76" t="str">
        <f aca="false">IF($I48&gt;0%,IF(AND(JJ$16&gt;=$F48,JJ$16&lt;$F48+($G48*$I48)),"➤",""),"")</f>
        <v/>
      </c>
      <c r="JK48" s="76" t="str">
        <f aca="false">IF($I48&gt;0%,IF(AND(JK$16&gt;=$F48,JK$16&lt;$F48+($G48*$I48)),"➤",""),"")</f>
        <v/>
      </c>
      <c r="JL48" s="76" t="str">
        <f aca="false">IF($I48&gt;0%,IF(AND(JL$16&gt;=$F48,JL$16&lt;$F48+($G48*$I48)),"➤",""),"")</f>
        <v/>
      </c>
      <c r="JM48" s="76" t="str">
        <f aca="false">IF($I48&gt;0%,IF(AND(JM$16&gt;=$F48,JM$16&lt;$F48+($G48*$I48)),"➤",""),"")</f>
        <v/>
      </c>
      <c r="JN48" s="76" t="str">
        <f aca="false">IF($I48&gt;0%,IF(AND(JN$16&gt;=$F48,JN$16&lt;$F48+($G48*$I48)),"➤",""),"")</f>
        <v/>
      </c>
      <c r="JO48" s="76" t="str">
        <f aca="false">IF($I48&gt;0%,IF(AND(JO$16&gt;=$F48,JO$16&lt;$F48+($G48*$I48)),"➤",""),"")</f>
        <v/>
      </c>
      <c r="JP48" s="76" t="str">
        <f aca="false">IF($I48&gt;0%,IF(AND(JP$16&gt;=$F48,JP$16&lt;$F48+($G48*$I48)),"➤",""),"")</f>
        <v/>
      </c>
      <c r="JQ48" s="76" t="str">
        <f aca="false">IF($I48&gt;0%,IF(AND(JQ$16&gt;=$F48,JQ$16&lt;$F48+($G48*$I48)),"➤",""),"")</f>
        <v/>
      </c>
      <c r="JR48" s="76" t="str">
        <f aca="false">IF($I48&gt;0%,IF(AND(JR$16&gt;=$F48,JR$16&lt;$F48+($G48*$I48)),"➤",""),"")</f>
        <v/>
      </c>
      <c r="JS48" s="76" t="str">
        <f aca="false">IF($I48&gt;0%,IF(AND(JS$16&gt;=$F48,JS$16&lt;$F48+($G48*$I48)),"➤",""),"")</f>
        <v/>
      </c>
      <c r="JT48" s="76" t="str">
        <f aca="false">IF($I48&gt;0%,IF(AND(JT$16&gt;=$F48,JT$16&lt;$F48+($G48*$I48)),"➤",""),"")</f>
        <v/>
      </c>
      <c r="JU48" s="76" t="str">
        <f aca="false">IF($I48&gt;0%,IF(AND(JU$16&gt;=$F48,JU$16&lt;$F48+($G48*$I48)),"➤",""),"")</f>
        <v/>
      </c>
      <c r="JV48" s="76" t="str">
        <f aca="false">IF($I48&gt;0%,IF(AND(JV$16&gt;=$F48,JV$16&lt;$F48+($G48*$I48)),"➤",""),"")</f>
        <v/>
      </c>
      <c r="JW48" s="76" t="str">
        <f aca="false">IF($I48&gt;0%,IF(AND(JW$16&gt;=$F48,JW$16&lt;$F48+($G48*$I48)),"➤",""),"")</f>
        <v/>
      </c>
      <c r="JX48" s="76" t="str">
        <f aca="false">IF($I48&gt;0%,IF(AND(JX$16&gt;=$F48,JX$16&lt;$F48+($G48*$I48)),"➤",""),"")</f>
        <v/>
      </c>
      <c r="JY48" s="76" t="str">
        <f aca="false">IF($I48&gt;0%,IF(AND(JY$16&gt;=$F48,JY$16&lt;$F48+($G48*$I48)),"➤",""),"")</f>
        <v/>
      </c>
      <c r="JZ48" s="76" t="str">
        <f aca="false">IF($I48&gt;0%,IF(AND(JZ$16&gt;=$F48,JZ$16&lt;$F48+($G48*$I48)),"➤",""),"")</f>
        <v/>
      </c>
      <c r="KA48" s="76" t="str">
        <f aca="false">IF($I48&gt;0%,IF(AND(KA$16&gt;=$F48,KA$16&lt;$F48+($G48*$I48)),"➤",""),"")</f>
        <v/>
      </c>
      <c r="KB48" s="76" t="str">
        <f aca="false">IF($I48&gt;0%,IF(AND(KB$16&gt;=$F48,KB$16&lt;$F48+($G48*$I48)),"➤",""),"")</f>
        <v/>
      </c>
      <c r="KC48" s="76" t="str">
        <f aca="false">IF($I48&gt;0%,IF(AND(KC$16&gt;=$F48,KC$16&lt;$F48+($G48*$I48)),"➤",""),"")</f>
        <v/>
      </c>
      <c r="KD48" s="76" t="str">
        <f aca="false">IF($I48&gt;0%,IF(AND(KD$16&gt;=$F48,KD$16&lt;$F48+($G48*$I48)),"➤",""),"")</f>
        <v/>
      </c>
      <c r="KE48" s="76" t="str">
        <f aca="false">IF($I48&gt;0%,IF(AND(KE$16&gt;=$F48,KE$16&lt;$F48+($G48*$I48)),"➤",""),"")</f>
        <v/>
      </c>
      <c r="KF48" s="76" t="str">
        <f aca="false">IF($I48&gt;0%,IF(AND(KF$16&gt;=$F48,KF$16&lt;$F48+($G48*$I48)),"➤",""),"")</f>
        <v/>
      </c>
      <c r="KG48" s="76" t="str">
        <f aca="false">IF($I48&gt;0%,IF(AND(KG$16&gt;=$F48,KG$16&lt;$F48+($G48*$I48)),"➤",""),"")</f>
        <v/>
      </c>
      <c r="KH48" s="76" t="str">
        <f aca="false">IF($I48&gt;0%,IF(AND(KH$16&gt;=$F48,KH$16&lt;$F48+($G48*$I48)),"➤",""),"")</f>
        <v/>
      </c>
      <c r="KI48" s="76" t="str">
        <f aca="false">IF($I48&gt;0%,IF(AND(KI$16&gt;=$F48,KI$16&lt;$F48+($G48*$I48)),"➤",""),"")</f>
        <v/>
      </c>
      <c r="KJ48" s="76" t="str">
        <f aca="false">IF($I48&gt;0%,IF(AND(KJ$16&gt;=$F48,KJ$16&lt;$F48+($G48*$I48)),"➤",""),"")</f>
        <v/>
      </c>
      <c r="KK48" s="76" t="str">
        <f aca="false">IF($I48&gt;0%,IF(AND(KK$16&gt;=$F48,KK$16&lt;$F48+($G48*$I48)),"➤",""),"")</f>
        <v/>
      </c>
      <c r="KL48" s="76" t="str">
        <f aca="false">IF($I48&gt;0%,IF(AND(KL$16&gt;=$F48,KL$16&lt;$F48+($G48*$I48)),"➤",""),"")</f>
        <v/>
      </c>
      <c r="KM48" s="76" t="str">
        <f aca="false">IF($I48&gt;0%,IF(AND(KM$16&gt;=$F48,KM$16&lt;$F48+($G48*$I48)),"➤",""),"")</f>
        <v/>
      </c>
      <c r="KN48" s="76" t="str">
        <f aca="false">IF($I48&gt;0%,IF(AND(KN$16&gt;=$F48,KN$16&lt;$F48+($G48*$I48)),"➤",""),"")</f>
        <v/>
      </c>
      <c r="KO48" s="76" t="str">
        <f aca="false">IF($I48&gt;0%,IF(AND(KO$16&gt;=$F48,KO$16&lt;$F48+($G48*$I48)),"➤",""),"")</f>
        <v/>
      </c>
      <c r="KP48" s="76" t="str">
        <f aca="false">IF($I48&gt;0%,IF(AND(KP$16&gt;=$F48,KP$16&lt;$F48+($G48*$I48)),"➤",""),"")</f>
        <v/>
      </c>
      <c r="KQ48" s="76" t="str">
        <f aca="false">IF($I48&gt;0%,IF(AND(KQ$16&gt;=$F48,KQ$16&lt;$F48+($G48*$I48)),"➤",""),"")</f>
        <v/>
      </c>
      <c r="KR48" s="76" t="str">
        <f aca="false">IF($I48&gt;0%,IF(AND(KR$16&gt;=$F48,KR$16&lt;$F48+($G48*$I48)),"➤",""),"")</f>
        <v/>
      </c>
      <c r="KS48" s="76" t="str">
        <f aca="false">IF($I48&gt;0%,IF(AND(KS$16&gt;=$F48,KS$16&lt;$F48+($G48*$I48)),"➤",""),"")</f>
        <v/>
      </c>
      <c r="KT48" s="76" t="str">
        <f aca="false">IF($I48&gt;0%,IF(AND(KT$16&gt;=$F48,KT$16&lt;$F48+($G48*$I48)),"➤",""),"")</f>
        <v/>
      </c>
      <c r="KU48" s="76" t="str">
        <f aca="false">IF($I48&gt;0%,IF(AND(KU$16&gt;=$F48,KU$16&lt;$F48+($G48*$I48)),"➤",""),"")</f>
        <v/>
      </c>
      <c r="KV48" s="76" t="str">
        <f aca="false">IF($I48&gt;0%,IF(AND(KV$16&gt;=$F48,KV$16&lt;$F48+($G48*$I48)),"➤",""),"")</f>
        <v/>
      </c>
      <c r="KW48" s="76" t="str">
        <f aca="false">IF($I48&gt;0%,IF(AND(KW$16&gt;=$F48,KW$16&lt;$F48+($G48*$I48)),"➤",""),"")</f>
        <v/>
      </c>
      <c r="KX48" s="76" t="str">
        <f aca="false">IF($I48&gt;0%,IF(AND(KX$16&gt;=$F48,KX$16&lt;$F48+($G48*$I48)),"➤",""),"")</f>
        <v/>
      </c>
      <c r="KY48" s="76" t="str">
        <f aca="false">IF($I48&gt;0%,IF(AND(KY$16&gt;=$F48,KY$16&lt;$F48+($G48*$I48)),"➤",""),"")</f>
        <v/>
      </c>
      <c r="KZ48" s="76" t="str">
        <f aca="false">IF($I48&gt;0%,IF(AND(KZ$16&gt;=$F48,KZ$16&lt;$F48+($G48*$I48)),"➤",""),"")</f>
        <v/>
      </c>
      <c r="LA48" s="76" t="str">
        <f aca="false">IF($I48&gt;0%,IF(AND(LA$16&gt;=$F48,LA$16&lt;$F48+($G48*$I48)),"➤",""),"")</f>
        <v/>
      </c>
      <c r="LB48" s="76" t="str">
        <f aca="false">IF($I48&gt;0%,IF(AND(LB$16&gt;=$F48,LB$16&lt;$F48+($G48*$I48)),"➤",""),"")</f>
        <v/>
      </c>
      <c r="LC48" s="76" t="str">
        <f aca="false">IF($I48&gt;0%,IF(AND(LC$16&gt;=$F48,LC$16&lt;$F48+($G48*$I48)),"➤",""),"")</f>
        <v/>
      </c>
      <c r="LD48" s="76" t="str">
        <f aca="false">IF($I48&gt;0%,IF(AND(LD$16&gt;=$F48,LD$16&lt;$F48+($G48*$I48)),"➤",""),"")</f>
        <v/>
      </c>
      <c r="LE48" s="76" t="str">
        <f aca="false">IF($I48&gt;0%,IF(AND(LE$16&gt;=$F48,LE$16&lt;$F48+($G48*$I48)),"➤",""),"")</f>
        <v/>
      </c>
      <c r="LF48" s="76" t="str">
        <f aca="false">IF($I48&gt;0%,IF(AND(LF$16&gt;=$F48,LF$16&lt;$F48+($G48*$I48)),"➤",""),"")</f>
        <v/>
      </c>
      <c r="LG48" s="76" t="str">
        <f aca="false">IF($I48&gt;0%,IF(AND(LG$16&gt;=$F48,LG$16&lt;$F48+($G48*$I48)),"➤",""),"")</f>
        <v/>
      </c>
      <c r="LH48" s="76" t="str">
        <f aca="false">IF($I48&gt;0%,IF(AND(LH$16&gt;=$F48,LH$16&lt;$F48+($G48*$I48)),"➤",""),"")</f>
        <v/>
      </c>
      <c r="LI48" s="76" t="str">
        <f aca="false">IF($I48&gt;0%,IF(AND(LI$16&gt;=$F48,LI$16&lt;$F48+($G48*$I48)),"➤",""),"")</f>
        <v/>
      </c>
      <c r="LJ48" s="76" t="str">
        <f aca="false">IF($I48&gt;0%,IF(AND(LJ$16&gt;=$F48,LJ$16&lt;$F48+($G48*$I48)),"➤",""),"")</f>
        <v/>
      </c>
      <c r="LK48" s="76" t="str">
        <f aca="false">IF($I48&gt;0%,IF(AND(LK$16&gt;=$F48,LK$16&lt;$F48+($G48*$I48)),"➤",""),"")</f>
        <v/>
      </c>
      <c r="LL48" s="76" t="str">
        <f aca="false">IF($I48&gt;0%,IF(AND(LL$16&gt;=$F48,LL$16&lt;$F48+($G48*$I48)),"➤",""),"")</f>
        <v/>
      </c>
      <c r="LM48" s="76" t="str">
        <f aca="false">IF($I48&gt;0%,IF(AND(LM$16&gt;=$F48,LM$16&lt;$F48+($G48*$I48)),"➤",""),"")</f>
        <v/>
      </c>
      <c r="LN48" s="76" t="str">
        <f aca="false">IF($I48&gt;0%,IF(AND(LN$16&gt;=$F48,LN$16&lt;$F48+($G48*$I48)),"➤",""),"")</f>
        <v/>
      </c>
      <c r="LO48" s="76" t="str">
        <f aca="false">IF($I48&gt;0%,IF(AND(LO$16&gt;=$F48,LO$16&lt;$F48+($G48*$I48)),"➤",""),"")</f>
        <v/>
      </c>
      <c r="LP48" s="76" t="str">
        <f aca="false">IF($I48&gt;0%,IF(AND(LP$16&gt;=$F48,LP$16&lt;$F48+($G48*$I48)),"➤",""),"")</f>
        <v/>
      </c>
      <c r="LQ48" s="76" t="str">
        <f aca="false">IF($I48&gt;0%,IF(AND(LQ$16&gt;=$F48,LQ$16&lt;$F48+($G48*$I48)),"➤",""),"")</f>
        <v/>
      </c>
      <c r="LR48" s="76" t="str">
        <f aca="false">IF($I48&gt;0%,IF(AND(LR$16&gt;=$F48,LR$16&lt;$F48+($G48*$I48)),"➤",""),"")</f>
        <v/>
      </c>
      <c r="LS48" s="76" t="str">
        <f aca="false">IF($I48&gt;0%,IF(AND(LS$16&gt;=$F48,LS$16&lt;$F48+($G48*$I48)),"➤",""),"")</f>
        <v/>
      </c>
      <c r="LT48" s="76" t="str">
        <f aca="false">IF($I48&gt;0%,IF(AND(LT$16&gt;=$F48,LT$16&lt;$F48+($G48*$I48)),"➤",""),"")</f>
        <v/>
      </c>
      <c r="LU48" s="76" t="str">
        <f aca="false">IF($I48&gt;0%,IF(AND(LU$16&gt;=$F48,LU$16&lt;$F48+($G48*$I48)),"➤",""),"")</f>
        <v/>
      </c>
      <c r="LV48" s="76" t="str">
        <f aca="false">IF($I48&gt;0%,IF(AND(LV$16&gt;=$F48,LV$16&lt;$F48+($G48*$I48)),"➤",""),"")</f>
        <v/>
      </c>
      <c r="LW48" s="76" t="str">
        <f aca="false">IF($I48&gt;0%,IF(AND(LW$16&gt;=$F48,LW$16&lt;$F48+($G48*$I48)),"➤",""),"")</f>
        <v/>
      </c>
      <c r="LX48" s="76" t="str">
        <f aca="false">IF($I48&gt;0%,IF(AND(LX$16&gt;=$F48,LX$16&lt;$F48+($G48*$I48)),"➤",""),"")</f>
        <v/>
      </c>
      <c r="LY48" s="76" t="str">
        <f aca="false">IF($I48&gt;0%,IF(AND(LY$16&gt;=$F48,LY$16&lt;$F48+($G48*$I48)),"➤",""),"")</f>
        <v/>
      </c>
      <c r="LZ48" s="76" t="str">
        <f aca="false">IF($I48&gt;0%,IF(AND(LZ$16&gt;=$F48,LZ$16&lt;$F48+($G48*$I48)),"➤",""),"")</f>
        <v/>
      </c>
      <c r="MA48" s="76" t="str">
        <f aca="false">IF($I48&gt;0%,IF(AND(MA$16&gt;=$F48,MA$16&lt;$F48+($G48*$I48)),"➤",""),"")</f>
        <v/>
      </c>
      <c r="MB48" s="76" t="str">
        <f aca="false">IF($I48&gt;0%,IF(AND(MB$16&gt;=$F48,MB$16&lt;$F48+($G48*$I48)),"➤",""),"")</f>
        <v/>
      </c>
      <c r="MC48" s="76" t="str">
        <f aca="false">IF($I48&gt;0%,IF(AND(MC$16&gt;=$F48,MC$16&lt;$F48+($G48*$I48)),"➤",""),"")</f>
        <v/>
      </c>
      <c r="MD48" s="76" t="str">
        <f aca="false">IF($I48&gt;0%,IF(AND(MD$16&gt;=$F48,MD$16&lt;$F48+($G48*$I48)),"➤",""),"")</f>
        <v/>
      </c>
      <c r="ME48" s="76" t="str">
        <f aca="false">IF($I48&gt;0%,IF(AND(ME$16&gt;=$F48,ME$16&lt;$F48+($G48*$I48)),"➤",""),"")</f>
        <v/>
      </c>
      <c r="MF48" s="76" t="str">
        <f aca="false">IF($I48&gt;0%,IF(AND(MF$16&gt;=$F48,MF$16&lt;$F48+($G48*$I48)),"➤",""),"")</f>
        <v/>
      </c>
      <c r="MG48" s="76" t="str">
        <f aca="false">IF($I48&gt;0%,IF(AND(MG$16&gt;=$F48,MG$16&lt;$F48+($G48*$I48)),"➤",""),"")</f>
        <v/>
      </c>
      <c r="MH48" s="76" t="str">
        <f aca="false">IF($I48&gt;0%,IF(AND(MH$16&gt;=$F48,MH$16&lt;$F48+($G48*$I48)),"➤",""),"")</f>
        <v/>
      </c>
      <c r="MI48" s="76" t="str">
        <f aca="false">IF($I48&gt;0%,IF(AND(MI$16&gt;=$F48,MI$16&lt;$F48+($G48*$I48)),"➤",""),"")</f>
        <v/>
      </c>
      <c r="MJ48" s="76" t="str">
        <f aca="false">IF($I48&gt;0%,IF(AND(MJ$16&gt;=$F48,MJ$16&lt;$F48+($G48*$I48)),"➤",""),"")</f>
        <v/>
      </c>
      <c r="MK48" s="76" t="str">
        <f aca="false">IF($I48&gt;0%,IF(AND(MK$16&gt;=$F48,MK$16&lt;$F48+($G48*$I48)),"➤",""),"")</f>
        <v/>
      </c>
      <c r="ML48" s="76" t="str">
        <f aca="false">IF($I48&gt;0%,IF(AND(ML$16&gt;=$F48,ML$16&lt;$F48+($G48*$I48)),"➤",""),"")</f>
        <v/>
      </c>
      <c r="MM48" s="76" t="str">
        <f aca="false">IF($I48&gt;0%,IF(AND(MM$16&gt;=$F48,MM$16&lt;$F48+($G48*$I48)),"➤",""),"")</f>
        <v/>
      </c>
      <c r="MN48" s="76" t="str">
        <f aca="false">IF($I48&gt;0%,IF(AND(MN$16&gt;=$F48,MN$16&lt;$F48+($G48*$I48)),"➤",""),"")</f>
        <v/>
      </c>
      <c r="MO48" s="76" t="str">
        <f aca="false">IF($I48&gt;0%,IF(AND(MO$16&gt;=$F48,MO$16&lt;$F48+($G48*$I48)),"➤",""),"")</f>
        <v/>
      </c>
      <c r="MP48" s="76" t="str">
        <f aca="false">IF($I48&gt;0%,IF(AND(MP$16&gt;=$F48,MP$16&lt;$F48+($G48*$I48)),"➤",""),"")</f>
        <v/>
      </c>
      <c r="MQ48" s="76" t="str">
        <f aca="false">IF($I48&gt;0%,IF(AND(MQ$16&gt;=$F48,MQ$16&lt;$F48+($G48*$I48)),"➤",""),"")</f>
        <v/>
      </c>
      <c r="MR48" s="76" t="str">
        <f aca="false">IF($I48&gt;0%,IF(AND(MR$16&gt;=$F48,MR$16&lt;$F48+($G48*$I48)),"➤",""),"")</f>
        <v/>
      </c>
      <c r="MS48" s="76" t="str">
        <f aca="false">IF($I48&gt;0%,IF(AND(MS$16&gt;=$F48,MS$16&lt;$F48+($G48*$I48)),"➤",""),"")</f>
        <v/>
      </c>
      <c r="MT48" s="76" t="str">
        <f aca="false">IF($I48&gt;0%,IF(AND(MT$16&gt;=$F48,MT$16&lt;$F48+($G48*$I48)),"➤",""),"")</f>
        <v/>
      </c>
      <c r="MU48" s="76" t="str">
        <f aca="false">IF($I48&gt;0%,IF(AND(MU$16&gt;=$F48,MU$16&lt;$F48+($G48*$I48)),"➤",""),"")</f>
        <v/>
      </c>
      <c r="MV48" s="76" t="str">
        <f aca="false">IF($I48&gt;0%,IF(AND(MV$16&gt;=$F48,MV$16&lt;$F48+($G48*$I48)),"➤",""),"")</f>
        <v/>
      </c>
      <c r="MW48" s="76" t="str">
        <f aca="false">IF($I48&gt;0%,IF(AND(MW$16&gt;=$F48,MW$16&lt;$F48+($G48*$I48)),"➤",""),"")</f>
        <v/>
      </c>
      <c r="MX48" s="76" t="str">
        <f aca="false">IF($I48&gt;0%,IF(AND(MX$16&gt;=$F48,MX$16&lt;$F48+($G48*$I48)),"➤",""),"")</f>
        <v/>
      </c>
      <c r="MY48" s="76" t="str">
        <f aca="false">IF($I48&gt;0%,IF(AND(MY$16&gt;=$F48,MY$16&lt;$F48+($G48*$I48)),"➤",""),"")</f>
        <v/>
      </c>
      <c r="MZ48" s="76" t="str">
        <f aca="false">IF($I48&gt;0%,IF(AND(MZ$16&gt;=$F48,MZ$16&lt;$F48+($G48*$I48)),"➤",""),"")</f>
        <v/>
      </c>
      <c r="NA48" s="76" t="str">
        <f aca="false">IF($I48&gt;0%,IF(AND(NA$16&gt;=$F48,NA$16&lt;$F48+($G48*$I48)),"➤",""),"")</f>
        <v/>
      </c>
      <c r="NB48" s="76" t="str">
        <f aca="false">IF($I48&gt;0%,IF(AND(NB$16&gt;=$F48,NB$16&lt;$F48+($G48*$I48)),"➤",""),"")</f>
        <v/>
      </c>
      <c r="NC48" s="76" t="str">
        <f aca="false">IF($I48&gt;0%,IF(AND(NC$16&gt;=$F48,NC$16&lt;$F48+($G48*$I48)),"➤",""),"")</f>
        <v/>
      </c>
      <c r="ND48" s="76" t="str">
        <f aca="false">IF($I48&gt;0%,IF(AND(ND$16&gt;=$F48,ND$16&lt;$F48+($G48*$I48)),"➤",""),"")</f>
        <v/>
      </c>
      <c r="NE48" s="76" t="str">
        <f aca="false">IF($I48&gt;0%,IF(AND(NE$16&gt;=$F48,NE$16&lt;$F48+($G48*$I48)),"➤",""),"")</f>
        <v/>
      </c>
      <c r="NF48" s="76" t="str">
        <f aca="false">IF($I48&gt;0%,IF(AND(NF$16&gt;=$F48,NF$16&lt;$F48+($G48*$I48)),"➤",""),"")</f>
        <v/>
      </c>
      <c r="NG48" s="76" t="str">
        <f aca="false">IF($I48&gt;0%,IF(AND(NG$16&gt;=$F48,NG$16&lt;$F48+($G48*$I48)),"➤",""),"")</f>
        <v/>
      </c>
      <c r="NH48" s="76" t="str">
        <f aca="false">IF($I48&gt;0%,IF(AND(NH$16&gt;=$F48,NH$16&lt;$F48+($G48*$I48)),"➤",""),"")</f>
        <v/>
      </c>
      <c r="NI48" s="76" t="str">
        <f aca="false">IF($I48&gt;0%,IF(AND(NI$16&gt;=$F48,NI$16&lt;$F48+($G48*$I48)),"➤",""),"")</f>
        <v/>
      </c>
      <c r="NJ48" s="76" t="str">
        <f aca="false">IF($I48&gt;0%,IF(AND(NJ$16&gt;=$F48,NJ$16&lt;$F48+($G48*$I48)),"➤",""),"")</f>
        <v/>
      </c>
      <c r="NK48" s="76" t="str">
        <f aca="false">IF($I48&gt;0%,IF(AND(NK$16&gt;=$F48,NK$16&lt;$F48+($G48*$I48)),"➤",""),"")</f>
        <v/>
      </c>
      <c r="NL48" s="76" t="str">
        <f aca="false">IF($I48&gt;0%,IF(AND(NL$16&gt;=$F48,NL$16&lt;$F48+($G48*$I48)),"➤",""),"")</f>
        <v/>
      </c>
      <c r="NM48" s="76" t="str">
        <f aca="false">IF($I48&gt;0%,IF(AND(NM$16&gt;=$F48,NM$16&lt;$F48+($G48*$I48)),"➤",""),"")</f>
        <v/>
      </c>
      <c r="NN48" s="76" t="str">
        <f aca="false">IF($I48&gt;0%,IF(AND(NN$16&gt;=$F48,NN$16&lt;$F48+($G48*$I48)),"➤",""),"")</f>
        <v/>
      </c>
      <c r="NO48" s="76" t="str">
        <f aca="false">IF($I48&gt;0%,IF(AND(NO$16&gt;=$F48,NO$16&lt;$F48+($G48*$I48)),"➤",""),"")</f>
        <v/>
      </c>
      <c r="NP48" s="76" t="str">
        <f aca="false">IF($I48&gt;0%,IF(AND(NP$16&gt;=$F48,NP$16&lt;$F48+($G48*$I48)),"➤",""),"")</f>
        <v/>
      </c>
      <c r="NQ48" s="76" t="str">
        <f aca="false">IF($I48&gt;0%,IF(AND(NQ$16&gt;=$F48,NQ$16&lt;$F48+($G48*$I48)),"➤",""),"")</f>
        <v/>
      </c>
      <c r="NR48" s="76" t="str">
        <f aca="false">IF($I48&gt;0%,IF(AND(NR$16&gt;=$F48,NR$16&lt;$F48+($G48*$I48)),"➤",""),"")</f>
        <v/>
      </c>
      <c r="NS48" s="76" t="str">
        <f aca="false">IF($I48&gt;0%,IF(AND(NS$16&gt;=$F48,NS$16&lt;$F48+($G48*$I48)),"➤",""),"")</f>
        <v/>
      </c>
      <c r="NT48" s="76" t="str">
        <f aca="false">IF($I48&gt;0%,IF(AND(NT$16&gt;=$F48,NT$16&lt;$F48+($G48*$I48)),"➤",""),"")</f>
        <v/>
      </c>
      <c r="NU48" s="76" t="str">
        <f aca="false">IF($I48&gt;0%,IF(AND(NU$16&gt;=$F48,NU$16&lt;$F48+($G48*$I48)),"➤",""),"")</f>
        <v/>
      </c>
      <c r="NV48" s="76" t="str">
        <f aca="false">IF($I48&gt;0%,IF(AND(NV$16&gt;=$F48,NV$16&lt;$F48+($G48*$I48)),"➤",""),"")</f>
        <v/>
      </c>
      <c r="NW48" s="76" t="str">
        <f aca="false">IF($I48&gt;0%,IF(AND(NW$16&gt;=$F48,NW$16&lt;$F48+($G48*$I48)),"➤",""),"")</f>
        <v/>
      </c>
      <c r="NX48" s="76" t="str">
        <f aca="false">IF($I48&gt;0%,IF(AND(NX$16&gt;=$F48,NX$16&lt;$F48+($G48*$I48)),"➤",""),"")</f>
        <v/>
      </c>
      <c r="NY48" s="76" t="str">
        <f aca="false">IF($I48&gt;0%,IF(AND(NY$16&gt;=$F48,NY$16&lt;$F48+($G48*$I48)),"➤",""),"")</f>
        <v/>
      </c>
      <c r="NZ48" s="76" t="str">
        <f aca="false">IF($I48&gt;0%,IF(AND(NZ$16&gt;=$F48,NZ$16&lt;$F48+($G48*$I48)),"➤",""),"")</f>
        <v/>
      </c>
      <c r="OA48" s="76" t="str">
        <f aca="false">IF($I48&gt;0%,IF(AND(OA$16&gt;=$F48,OA$16&lt;$F48+($G48*$I48)),"➤",""),"")</f>
        <v/>
      </c>
      <c r="OB48" s="76" t="str">
        <f aca="false">IF($I48&gt;0%,IF(AND(OB$16&gt;=$F48,OB$16&lt;$F48+($G48*$I48)),"➤",""),"")</f>
        <v/>
      </c>
      <c r="OC48" s="76" t="str">
        <f aca="false">IF($I48&gt;0%,IF(AND(OC$16&gt;=$F48,OC$16&lt;$F48+($G48*$I48)),"➤",""),"")</f>
        <v/>
      </c>
      <c r="OD48" s="76" t="str">
        <f aca="false">IF($I48&gt;0%,IF(AND(OD$16&gt;=$F48,OD$16&lt;$F48+($G48*$I48)),"➤",""),"")</f>
        <v/>
      </c>
      <c r="OE48" s="76" t="str">
        <f aca="false">IF($I48&gt;0%,IF(AND(OE$16&gt;=$F48,OE$16&lt;$F48+($G48*$I48)),"➤",""),"")</f>
        <v/>
      </c>
      <c r="OF48" s="76" t="str">
        <f aca="false">IF($I48&gt;0%,IF(AND(OF$16&gt;=$F48,OF$16&lt;$F48+($G48*$I48)),"➤",""),"")</f>
        <v/>
      </c>
      <c r="OG48" s="76" t="str">
        <f aca="false">IF($I48&gt;0%,IF(AND(OG$16&gt;=$F48,OG$16&lt;$F48+($G48*$I48)),"➤",""),"")</f>
        <v/>
      </c>
      <c r="OH48" s="76" t="str">
        <f aca="false">IF($I48&gt;0%,IF(AND(OH$16&gt;=$F48,OH$16&lt;$F48+($G48*$I48)),"➤",""),"")</f>
        <v/>
      </c>
      <c r="OI48" s="76" t="str">
        <f aca="false">IF($I48&gt;0%,IF(AND(OI$16&gt;=$F48,OI$16&lt;$F48+($G48*$I48)),"➤",""),"")</f>
        <v/>
      </c>
      <c r="OJ48" s="76" t="str">
        <f aca="false">IF($I48&gt;0%,IF(AND(OJ$16&gt;=$F48,OJ$16&lt;$F48+($G48*$I48)),"➤",""),"")</f>
        <v/>
      </c>
      <c r="OK48" s="76" t="str">
        <f aca="false">IF($I48&gt;0%,IF(AND(OK$16&gt;=$F48,OK$16&lt;$F48+($G48*$I48)),"➤",""),"")</f>
        <v/>
      </c>
      <c r="OL48" s="76" t="str">
        <f aca="false">IF($I48&gt;0%,IF(AND(OL$16&gt;=$F48,OL$16&lt;$F48+($G48*$I48)),"➤",""),"")</f>
        <v/>
      </c>
      <c r="OM48" s="76" t="str">
        <f aca="false">IF($I48&gt;0%,IF(AND(OM$16&gt;=$F48,OM$16&lt;$F48+($G48*$I48)),"➤",""),"")</f>
        <v/>
      </c>
      <c r="ON48" s="76" t="str">
        <f aca="false">IF($I48&gt;0%,IF(AND(ON$16&gt;=$F48,ON$16&lt;$F48+($G48*$I48)),"➤",""),"")</f>
        <v/>
      </c>
      <c r="OO48" s="76" t="str">
        <f aca="false">IF($I48&gt;0%,IF(AND(OO$16&gt;=$F48,OO$16&lt;$F48+($G48*$I48)),"➤",""),"")</f>
        <v/>
      </c>
      <c r="OP48" s="76" t="str">
        <f aca="false">IF($I48&gt;0%,IF(AND(OP$16&gt;=$F48,OP$16&lt;$F48+($G48*$I48)),"➤",""),"")</f>
        <v/>
      </c>
      <c r="OQ48" s="76" t="str">
        <f aca="false">IF($I48&gt;0%,IF(AND(OQ$16&gt;=$F48,OQ$16&lt;$F48+($G48*$I48)),"➤",""),"")</f>
        <v/>
      </c>
      <c r="OR48" s="76" t="str">
        <f aca="false">IF($I48&gt;0%,IF(AND(OR$16&gt;=$F48,OR$16&lt;$F48+($G48*$I48)),"➤",""),"")</f>
        <v/>
      </c>
      <c r="OS48" s="76" t="str">
        <f aca="false">IF($I48&gt;0%,IF(AND(OS$16&gt;=$F48,OS$16&lt;$F48+($G48*$I48)),"➤",""),"")</f>
        <v/>
      </c>
      <c r="OT48" s="76" t="str">
        <f aca="false">IF($I48&gt;0%,IF(AND(OT$16&gt;=$F48,OT$16&lt;$F48+($G48*$I48)),"➤",""),"")</f>
        <v/>
      </c>
      <c r="OU48" s="76" t="str">
        <f aca="false">IF($I48&gt;0%,IF(AND(OU$16&gt;=$F48,OU$16&lt;$F48+($G48*$I48)),"➤",""),"")</f>
        <v/>
      </c>
      <c r="OV48" s="76" t="str">
        <f aca="false">IF($I48&gt;0%,IF(AND(OV$16&gt;=$F48,OV$16&lt;$F48+($G48*$I48)),"➤",""),"")</f>
        <v/>
      </c>
      <c r="OW48" s="76" t="str">
        <f aca="false">IF($I48&gt;0%,IF(AND(OW$16&gt;=$F48,OW$16&lt;$F48+($G48*$I48)),"➤",""),"")</f>
        <v/>
      </c>
      <c r="OX48" s="76" t="str">
        <f aca="false">IF($I48&gt;0%,IF(AND(OX$16&gt;=$F48,OX$16&lt;$F48+($G48*$I48)),"➤",""),"")</f>
        <v/>
      </c>
      <c r="OY48" s="76" t="str">
        <f aca="false">IF($I48&gt;0%,IF(AND(OY$16&gt;=$F48,OY$16&lt;$F48+($G48*$I48)),"➤",""),"")</f>
        <v/>
      </c>
      <c r="OZ48" s="76" t="str">
        <f aca="false">IF($I48&gt;0%,IF(AND(OZ$16&gt;=$F48,OZ$16&lt;$F48+($G48*$I48)),"➤",""),"")</f>
        <v/>
      </c>
      <c r="PA48" s="76" t="str">
        <f aca="false">IF($I48&gt;0%,IF(AND(PA$16&gt;=$F48,PA$16&lt;$F48+($G48*$I48)),"➤",""),"")</f>
        <v/>
      </c>
      <c r="PB48" s="76" t="str">
        <f aca="false">IF($I48&gt;0%,IF(AND(PB$16&gt;=$F48,PB$16&lt;$F48+($G48*$I48)),"➤",""),"")</f>
        <v/>
      </c>
      <c r="PC48" s="76" t="str">
        <f aca="false">IF($I48&gt;0%,IF(AND(PC$16&gt;=$F48,PC$16&lt;$F48+($G48*$I48)),"➤",""),"")</f>
        <v/>
      </c>
      <c r="PD48" s="76" t="str">
        <f aca="false">IF($I48&gt;0%,IF(AND(PD$16&gt;=$F48,PD$16&lt;$F48+($G48*$I48)),"➤",""),"")</f>
        <v/>
      </c>
      <c r="PE48" s="76" t="str">
        <f aca="false">IF($I48&gt;0%,IF(AND(PE$16&gt;=$F48,PE$16&lt;$F48+($G48*$I48)),"➤",""),"")</f>
        <v/>
      </c>
      <c r="PF48" s="76" t="str">
        <f aca="false">IF($I48&gt;0%,IF(AND(PF$16&gt;=$F48,PF$16&lt;$F48+($G48*$I48)),"➤",""),"")</f>
        <v/>
      </c>
      <c r="PG48" s="76" t="str">
        <f aca="false">IF($I48&gt;0%,IF(AND(PG$16&gt;=$F48,PG$16&lt;$F48+($G48*$I48)),"➤",""),"")</f>
        <v/>
      </c>
      <c r="PH48" s="76" t="str">
        <f aca="false">IF($I48&gt;0%,IF(AND(PH$16&gt;=$F48,PH$16&lt;$F48+($G48*$I48)),"➤",""),"")</f>
        <v/>
      </c>
      <c r="PI48" s="76" t="str">
        <f aca="false">IF($I48&gt;0%,IF(AND(PI$16&gt;=$F48,PI$16&lt;$F48+($G48*$I48)),"➤",""),"")</f>
        <v/>
      </c>
      <c r="PJ48" s="76" t="str">
        <f aca="false">IF($I48&gt;0%,IF(AND(PJ$16&gt;=$F48,PJ$16&lt;$F48+($G48*$I48)),"➤",""),"")</f>
        <v/>
      </c>
      <c r="PK48" s="76" t="str">
        <f aca="false">IF($I48&gt;0%,IF(AND(PK$16&gt;=$F48,PK$16&lt;$F48+($G48*$I48)),"➤",""),"")</f>
        <v/>
      </c>
      <c r="PL48" s="76" t="str">
        <f aca="false">IF($I48&gt;0%,IF(AND(PL$16&gt;=$F48,PL$16&lt;$F48+($G48*$I48)),"➤",""),"")</f>
        <v/>
      </c>
      <c r="PM48" s="76" t="str">
        <f aca="false">IF($I48&gt;0%,IF(AND(PM$16&gt;=$F48,PM$16&lt;$F48+($G48*$I48)),"➤",""),"")</f>
        <v/>
      </c>
      <c r="PN48" s="76" t="str">
        <f aca="false">IF($I48&gt;0%,IF(AND(PN$16&gt;=$F48,PN$16&lt;$F48+($G48*$I48)),"➤",""),"")</f>
        <v/>
      </c>
      <c r="PO48" s="76" t="str">
        <f aca="false">IF($I48&gt;0%,IF(AND(PO$16&gt;=$F48,PO$16&lt;$F48+($G48*$I48)),"➤",""),"")</f>
        <v/>
      </c>
      <c r="PP48" s="76" t="str">
        <f aca="false">IF($I48&gt;0%,IF(AND(PP$16&gt;=$F48,PP$16&lt;$F48+($G48*$I48)),"➤",""),"")</f>
        <v/>
      </c>
      <c r="PQ48" s="76" t="str">
        <f aca="false">IF($I48&gt;0%,IF(AND(PQ$16&gt;=$F48,PQ$16&lt;$F48+($G48*$I48)),"➤",""),"")</f>
        <v/>
      </c>
      <c r="PR48" s="76" t="str">
        <f aca="false">IF($I48&gt;0%,IF(AND(PR$16&gt;=$F48,PR$16&lt;$F48+($G48*$I48)),"➤",""),"")</f>
        <v/>
      </c>
      <c r="PS48" s="76" t="str">
        <f aca="false">IF($I48&gt;0%,IF(AND(PS$16&gt;=$F48,PS$16&lt;$F48+($G48*$I48)),"➤",""),"")</f>
        <v/>
      </c>
      <c r="PT48" s="76" t="str">
        <f aca="false">IF($I48&gt;0%,IF(AND(PT$16&gt;=$F48,PT$16&lt;$F48+($G48*$I48)),"➤",""),"")</f>
        <v/>
      </c>
      <c r="PU48" s="76" t="str">
        <f aca="false">IF($I48&gt;0%,IF(AND(PU$16&gt;=$F48,PU$16&lt;$F48+($G48*$I48)),"➤",""),"")</f>
        <v/>
      </c>
      <c r="PV48" s="76" t="str">
        <f aca="false">IF($I48&gt;0%,IF(AND(PV$16&gt;=$F48,PV$16&lt;$F48+($G48*$I48)),"➤",""),"")</f>
        <v/>
      </c>
      <c r="PW48" s="76" t="str">
        <f aca="false">IF($I48&gt;0%,IF(AND(PW$16&gt;=$F48,PW$16&lt;$F48+($G48*$I48)),"➤",""),"")</f>
        <v/>
      </c>
      <c r="PX48" s="76" t="str">
        <f aca="false">IF($I48&gt;0%,IF(AND(PX$16&gt;=$F48,PX$16&lt;$F48+($G48*$I48)),"➤",""),"")</f>
        <v/>
      </c>
      <c r="PY48" s="76" t="str">
        <f aca="false">IF($I48&gt;0%,IF(AND(PY$16&gt;=$F48,PY$16&lt;$F48+($G48*$I48)),"➤",""),"")</f>
        <v/>
      </c>
      <c r="PZ48" s="76" t="str">
        <f aca="false">IF($I48&gt;0%,IF(AND(PZ$16&gt;=$F48,PZ$16&lt;$F48+($G48*$I48)),"➤",""),"")</f>
        <v/>
      </c>
      <c r="QA48" s="76" t="str">
        <f aca="false">IF($I48&gt;0%,IF(AND(QA$16&gt;=$F48,QA$16&lt;$F48+($G48*$I48)),"➤",""),"")</f>
        <v/>
      </c>
      <c r="QB48" s="76" t="str">
        <f aca="false">IF($I48&gt;0%,IF(AND(QB$16&gt;=$F48,QB$16&lt;$F48+($G48*$I48)),"➤",""),"")</f>
        <v/>
      </c>
      <c r="QC48" s="76" t="str">
        <f aca="false">IF($I48&gt;0%,IF(AND(QC$16&gt;=$F48,QC$16&lt;$F48+($G48*$I48)),"➤",""),"")</f>
        <v/>
      </c>
      <c r="QD48" s="76" t="str">
        <f aca="false">IF($I48&gt;0%,IF(AND(QD$16&gt;=$F48,QD$16&lt;$F48+($G48*$I48)),"➤",""),"")</f>
        <v/>
      </c>
      <c r="QE48" s="76" t="str">
        <f aca="false">IF($I48&gt;0%,IF(AND(QE$16&gt;=$F48,QE$16&lt;$F48+($G48*$I48)),"➤",""),"")</f>
        <v/>
      </c>
      <c r="QF48" s="76" t="str">
        <f aca="false">IF($I48&gt;0%,IF(AND(QF$16&gt;=$F48,QF$16&lt;$F48+($G48*$I48)),"➤",""),"")</f>
        <v/>
      </c>
      <c r="QG48" s="76" t="str">
        <f aca="false">IF($I48&gt;0%,IF(AND(QG$16&gt;=$F48,QG$16&lt;$F48+($G48*$I48)),"➤",""),"")</f>
        <v/>
      </c>
      <c r="QH48" s="76" t="str">
        <f aca="false">IF($I48&gt;0%,IF(AND(QH$16&gt;=$F48,QH$16&lt;$F48+($G48*$I48)),"➤",""),"")</f>
        <v/>
      </c>
      <c r="QI48" s="76" t="str">
        <f aca="false">IF($I48&gt;0%,IF(AND(QI$16&gt;=$F48,QI$16&lt;$F48+($G48*$I48)),"➤",""),"")</f>
        <v/>
      </c>
      <c r="QJ48" s="76" t="str">
        <f aca="false">IF($I48&gt;0%,IF(AND(QJ$16&gt;=$F48,QJ$16&lt;$F48+($G48*$I48)),"➤",""),"")</f>
        <v/>
      </c>
      <c r="QK48" s="76" t="str">
        <f aca="false">IF($I48&gt;0%,IF(AND(QK$16&gt;=$F48,QK$16&lt;$F48+($G48*$I48)),"➤",""),"")</f>
        <v/>
      </c>
      <c r="QL48" s="76" t="str">
        <f aca="false">IF($I48&gt;0%,IF(AND(QL$16&gt;=$F48,QL$16&lt;$F48+($G48*$I48)),"➤",""),"")</f>
        <v/>
      </c>
      <c r="QM48" s="76" t="str">
        <f aca="false">IF($I48&gt;0%,IF(AND(QM$16&gt;=$F48,QM$16&lt;$F48+($G48*$I48)),"➤",""),"")</f>
        <v/>
      </c>
      <c r="QN48" s="76" t="str">
        <f aca="false">IF($I48&gt;0%,IF(AND(QN$16&gt;=$F48,QN$16&lt;$F48+($G48*$I48)),"➤",""),"")</f>
        <v/>
      </c>
      <c r="QO48" s="76" t="str">
        <f aca="false">IF($I48&gt;0%,IF(AND(QO$16&gt;=$F48,QO$16&lt;$F48+($G48*$I48)),"➤",""),"")</f>
        <v/>
      </c>
      <c r="QP48" s="76" t="str">
        <f aca="false">IF($I48&gt;0%,IF(AND(QP$16&gt;=$F48,QP$16&lt;$F48+($G48*$I48)),"➤",""),"")</f>
        <v/>
      </c>
      <c r="QQ48" s="76" t="str">
        <f aca="false">IF($I48&gt;0%,IF(AND(QQ$16&gt;=$F48,QQ$16&lt;$F48+($G48*$I48)),"➤",""),"")</f>
        <v/>
      </c>
      <c r="QR48" s="76" t="str">
        <f aca="false">IF($I48&gt;0%,IF(AND(QR$16&gt;=$F48,QR$16&lt;$F48+($G48*$I48)),"➤",""),"")</f>
        <v/>
      </c>
      <c r="QS48" s="76" t="str">
        <f aca="false">IF($I48&gt;0%,IF(AND(QS$16&gt;=$F48,QS$16&lt;$F48+($G48*$I48)),"➤",""),"")</f>
        <v/>
      </c>
      <c r="QT48" s="76" t="str">
        <f aca="false">IF($I48&gt;0%,IF(AND(QT$16&gt;=$F48,QT$16&lt;$F48+($G48*$I48)),"➤",""),"")</f>
        <v/>
      </c>
      <c r="QU48" s="76" t="str">
        <f aca="false">IF($I48&gt;0%,IF(AND(QU$16&gt;=$F48,QU$16&lt;$F48+($G48*$I48)),"➤",""),"")</f>
        <v/>
      </c>
      <c r="QV48" s="76" t="str">
        <f aca="false">IF($I48&gt;0%,IF(AND(QV$16&gt;=$F48,QV$16&lt;$F48+($G48*$I48)),"➤",""),"")</f>
        <v/>
      </c>
      <c r="QW48" s="76" t="str">
        <f aca="false">IF($I48&gt;0%,IF(AND(QW$16&gt;=$F48,QW$16&lt;$F48+($G48*$I48)),"➤",""),"")</f>
        <v/>
      </c>
      <c r="QX48" s="76" t="str">
        <f aca="false">IF($I48&gt;0%,IF(AND(QX$16&gt;=$F48,QX$16&lt;$F48+($G48*$I48)),"➤",""),"")</f>
        <v/>
      </c>
      <c r="QY48" s="76" t="str">
        <f aca="false">IF($I48&gt;0%,IF(AND(QY$16&gt;=$F48,QY$16&lt;$F48+($G48*$I48)),"➤",""),"")</f>
        <v/>
      </c>
      <c r="QZ48" s="76" t="str">
        <f aca="false">IF($I48&gt;0%,IF(AND(QZ$16&gt;=$F48,QZ$16&lt;$F48+($G48*$I48)),"➤",""),"")</f>
        <v/>
      </c>
      <c r="RA48" s="76" t="str">
        <f aca="false">IF($I48&gt;0%,IF(AND(RA$16&gt;=$F48,RA$16&lt;$F48+($G48*$I48)),"➤",""),"")</f>
        <v/>
      </c>
      <c r="RB48" s="76" t="str">
        <f aca="false">IF($I48&gt;0%,IF(AND(RB$16&gt;=$F48,RB$16&lt;$F48+($G48*$I48)),"➤",""),"")</f>
        <v/>
      </c>
      <c r="RC48" s="76" t="str">
        <f aca="false">IF($I48&gt;0%,IF(AND(RC$16&gt;=$F48,RC$16&lt;$F48+($G48*$I48)),"➤",""),"")</f>
        <v/>
      </c>
      <c r="RD48" s="76" t="str">
        <f aca="false">IF($I48&gt;0%,IF(AND(RD$16&gt;=$F48,RD$16&lt;$F48+($G48*$I48)),"➤",""),"")</f>
        <v/>
      </c>
      <c r="RE48" s="76" t="str">
        <f aca="false">IF($I48&gt;0%,IF(AND(RE$16&gt;=$F48,RE$16&lt;$F48+($G48*$I48)),"➤",""),"")</f>
        <v/>
      </c>
      <c r="RF48" s="76" t="str">
        <f aca="false">IF($I48&gt;0%,IF(AND(RF$16&gt;=$F48,RF$16&lt;$F48+($G48*$I48)),"➤",""),"")</f>
        <v/>
      </c>
      <c r="RG48" s="76" t="str">
        <f aca="false">IF($I48&gt;0%,IF(AND(RG$16&gt;=$F48,RG$16&lt;$F48+($G48*$I48)),"➤",""),"")</f>
        <v/>
      </c>
      <c r="RH48" s="76" t="str">
        <f aca="false">IF($I48&gt;0%,IF(AND(RH$16&gt;=$F48,RH$16&lt;$F48+($G48*$I48)),"➤",""),"")</f>
        <v/>
      </c>
      <c r="RI48" s="76" t="str">
        <f aca="false">IF($I48&gt;0%,IF(AND(RI$16&gt;=$F48,RI$16&lt;$F48+($G48*$I48)),"➤",""),"")</f>
        <v/>
      </c>
      <c r="RJ48" s="76" t="str">
        <f aca="false">IF($I48&gt;0%,IF(AND(RJ$16&gt;=$F48,RJ$16&lt;$F48+($G48*$I48)),"➤",""),"")</f>
        <v/>
      </c>
      <c r="RK48" s="76" t="str">
        <f aca="false">IF($I48&gt;0%,IF(AND(RK$16&gt;=$F48,RK$16&lt;$F48+($G48*$I48)),"➤",""),"")</f>
        <v/>
      </c>
      <c r="RL48" s="76" t="str">
        <f aca="false">IF($I48&gt;0%,IF(AND(RL$16&gt;=$F48,RL$16&lt;$F48+($G48*$I48)),"➤",""),"")</f>
        <v/>
      </c>
      <c r="RM48" s="76" t="str">
        <f aca="false">IF($I48&gt;0%,IF(AND(RM$16&gt;=$F48,RM$16&lt;$F48+($G48*$I48)),"➤",""),"")</f>
        <v/>
      </c>
      <c r="RN48" s="76" t="str">
        <f aca="false">IF($I48&gt;0%,IF(AND(RN$16&gt;=$F48,RN$16&lt;$F48+($G48*$I48)),"➤",""),"")</f>
        <v/>
      </c>
      <c r="RO48" s="76" t="str">
        <f aca="false">IF($I48&gt;0%,IF(AND(RO$16&gt;=$F48,RO$16&lt;$F48+($G48*$I48)),"➤",""),"")</f>
        <v/>
      </c>
      <c r="RP48" s="76" t="str">
        <f aca="false">IF($I48&gt;0%,IF(AND(RP$16&gt;=$F48,RP$16&lt;$F48+($G48*$I48)),"➤",""),"")</f>
        <v/>
      </c>
      <c r="RQ48" s="76" t="str">
        <f aca="false">IF($I48&gt;0%,IF(AND(RQ$16&gt;=$F48,RQ$16&lt;$F48+($G48*$I48)),"➤",""),"")</f>
        <v/>
      </c>
      <c r="RR48" s="76" t="str">
        <f aca="false">IF($I48&gt;0%,IF(AND(RR$16&gt;=$F48,RR$16&lt;$F48+($G48*$I48)),"➤",""),"")</f>
        <v/>
      </c>
      <c r="RS48" s="76" t="str">
        <f aca="false">IF($I48&gt;0%,IF(AND(RS$16&gt;=$F48,RS$16&lt;$F48+($G48*$I48)),"➤",""),"")</f>
        <v/>
      </c>
      <c r="RT48" s="76" t="str">
        <f aca="false">IF($I48&gt;0%,IF(AND(RT$16&gt;=$F48,RT$16&lt;$F48+($G48*$I48)),"➤",""),"")</f>
        <v/>
      </c>
      <c r="RU48" s="76" t="str">
        <f aca="false">IF($I48&gt;0%,IF(AND(RU$16&gt;=$F48,RU$16&lt;$F48+($G48*$I48)),"➤",""),"")</f>
        <v/>
      </c>
      <c r="RV48" s="76" t="str">
        <f aca="false">IF($I48&gt;0%,IF(AND(RV$16&gt;=$F48,RV$16&lt;$F48+($G48*$I48)),"➤",""),"")</f>
        <v/>
      </c>
      <c r="RW48" s="76" t="str">
        <f aca="false">IF($I48&gt;0%,IF(AND(RW$16&gt;=$F48,RW$16&lt;$F48+($G48*$I48)),"➤",""),"")</f>
        <v/>
      </c>
      <c r="RX48" s="76" t="str">
        <f aca="false">IF($I48&gt;0%,IF(AND(RX$16&gt;=$F48,RX$16&lt;$F48+($G48*$I48)),"➤",""),"")</f>
        <v/>
      </c>
      <c r="RY48" s="76" t="str">
        <f aca="false">IF($I48&gt;0%,IF(AND(RY$16&gt;=$F48,RY$16&lt;$F48+($G48*$I48)),"➤",""),"")</f>
        <v/>
      </c>
      <c r="RZ48" s="76" t="str">
        <f aca="false">IF($I48&gt;0%,IF(AND(RZ$16&gt;=$F48,RZ$16&lt;$F48+($G48*$I48)),"➤",""),"")</f>
        <v/>
      </c>
      <c r="SA48" s="76" t="str">
        <f aca="false">IF($I48&gt;0%,IF(AND(SA$16&gt;=$F48,SA$16&lt;$F48+($G48*$I48)),"➤",""),"")</f>
        <v/>
      </c>
      <c r="SB48" s="76" t="str">
        <f aca="false">IF($I48&gt;0%,IF(AND(SB$16&gt;=$F48,SB$16&lt;$F48+($G48*$I48)),"➤",""),"")</f>
        <v/>
      </c>
      <c r="SC48" s="76" t="str">
        <f aca="false">IF($I48&gt;0%,IF(AND(SC$16&gt;=$F48,SC$16&lt;$F48+($G48*$I48)),"➤",""),"")</f>
        <v/>
      </c>
      <c r="SD48" s="76" t="str">
        <f aca="false">IF($I48&gt;0%,IF(AND(SD$16&gt;=$F48,SD$16&lt;$F48+($G48*$I48)),"➤",""),"")</f>
        <v/>
      </c>
      <c r="SE48" s="76" t="str">
        <f aca="false">IF($I48&gt;0%,IF(AND(SE$16&gt;=$F48,SE$16&lt;$F48+($G48*$I48)),"➤",""),"")</f>
        <v/>
      </c>
      <c r="SF48" s="76" t="str">
        <f aca="false">IF($I48&gt;0%,IF(AND(SF$16&gt;=$F48,SF$16&lt;$F48+($G48*$I48)),"➤",""),"")</f>
        <v/>
      </c>
      <c r="SG48" s="76" t="str">
        <f aca="false">IF($I48&gt;0%,IF(AND(SG$16&gt;=$F48,SG$16&lt;$F48+($G48*$I48)),"➤",""),"")</f>
        <v/>
      </c>
      <c r="SH48" s="76" t="str">
        <f aca="false">IF($I48&gt;0%,IF(AND(SH$16&gt;=$F48,SH$16&lt;$F48+($G48*$I48)),"➤",""),"")</f>
        <v/>
      </c>
      <c r="SI48" s="76" t="str">
        <f aca="false">IF($I48&gt;0%,IF(AND(SI$16&gt;=$F48,SI$16&lt;$F48+($G48*$I48)),"➤",""),"")</f>
        <v/>
      </c>
      <c r="SJ48" s="76" t="str">
        <f aca="false">IF($I48&gt;0%,IF(AND(SJ$16&gt;=$F48,SJ$16&lt;$F48+($G48*$I48)),"➤",""),"")</f>
        <v/>
      </c>
      <c r="SK48" s="76" t="str">
        <f aca="false">IF($I48&gt;0%,IF(AND(SK$16&gt;=$F48,SK$16&lt;$F48+($G48*$I48)),"➤",""),"")</f>
        <v/>
      </c>
      <c r="SL48" s="76" t="str">
        <f aca="false">IF($I48&gt;0%,IF(AND(SL$16&gt;=$F48,SL$16&lt;$F48+($G48*$I48)),"➤",""),"")</f>
        <v/>
      </c>
      <c r="SM48" s="76" t="str">
        <f aca="false">IF($I48&gt;0%,IF(AND(SM$16&gt;=$F48,SM$16&lt;$F48+($G48*$I48)),"➤",""),"")</f>
        <v/>
      </c>
      <c r="SN48" s="76" t="str">
        <f aca="false">IF($I48&gt;0%,IF(AND(SN$16&gt;=$F48,SN$16&lt;$F48+($G48*$I48)),"➤",""),"")</f>
        <v/>
      </c>
      <c r="SO48" s="76" t="str">
        <f aca="false">IF($I48&gt;0%,IF(AND(SO$16&gt;=$F48,SO$16&lt;$F48+($G48*$I48)),"➤",""),"")</f>
        <v/>
      </c>
      <c r="SP48" s="76" t="str">
        <f aca="false">IF($I48&gt;0%,IF(AND(SP$16&gt;=$F48,SP$16&lt;$F48+($G48*$I48)),"➤",""),"")</f>
        <v/>
      </c>
      <c r="SQ48" s="76" t="str">
        <f aca="false">IF($I48&gt;0%,IF(AND(SQ$16&gt;=$F48,SQ$16&lt;$F48+($G48*$I48)),"➤",""),"")</f>
        <v/>
      </c>
      <c r="SR48" s="76" t="str">
        <f aca="false">IF($I48&gt;0%,IF(AND(SR$16&gt;=$F48,SR$16&lt;$F48+($G48*$I48)),"➤",""),"")</f>
        <v/>
      </c>
      <c r="SS48" s="76" t="str">
        <f aca="false">IF($I48&gt;0%,IF(AND(SS$16&gt;=$F48,SS$16&lt;$F48+($G48*$I48)),"➤",""),"")</f>
        <v/>
      </c>
      <c r="ST48" s="76" t="str">
        <f aca="false">IF($I48&gt;0%,IF(AND(ST$16&gt;=$F48,ST$16&lt;$F48+($G48*$I48)),"➤",""),"")</f>
        <v/>
      </c>
      <c r="SU48" s="76" t="str">
        <f aca="false">IF($I48&gt;0%,IF(AND(SU$16&gt;=$F48,SU$16&lt;$F48+($G48*$I48)),"➤",""),"")</f>
        <v/>
      </c>
      <c r="SV48" s="76" t="str">
        <f aca="false">IF($I48&gt;0%,IF(AND(SV$16&gt;=$F48,SV$16&lt;$F48+($G48*$I48)),"➤",""),"")</f>
        <v/>
      </c>
      <c r="SW48" s="77" t="str">
        <f aca="false">IF($I48&gt;0%,IF(AND(SW$16&gt;=$F48,SW$16&lt;$F48+($G48*$I48)),"➤",""),"")</f>
        <v/>
      </c>
    </row>
    <row r="49" customFormat="false" ht="14.25" hidden="false" customHeight="false" outlineLevel="1" collapsed="false">
      <c r="C49" s="10"/>
      <c r="D49" s="78"/>
      <c r="E49" s="79"/>
      <c r="F49" s="80" t="n">
        <v>44178</v>
      </c>
      <c r="G49" s="109" t="n">
        <v>5</v>
      </c>
      <c r="H49" s="96" t="n">
        <f aca="false">(F49+G49)-1</f>
        <v>44182</v>
      </c>
      <c r="I49" s="98" t="n">
        <v>0</v>
      </c>
      <c r="J49" s="84"/>
      <c r="K49" s="85"/>
      <c r="L49" s="75" t="str">
        <f aca="false">IF($I49&gt;0%,IF(AND(L$16&gt;=$F49,L$16&lt;$F49+($G49*$I49)),"➤",""),"")</f>
        <v/>
      </c>
      <c r="M49" s="76" t="str">
        <f aca="false">IF($I49&gt;0%,IF(AND(M$16&gt;=$F49,M$16&lt;$F49+($G49*$I49)),"➤",""),"")</f>
        <v/>
      </c>
      <c r="N49" s="76" t="str">
        <f aca="false">IF($I49&gt;0%,IF(AND(N$16&gt;=$F49,N$16&lt;$F49+($G49*$I49)),"➤",""),"")</f>
        <v/>
      </c>
      <c r="O49" s="76" t="str">
        <f aca="false">IF($I49&gt;0%,IF(AND(O$16&gt;=$F49,O$16&lt;$F49+($G49*$I49)),"➤",""),"")</f>
        <v/>
      </c>
      <c r="P49" s="76" t="str">
        <f aca="false">IF($I49&gt;0%,IF(AND(P$16&gt;=$F49,P$16&lt;$F49+($G49*$I49)),"➤",""),"")</f>
        <v/>
      </c>
      <c r="Q49" s="76" t="str">
        <f aca="false">IF($I49&gt;0%,IF(AND(Q$16&gt;=$F49,Q$16&lt;$F49+($G49*$I49)),"➤",""),"")</f>
        <v/>
      </c>
      <c r="R49" s="76" t="str">
        <f aca="false">IF($I49&gt;0%,IF(AND(R$16&gt;=$F49,R$16&lt;$F49+($G49*$I49)),"➤",""),"")</f>
        <v/>
      </c>
      <c r="S49" s="76" t="str">
        <f aca="false">IF($I49&gt;0%,IF(AND(S$16&gt;=$F49,S$16&lt;$F49+($G49*$I49)),"➤",""),"")</f>
        <v/>
      </c>
      <c r="T49" s="76" t="str">
        <f aca="false">IF($I49&gt;0%,IF(AND(T$16&gt;=$F49,T$16&lt;$F49+($G49*$I49)),"➤",""),"")</f>
        <v/>
      </c>
      <c r="U49" s="76" t="str">
        <f aca="false">IF($I49&gt;0%,IF(AND(U$16&gt;=$F49,U$16&lt;$F49+($G49*$I49)),"➤",""),"")</f>
        <v/>
      </c>
      <c r="V49" s="76" t="str">
        <f aca="false">IF($I49&gt;0%,IF(AND(V$16&gt;=$F49,V$16&lt;$F49+($G49*$I49)),"➤",""),"")</f>
        <v/>
      </c>
      <c r="W49" s="76" t="str">
        <f aca="false">IF($I49&gt;0%,IF(AND(W$16&gt;=$F49,W$16&lt;$F49+($G49*$I49)),"➤",""),"")</f>
        <v/>
      </c>
      <c r="X49" s="76" t="str">
        <f aca="false">IF($I49&gt;0%,IF(AND(X$16&gt;=$F49,X$16&lt;$F49+($G49*$I49)),"➤",""),"")</f>
        <v/>
      </c>
      <c r="Y49" s="76" t="str">
        <f aca="false">IF($I49&gt;0%,IF(AND(Y$16&gt;=$F49,Y$16&lt;$F49+($G49*$I49)),"➤",""),"")</f>
        <v/>
      </c>
      <c r="Z49" s="76" t="str">
        <f aca="false">IF($I49&gt;0%,IF(AND(Z$16&gt;=$F49,Z$16&lt;$F49+($G49*$I49)),"➤",""),"")</f>
        <v/>
      </c>
      <c r="AA49" s="76" t="str">
        <f aca="false">IF($I49&gt;0%,IF(AND(AA$16&gt;=$F49,AA$16&lt;$F49+($G49*$I49)),"➤",""),"")</f>
        <v/>
      </c>
      <c r="AB49" s="76" t="str">
        <f aca="false">IF($I49&gt;0%,IF(AND(AB$16&gt;=$F49,AB$16&lt;$F49+($G49*$I49)),"➤",""),"")</f>
        <v/>
      </c>
      <c r="AC49" s="76" t="str">
        <f aca="false">IF($I49&gt;0%,IF(AND(AC$16&gt;=$F49,AC$16&lt;$F49+($G49*$I49)),"➤",""),"")</f>
        <v/>
      </c>
      <c r="AD49" s="76" t="str">
        <f aca="false">IF($I49&gt;0%,IF(AND(AD$16&gt;=$F49,AD$16&lt;$F49+($G49*$I49)),"➤",""),"")</f>
        <v/>
      </c>
      <c r="AE49" s="76" t="str">
        <f aca="false">IF($I49&gt;0%,IF(AND(AE$16&gt;=$F49,AE$16&lt;$F49+($G49*$I49)),"➤",""),"")</f>
        <v/>
      </c>
      <c r="AF49" s="76" t="str">
        <f aca="false">IF($I49&gt;0%,IF(AND(AF$16&gt;=$F49,AF$16&lt;$F49+($G49*$I49)),"➤",""),"")</f>
        <v/>
      </c>
      <c r="AG49" s="76" t="str">
        <f aca="false">IF($I49&gt;0%,IF(AND(AG$16&gt;=$F49,AG$16&lt;$F49+($G49*$I49)),"➤",""),"")</f>
        <v/>
      </c>
      <c r="AH49" s="76" t="str">
        <f aca="false">IF($I49&gt;0%,IF(AND(AH$16&gt;=$F49,AH$16&lt;$F49+($G49*$I49)),"➤",""),"")</f>
        <v/>
      </c>
      <c r="AI49" s="76" t="str">
        <f aca="false">IF($I49&gt;0%,IF(AND(AI$16&gt;=$F49,AI$16&lt;$F49+($G49*$I49)),"➤",""),"")</f>
        <v/>
      </c>
      <c r="AJ49" s="76" t="str">
        <f aca="false">IF($I49&gt;0%,IF(AND(AJ$16&gt;=$F49,AJ$16&lt;$F49+($G49*$I49)),"➤",""),"")</f>
        <v/>
      </c>
      <c r="AK49" s="76" t="str">
        <f aca="false">IF($I49&gt;0%,IF(AND(AK$16&gt;=$F49,AK$16&lt;$F49+($G49*$I49)),"➤",""),"")</f>
        <v/>
      </c>
      <c r="AL49" s="76" t="str">
        <f aca="false">IF($I49&gt;0%,IF(AND(AL$16&gt;=$F49,AL$16&lt;$F49+($G49*$I49)),"➤",""),"")</f>
        <v/>
      </c>
      <c r="AM49" s="76" t="str">
        <f aca="false">IF($I49&gt;0%,IF(AND(AM$16&gt;=$F49,AM$16&lt;$F49+($G49*$I49)),"➤",""),"")</f>
        <v/>
      </c>
      <c r="AN49" s="76" t="str">
        <f aca="false">IF($I49&gt;0%,IF(AND(AN$16&gt;=$F49,AN$16&lt;$F49+($G49*$I49)),"➤",""),"")</f>
        <v/>
      </c>
      <c r="AO49" s="76" t="str">
        <f aca="false">IF($I49&gt;0%,IF(AND(AO$16&gt;=$F49,AO$16&lt;$F49+($G49*$I49)),"➤",""),"")</f>
        <v/>
      </c>
      <c r="AP49" s="76" t="str">
        <f aca="false">IF($I49&gt;0%,IF(AND(AP$16&gt;=$F49,AP$16&lt;$F49+($G49*$I49)),"➤",""),"")</f>
        <v/>
      </c>
      <c r="AQ49" s="76" t="str">
        <f aca="false">IF($I49&gt;0%,IF(AND(AQ$16&gt;=$F49,AQ$16&lt;$F49+($G49*$I49)),"➤",""),"")</f>
        <v/>
      </c>
      <c r="AR49" s="76" t="str">
        <f aca="false">IF($I49&gt;0%,IF(AND(AR$16&gt;=$F49,AR$16&lt;$F49+($G49*$I49)),"➤",""),"")</f>
        <v/>
      </c>
      <c r="AS49" s="76" t="str">
        <f aca="false">IF($I49&gt;0%,IF(AND(AS$16&gt;=$F49,AS$16&lt;$F49+($G49*$I49)),"➤",""),"")</f>
        <v/>
      </c>
      <c r="AT49" s="76" t="str">
        <f aca="false">IF($I49&gt;0%,IF(AND(AT$16&gt;=$F49,AT$16&lt;$F49+($G49*$I49)),"➤",""),"")</f>
        <v/>
      </c>
      <c r="AU49" s="76" t="str">
        <f aca="false">IF($I49&gt;0%,IF(AND(AU$16&gt;=$F49,AU$16&lt;$F49+($G49*$I49)),"➤",""),"")</f>
        <v/>
      </c>
      <c r="AV49" s="76" t="str">
        <f aca="false">IF($I49&gt;0%,IF(AND(AV$16&gt;=$F49,AV$16&lt;$F49+($G49*$I49)),"➤",""),"")</f>
        <v/>
      </c>
      <c r="AW49" s="76" t="str">
        <f aca="false">IF($I49&gt;0%,IF(AND(AW$16&gt;=$F49,AW$16&lt;$F49+($G49*$I49)),"➤",""),"")</f>
        <v/>
      </c>
      <c r="AX49" s="76" t="str">
        <f aca="false">IF($I49&gt;0%,IF(AND(AX$16&gt;=$F49,AX$16&lt;$F49+($G49*$I49)),"➤",""),"")</f>
        <v/>
      </c>
      <c r="AY49" s="76" t="str">
        <f aca="false">IF($I49&gt;0%,IF(AND(AY$16&gt;=$F49,AY$16&lt;$F49+($G49*$I49)),"➤",""),"")</f>
        <v/>
      </c>
      <c r="AZ49" s="76" t="str">
        <f aca="false">IF($I49&gt;0%,IF(AND(AZ$16&gt;=$F49,AZ$16&lt;$F49+($G49*$I49)),"➤",""),"")</f>
        <v/>
      </c>
      <c r="BA49" s="76" t="str">
        <f aca="false">IF($I49&gt;0%,IF(AND(BA$16&gt;=$F49,BA$16&lt;$F49+($G49*$I49)),"➤",""),"")</f>
        <v/>
      </c>
      <c r="BB49" s="76" t="str">
        <f aca="false">IF($I49&gt;0%,IF(AND(BB$16&gt;=$F49,BB$16&lt;$F49+($G49*$I49)),"➤",""),"")</f>
        <v/>
      </c>
      <c r="BC49" s="76" t="str">
        <f aca="false">IF($I49&gt;0%,IF(AND(BC$16&gt;=$F49,BC$16&lt;$F49+($G49*$I49)),"➤",""),"")</f>
        <v/>
      </c>
      <c r="BD49" s="76" t="str">
        <f aca="false">IF($I49&gt;0%,IF(AND(BD$16&gt;=$F49,BD$16&lt;$F49+($G49*$I49)),"➤",""),"")</f>
        <v/>
      </c>
      <c r="BE49" s="76" t="str">
        <f aca="false">IF($I49&gt;0%,IF(AND(BE$16&gt;=$F49,BE$16&lt;$F49+($G49*$I49)),"➤",""),"")</f>
        <v/>
      </c>
      <c r="BF49" s="76" t="str">
        <f aca="false">IF($I49&gt;0%,IF(AND(BF$16&gt;=$F49,BF$16&lt;$F49+($G49*$I49)),"➤",""),"")</f>
        <v/>
      </c>
      <c r="BG49" s="76" t="str">
        <f aca="false">IF($I49&gt;0%,IF(AND(BG$16&gt;=$F49,BG$16&lt;$F49+($G49*$I49)),"➤",""),"")</f>
        <v/>
      </c>
      <c r="BH49" s="76" t="str">
        <f aca="false">IF($I49&gt;0%,IF(AND(BH$16&gt;=$F49,BH$16&lt;$F49+($G49*$I49)),"➤",""),"")</f>
        <v/>
      </c>
      <c r="BI49" s="76" t="str">
        <f aca="false">IF($I49&gt;0%,IF(AND(BI$16&gt;=$F49,BI$16&lt;$F49+($G49*$I49)),"➤",""),"")</f>
        <v/>
      </c>
      <c r="BJ49" s="76" t="str">
        <f aca="false">IF($I49&gt;0%,IF(AND(BJ$16&gt;=$F49,BJ$16&lt;$F49+($G49*$I49)),"➤",""),"")</f>
        <v/>
      </c>
      <c r="BK49" s="76" t="str">
        <f aca="false">IF($I49&gt;0%,IF(AND(BK$16&gt;=$F49,BK$16&lt;$F49+($G49*$I49)),"➤",""),"")</f>
        <v/>
      </c>
      <c r="BL49" s="76" t="str">
        <f aca="false">IF($I49&gt;0%,IF(AND(BL$16&gt;=$F49,BL$16&lt;$F49+($G49*$I49)),"➤",""),"")</f>
        <v/>
      </c>
      <c r="BM49" s="76" t="str">
        <f aca="false">IF($I49&gt;0%,IF(AND(BM$16&gt;=$F49,BM$16&lt;$F49+($G49*$I49)),"➤",""),"")</f>
        <v/>
      </c>
      <c r="BN49" s="76" t="str">
        <f aca="false">IF($I49&gt;0%,IF(AND(BN$16&gt;=$F49,BN$16&lt;$F49+($G49*$I49)),"➤",""),"")</f>
        <v/>
      </c>
      <c r="BO49" s="76" t="str">
        <f aca="false">IF($I49&gt;0%,IF(AND(BO$16&gt;=$F49,BO$16&lt;$F49+($G49*$I49)),"➤",""),"")</f>
        <v/>
      </c>
      <c r="BP49" s="76" t="str">
        <f aca="false">IF($I49&gt;0%,IF(AND(BP$16&gt;=$F49,BP$16&lt;$F49+($G49*$I49)),"➤",""),"")</f>
        <v/>
      </c>
      <c r="BQ49" s="76" t="str">
        <f aca="false">IF($I49&gt;0%,IF(AND(BQ$16&gt;=$F49,BQ$16&lt;$F49+($G49*$I49)),"➤",""),"")</f>
        <v/>
      </c>
      <c r="BR49" s="76" t="str">
        <f aca="false">IF($I49&gt;0%,IF(AND(BR$16&gt;=$F49,BR$16&lt;$F49+($G49*$I49)),"➤",""),"")</f>
        <v/>
      </c>
      <c r="BS49" s="76" t="str">
        <f aca="false">IF($I49&gt;0%,IF(AND(BS$16&gt;=$F49,BS$16&lt;$F49+($G49*$I49)),"➤",""),"")</f>
        <v/>
      </c>
      <c r="BT49" s="76" t="str">
        <f aca="false">IF($I49&gt;0%,IF(AND(BT$16&gt;=$F49,BT$16&lt;$F49+($G49*$I49)),"➤",""),"")</f>
        <v/>
      </c>
      <c r="BU49" s="76" t="str">
        <f aca="false">IF($I49&gt;0%,IF(AND(BU$16&gt;=$F49,BU$16&lt;$F49+($G49*$I49)),"➤",""),"")</f>
        <v/>
      </c>
      <c r="BV49" s="76" t="str">
        <f aca="false">IF($I49&gt;0%,IF(AND(BV$16&gt;=$F49,BV$16&lt;$F49+($G49*$I49)),"➤",""),"")</f>
        <v/>
      </c>
      <c r="BW49" s="76" t="str">
        <f aca="false">IF($I49&gt;0%,IF(AND(BW$16&gt;=$F49,BW$16&lt;$F49+($G49*$I49)),"➤",""),"")</f>
        <v/>
      </c>
      <c r="BX49" s="76" t="str">
        <f aca="false">IF($I49&gt;0%,IF(AND(BX$16&gt;=$F49,BX$16&lt;$F49+($G49*$I49)),"➤",""),"")</f>
        <v/>
      </c>
      <c r="BY49" s="76" t="str">
        <f aca="false">IF($I49&gt;0%,IF(AND(BY$16&gt;=$F49,BY$16&lt;$F49+($G49*$I49)),"➤",""),"")</f>
        <v/>
      </c>
      <c r="BZ49" s="76" t="str">
        <f aca="false">IF($I49&gt;0%,IF(AND(BZ$16&gt;=$F49,BZ$16&lt;$F49+($G49*$I49)),"➤",""),"")</f>
        <v/>
      </c>
      <c r="CA49" s="76" t="str">
        <f aca="false">IF($I49&gt;0%,IF(AND(CA$16&gt;=$F49,CA$16&lt;$F49+($G49*$I49)),"➤",""),"")</f>
        <v/>
      </c>
      <c r="CB49" s="76" t="str">
        <f aca="false">IF($I49&gt;0%,IF(AND(CB$16&gt;=$F49,CB$16&lt;$F49+($G49*$I49)),"➤",""),"")</f>
        <v/>
      </c>
      <c r="CC49" s="76" t="str">
        <f aca="false">IF($I49&gt;0%,IF(AND(CC$16&gt;=$F49,CC$16&lt;$F49+($G49*$I49)),"➤",""),"")</f>
        <v/>
      </c>
      <c r="CD49" s="76" t="str">
        <f aca="false">IF($I49&gt;0%,IF(AND(CD$16&gt;=$F49,CD$16&lt;$F49+($G49*$I49)),"➤",""),"")</f>
        <v/>
      </c>
      <c r="CE49" s="76" t="str">
        <f aca="false">IF($I49&gt;0%,IF(AND(CE$16&gt;=$F49,CE$16&lt;$F49+($G49*$I49)),"➤",""),"")</f>
        <v/>
      </c>
      <c r="CF49" s="76" t="str">
        <f aca="false">IF($I49&gt;0%,IF(AND(CF$16&gt;=$F49,CF$16&lt;$F49+($G49*$I49)),"➤",""),"")</f>
        <v/>
      </c>
      <c r="CG49" s="76" t="str">
        <f aca="false">IF($I49&gt;0%,IF(AND(CG$16&gt;=$F49,CG$16&lt;$F49+($G49*$I49)),"➤",""),"")</f>
        <v/>
      </c>
      <c r="CH49" s="76" t="str">
        <f aca="false">IF($I49&gt;0%,IF(AND(CH$16&gt;=$F49,CH$16&lt;$F49+($G49*$I49)),"➤",""),"")</f>
        <v/>
      </c>
      <c r="CI49" s="76" t="str">
        <f aca="false">IF($I49&gt;0%,IF(AND(CI$16&gt;=$F49,CI$16&lt;$F49+($G49*$I49)),"➤",""),"")</f>
        <v/>
      </c>
      <c r="CJ49" s="76" t="str">
        <f aca="false">IF($I49&gt;0%,IF(AND(CJ$16&gt;=$F49,CJ$16&lt;$F49+($G49*$I49)),"➤",""),"")</f>
        <v/>
      </c>
      <c r="CK49" s="76" t="str">
        <f aca="false">IF($I49&gt;0%,IF(AND(CK$16&gt;=$F49,CK$16&lt;$F49+($G49*$I49)),"➤",""),"")</f>
        <v/>
      </c>
      <c r="CL49" s="76" t="str">
        <f aca="false">IF($I49&gt;0%,IF(AND(CL$16&gt;=$F49,CL$16&lt;$F49+($G49*$I49)),"➤",""),"")</f>
        <v/>
      </c>
      <c r="CM49" s="76" t="str">
        <f aca="false">IF($I49&gt;0%,IF(AND(CM$16&gt;=$F49,CM$16&lt;$F49+($G49*$I49)),"➤",""),"")</f>
        <v/>
      </c>
      <c r="CN49" s="76" t="str">
        <f aca="false">IF($I49&gt;0%,IF(AND(CN$16&gt;=$F49,CN$16&lt;$F49+($G49*$I49)),"➤",""),"")</f>
        <v/>
      </c>
      <c r="CO49" s="76" t="str">
        <f aca="false">IF($I49&gt;0%,IF(AND(CO$16&gt;=$F49,CO$16&lt;$F49+($G49*$I49)),"➤",""),"")</f>
        <v/>
      </c>
      <c r="CP49" s="76" t="str">
        <f aca="false">IF($I49&gt;0%,IF(AND(CP$16&gt;=$F49,CP$16&lt;$F49+($G49*$I49)),"➤",""),"")</f>
        <v/>
      </c>
      <c r="CQ49" s="76" t="str">
        <f aca="false">IF($I49&gt;0%,IF(AND(CQ$16&gt;=$F49,CQ$16&lt;$F49+($G49*$I49)),"➤",""),"")</f>
        <v/>
      </c>
      <c r="CR49" s="76" t="str">
        <f aca="false">IF($I49&gt;0%,IF(AND(CR$16&gt;=$F49,CR$16&lt;$F49+($G49*$I49)),"➤",""),"")</f>
        <v/>
      </c>
      <c r="CS49" s="76" t="str">
        <f aca="false">IF($I49&gt;0%,IF(AND(CS$16&gt;=$F49,CS$16&lt;$F49+($G49*$I49)),"➤",""),"")</f>
        <v/>
      </c>
      <c r="CT49" s="76" t="str">
        <f aca="false">IF($I49&gt;0%,IF(AND(CT$16&gt;=$F49,CT$16&lt;$F49+($G49*$I49)),"➤",""),"")</f>
        <v/>
      </c>
      <c r="CU49" s="76" t="str">
        <f aca="false">IF($I49&gt;0%,IF(AND(CU$16&gt;=$F49,CU$16&lt;$F49+($G49*$I49)),"➤",""),"")</f>
        <v/>
      </c>
      <c r="CV49" s="76" t="str">
        <f aca="false">IF($I49&gt;0%,IF(AND(CV$16&gt;=$F49,CV$16&lt;$F49+($G49*$I49)),"➤",""),"")</f>
        <v/>
      </c>
      <c r="CW49" s="76" t="str">
        <f aca="false">IF($I49&gt;0%,IF(AND(CW$16&gt;=$F49,CW$16&lt;$F49+($G49*$I49)),"➤",""),"")</f>
        <v/>
      </c>
      <c r="CX49" s="76" t="str">
        <f aca="false">IF($I49&gt;0%,IF(AND(CX$16&gt;=$F49,CX$16&lt;$F49+($G49*$I49)),"➤",""),"")</f>
        <v/>
      </c>
      <c r="CY49" s="76" t="str">
        <f aca="false">IF($I49&gt;0%,IF(AND(CY$16&gt;=$F49,CY$16&lt;$F49+($G49*$I49)),"➤",""),"")</f>
        <v/>
      </c>
      <c r="CZ49" s="76" t="str">
        <f aca="false">IF($I49&gt;0%,IF(AND(CZ$16&gt;=$F49,CZ$16&lt;$F49+($G49*$I49)),"➤",""),"")</f>
        <v/>
      </c>
      <c r="DA49" s="76" t="str">
        <f aca="false">IF($I49&gt;0%,IF(AND(DA$16&gt;=$F49,DA$16&lt;$F49+($G49*$I49)),"➤",""),"")</f>
        <v/>
      </c>
      <c r="DB49" s="76" t="str">
        <f aca="false">IF($I49&gt;0%,IF(AND(DB$16&gt;=$F49,DB$16&lt;$F49+($G49*$I49)),"➤",""),"")</f>
        <v/>
      </c>
      <c r="DC49" s="76" t="str">
        <f aca="false">IF($I49&gt;0%,IF(AND(DC$16&gt;=$F49,DC$16&lt;$F49+($G49*$I49)),"➤",""),"")</f>
        <v/>
      </c>
      <c r="DD49" s="76" t="str">
        <f aca="false">IF($I49&gt;0%,IF(AND(DD$16&gt;=$F49,DD$16&lt;$F49+($G49*$I49)),"➤",""),"")</f>
        <v/>
      </c>
      <c r="DE49" s="76" t="str">
        <f aca="false">IF($I49&gt;0%,IF(AND(DE$16&gt;=$F49,DE$16&lt;$F49+($G49*$I49)),"➤",""),"")</f>
        <v/>
      </c>
      <c r="DF49" s="76" t="str">
        <f aca="false">IF($I49&gt;0%,IF(AND(DF$16&gt;=$F49,DF$16&lt;$F49+($G49*$I49)),"➤",""),"")</f>
        <v/>
      </c>
      <c r="DG49" s="76" t="str">
        <f aca="false">IF($I49&gt;0%,IF(AND(DG$16&gt;=$F49,DG$16&lt;$F49+($G49*$I49)),"➤",""),"")</f>
        <v/>
      </c>
      <c r="DH49" s="76" t="str">
        <f aca="false">IF($I49&gt;0%,IF(AND(DH$16&gt;=$F49,DH$16&lt;$F49+($G49*$I49)),"➤",""),"")</f>
        <v/>
      </c>
      <c r="DI49" s="76" t="str">
        <f aca="false">IF($I49&gt;0%,IF(AND(DI$16&gt;=$F49,DI$16&lt;$F49+($G49*$I49)),"➤",""),"")</f>
        <v/>
      </c>
      <c r="DJ49" s="76" t="str">
        <f aca="false">IF($I49&gt;0%,IF(AND(DJ$16&gt;=$F49,DJ$16&lt;$F49+($G49*$I49)),"➤",""),"")</f>
        <v/>
      </c>
      <c r="DK49" s="76" t="str">
        <f aca="false">IF($I49&gt;0%,IF(AND(DK$16&gt;=$F49,DK$16&lt;$F49+($G49*$I49)),"➤",""),"")</f>
        <v/>
      </c>
      <c r="DL49" s="76" t="str">
        <f aca="false">IF($I49&gt;0%,IF(AND(DL$16&gt;=$F49,DL$16&lt;$F49+($G49*$I49)),"➤",""),"")</f>
        <v/>
      </c>
      <c r="DM49" s="76" t="str">
        <f aca="false">IF($I49&gt;0%,IF(AND(DM$16&gt;=$F49,DM$16&lt;$F49+($G49*$I49)),"➤",""),"")</f>
        <v/>
      </c>
      <c r="DN49" s="76" t="str">
        <f aca="false">IF($I49&gt;0%,IF(AND(DN$16&gt;=$F49,DN$16&lt;$F49+($G49*$I49)),"➤",""),"")</f>
        <v/>
      </c>
      <c r="DO49" s="76" t="str">
        <f aca="false">IF($I49&gt;0%,IF(AND(DO$16&gt;=$F49,DO$16&lt;$F49+($G49*$I49)),"➤",""),"")</f>
        <v/>
      </c>
      <c r="DP49" s="76" t="str">
        <f aca="false">IF($I49&gt;0%,IF(AND(DP$16&gt;=$F49,DP$16&lt;$F49+($G49*$I49)),"➤",""),"")</f>
        <v/>
      </c>
      <c r="DQ49" s="76" t="str">
        <f aca="false">IF($I49&gt;0%,IF(AND(DQ$16&gt;=$F49,DQ$16&lt;$F49+($G49*$I49)),"➤",""),"")</f>
        <v/>
      </c>
      <c r="DR49" s="76" t="str">
        <f aca="false">IF($I49&gt;0%,IF(AND(DR$16&gt;=$F49,DR$16&lt;$F49+($G49*$I49)),"➤",""),"")</f>
        <v/>
      </c>
      <c r="DS49" s="76" t="str">
        <f aca="false">IF($I49&gt;0%,IF(AND(DS$16&gt;=$F49,DS$16&lt;$F49+($G49*$I49)),"➤",""),"")</f>
        <v/>
      </c>
      <c r="DT49" s="76" t="str">
        <f aca="false">IF($I49&gt;0%,IF(AND(DT$16&gt;=$F49,DT$16&lt;$F49+($G49*$I49)),"➤",""),"")</f>
        <v/>
      </c>
      <c r="DU49" s="76" t="str">
        <f aca="false">IF($I49&gt;0%,IF(AND(DU$16&gt;=$F49,DU$16&lt;$F49+($G49*$I49)),"➤",""),"")</f>
        <v/>
      </c>
      <c r="DV49" s="76" t="str">
        <f aca="false">IF($I49&gt;0%,IF(AND(DV$16&gt;=$F49,DV$16&lt;$F49+($G49*$I49)),"➤",""),"")</f>
        <v/>
      </c>
      <c r="DW49" s="76" t="str">
        <f aca="false">IF($I49&gt;0%,IF(AND(DW$16&gt;=$F49,DW$16&lt;$F49+($G49*$I49)),"➤",""),"")</f>
        <v/>
      </c>
      <c r="DX49" s="76" t="str">
        <f aca="false">IF($I49&gt;0%,IF(AND(DX$16&gt;=$F49,DX$16&lt;$F49+($G49*$I49)),"➤",""),"")</f>
        <v/>
      </c>
      <c r="DY49" s="76" t="str">
        <f aca="false">IF($I49&gt;0%,IF(AND(DY$16&gt;=$F49,DY$16&lt;$F49+($G49*$I49)),"➤",""),"")</f>
        <v/>
      </c>
      <c r="DZ49" s="76" t="str">
        <f aca="false">IF($I49&gt;0%,IF(AND(DZ$16&gt;=$F49,DZ$16&lt;$F49+($G49*$I49)),"➤",""),"")</f>
        <v/>
      </c>
      <c r="EA49" s="76" t="str">
        <f aca="false">IF($I49&gt;0%,IF(AND(EA$16&gt;=$F49,EA$16&lt;$F49+($G49*$I49)),"➤",""),"")</f>
        <v/>
      </c>
      <c r="EB49" s="76" t="str">
        <f aca="false">IF($I49&gt;0%,IF(AND(EB$16&gt;=$F49,EB$16&lt;$F49+($G49*$I49)),"➤",""),"")</f>
        <v/>
      </c>
      <c r="EC49" s="76" t="str">
        <f aca="false">IF($I49&gt;0%,IF(AND(EC$16&gt;=$F49,EC$16&lt;$F49+($G49*$I49)),"➤",""),"")</f>
        <v/>
      </c>
      <c r="ED49" s="76" t="str">
        <f aca="false">IF($I49&gt;0%,IF(AND(ED$16&gt;=$F49,ED$16&lt;$F49+($G49*$I49)),"➤",""),"")</f>
        <v/>
      </c>
      <c r="EE49" s="76" t="str">
        <f aca="false">IF($I49&gt;0%,IF(AND(EE$16&gt;=$F49,EE$16&lt;$F49+($G49*$I49)),"➤",""),"")</f>
        <v/>
      </c>
      <c r="EF49" s="76" t="str">
        <f aca="false">IF($I49&gt;0%,IF(AND(EF$16&gt;=$F49,EF$16&lt;$F49+($G49*$I49)),"➤",""),"")</f>
        <v/>
      </c>
      <c r="EG49" s="76" t="str">
        <f aca="false">IF($I49&gt;0%,IF(AND(EG$16&gt;=$F49,EG$16&lt;$F49+($G49*$I49)),"➤",""),"")</f>
        <v/>
      </c>
      <c r="EH49" s="76" t="str">
        <f aca="false">IF($I49&gt;0%,IF(AND(EH$16&gt;=$F49,EH$16&lt;$F49+($G49*$I49)),"➤",""),"")</f>
        <v/>
      </c>
      <c r="EI49" s="76" t="str">
        <f aca="false">IF($I49&gt;0%,IF(AND(EI$16&gt;=$F49,EI$16&lt;$F49+($G49*$I49)),"➤",""),"")</f>
        <v/>
      </c>
      <c r="EJ49" s="76" t="str">
        <f aca="false">IF($I49&gt;0%,IF(AND(EJ$16&gt;=$F49,EJ$16&lt;$F49+($G49*$I49)),"➤",""),"")</f>
        <v/>
      </c>
      <c r="EK49" s="76" t="str">
        <f aca="false">IF($I49&gt;0%,IF(AND(EK$16&gt;=$F49,EK$16&lt;$F49+($G49*$I49)),"➤",""),"")</f>
        <v/>
      </c>
      <c r="EL49" s="76" t="str">
        <f aca="false">IF($I49&gt;0%,IF(AND(EL$16&gt;=$F49,EL$16&lt;$F49+($G49*$I49)),"➤",""),"")</f>
        <v/>
      </c>
      <c r="EM49" s="76" t="str">
        <f aca="false">IF($I49&gt;0%,IF(AND(EM$16&gt;=$F49,EM$16&lt;$F49+($G49*$I49)),"➤",""),"")</f>
        <v/>
      </c>
      <c r="EN49" s="76" t="str">
        <f aca="false">IF($I49&gt;0%,IF(AND(EN$16&gt;=$F49,EN$16&lt;$F49+($G49*$I49)),"➤",""),"")</f>
        <v/>
      </c>
      <c r="EO49" s="76" t="str">
        <f aca="false">IF($I49&gt;0%,IF(AND(EO$16&gt;=$F49,EO$16&lt;$F49+($G49*$I49)),"➤",""),"")</f>
        <v/>
      </c>
      <c r="EP49" s="76" t="str">
        <f aca="false">IF($I49&gt;0%,IF(AND(EP$16&gt;=$F49,EP$16&lt;$F49+($G49*$I49)),"➤",""),"")</f>
        <v/>
      </c>
      <c r="EQ49" s="76" t="str">
        <f aca="false">IF($I49&gt;0%,IF(AND(EQ$16&gt;=$F49,EQ$16&lt;$F49+($G49*$I49)),"➤",""),"")</f>
        <v/>
      </c>
      <c r="ER49" s="76" t="str">
        <f aca="false">IF($I49&gt;0%,IF(AND(ER$16&gt;=$F49,ER$16&lt;$F49+($G49*$I49)),"➤",""),"")</f>
        <v/>
      </c>
      <c r="ES49" s="76" t="str">
        <f aca="false">IF($I49&gt;0%,IF(AND(ES$16&gt;=$F49,ES$16&lt;$F49+($G49*$I49)),"➤",""),"")</f>
        <v/>
      </c>
      <c r="ET49" s="76" t="str">
        <f aca="false">IF($I49&gt;0%,IF(AND(ET$16&gt;=$F49,ET$16&lt;$F49+($G49*$I49)),"➤",""),"")</f>
        <v/>
      </c>
      <c r="EU49" s="76" t="str">
        <f aca="false">IF($I49&gt;0%,IF(AND(EU$16&gt;=$F49,EU$16&lt;$F49+($G49*$I49)),"➤",""),"")</f>
        <v/>
      </c>
      <c r="EV49" s="76" t="str">
        <f aca="false">IF($I49&gt;0%,IF(AND(EV$16&gt;=$F49,EV$16&lt;$F49+($G49*$I49)),"➤",""),"")</f>
        <v/>
      </c>
      <c r="EW49" s="76" t="str">
        <f aca="false">IF($I49&gt;0%,IF(AND(EW$16&gt;=$F49,EW$16&lt;$F49+($G49*$I49)),"➤",""),"")</f>
        <v/>
      </c>
      <c r="EX49" s="76" t="str">
        <f aca="false">IF($I49&gt;0%,IF(AND(EX$16&gt;=$F49,EX$16&lt;$F49+($G49*$I49)),"➤",""),"")</f>
        <v/>
      </c>
      <c r="EY49" s="76" t="str">
        <f aca="false">IF($I49&gt;0%,IF(AND(EY$16&gt;=$F49,EY$16&lt;$F49+($G49*$I49)),"➤",""),"")</f>
        <v/>
      </c>
      <c r="EZ49" s="76" t="str">
        <f aca="false">IF($I49&gt;0%,IF(AND(EZ$16&gt;=$F49,EZ$16&lt;$F49+($G49*$I49)),"➤",""),"")</f>
        <v/>
      </c>
      <c r="FA49" s="76" t="str">
        <f aca="false">IF($I49&gt;0%,IF(AND(FA$16&gt;=$F49,FA$16&lt;$F49+($G49*$I49)),"➤",""),"")</f>
        <v/>
      </c>
      <c r="FB49" s="76" t="str">
        <f aca="false">IF($I49&gt;0%,IF(AND(FB$16&gt;=$F49,FB$16&lt;$F49+($G49*$I49)),"➤",""),"")</f>
        <v/>
      </c>
      <c r="FC49" s="76" t="str">
        <f aca="false">IF($I49&gt;0%,IF(AND(FC$16&gt;=$F49,FC$16&lt;$F49+($G49*$I49)),"➤",""),"")</f>
        <v/>
      </c>
      <c r="FD49" s="76" t="str">
        <f aca="false">IF($I49&gt;0%,IF(AND(FD$16&gt;=$F49,FD$16&lt;$F49+($G49*$I49)),"➤",""),"")</f>
        <v/>
      </c>
      <c r="FE49" s="76" t="str">
        <f aca="false">IF($I49&gt;0%,IF(AND(FE$16&gt;=$F49,FE$16&lt;$F49+($G49*$I49)),"➤",""),"")</f>
        <v/>
      </c>
      <c r="FF49" s="76" t="str">
        <f aca="false">IF($I49&gt;0%,IF(AND(FF$16&gt;=$F49,FF$16&lt;$F49+($G49*$I49)),"➤",""),"")</f>
        <v/>
      </c>
      <c r="FG49" s="76" t="str">
        <f aca="false">IF($I49&gt;0%,IF(AND(FG$16&gt;=$F49,FG$16&lt;$F49+($G49*$I49)),"➤",""),"")</f>
        <v/>
      </c>
      <c r="FH49" s="76" t="str">
        <f aca="false">IF($I49&gt;0%,IF(AND(FH$16&gt;=$F49,FH$16&lt;$F49+($G49*$I49)),"➤",""),"")</f>
        <v/>
      </c>
      <c r="FI49" s="76" t="str">
        <f aca="false">IF($I49&gt;0%,IF(AND(FI$16&gt;=$F49,FI$16&lt;$F49+($G49*$I49)),"➤",""),"")</f>
        <v/>
      </c>
      <c r="FJ49" s="76" t="str">
        <f aca="false">IF($I49&gt;0%,IF(AND(FJ$16&gt;=$F49,FJ$16&lt;$F49+($G49*$I49)),"➤",""),"")</f>
        <v/>
      </c>
      <c r="FK49" s="76" t="str">
        <f aca="false">IF($I49&gt;0%,IF(AND(FK$16&gt;=$F49,FK$16&lt;$F49+($G49*$I49)),"➤",""),"")</f>
        <v/>
      </c>
      <c r="FL49" s="76" t="str">
        <f aca="false">IF($I49&gt;0%,IF(AND(FL$16&gt;=$F49,FL$16&lt;$F49+($G49*$I49)),"➤",""),"")</f>
        <v/>
      </c>
      <c r="FM49" s="76" t="str">
        <f aca="false">IF($I49&gt;0%,IF(AND(FM$16&gt;=$F49,FM$16&lt;$F49+($G49*$I49)),"➤",""),"")</f>
        <v/>
      </c>
      <c r="FN49" s="76" t="str">
        <f aca="false">IF($I49&gt;0%,IF(AND(FN$16&gt;=$F49,FN$16&lt;$F49+($G49*$I49)),"➤",""),"")</f>
        <v/>
      </c>
      <c r="FO49" s="76" t="str">
        <f aca="false">IF($I49&gt;0%,IF(AND(FO$16&gt;=$F49,FO$16&lt;$F49+($G49*$I49)),"➤",""),"")</f>
        <v/>
      </c>
      <c r="FP49" s="76" t="str">
        <f aca="false">IF($I49&gt;0%,IF(AND(FP$16&gt;=$F49,FP$16&lt;$F49+($G49*$I49)),"➤",""),"")</f>
        <v/>
      </c>
      <c r="FQ49" s="76" t="str">
        <f aca="false">IF($I49&gt;0%,IF(AND(FQ$16&gt;=$F49,FQ$16&lt;$F49+($G49*$I49)),"➤",""),"")</f>
        <v/>
      </c>
      <c r="FR49" s="76" t="str">
        <f aca="false">IF($I49&gt;0%,IF(AND(FR$16&gt;=$F49,FR$16&lt;$F49+($G49*$I49)),"➤",""),"")</f>
        <v/>
      </c>
      <c r="FS49" s="76" t="str">
        <f aca="false">IF($I49&gt;0%,IF(AND(FS$16&gt;=$F49,FS$16&lt;$F49+($G49*$I49)),"➤",""),"")</f>
        <v/>
      </c>
      <c r="FT49" s="76" t="str">
        <f aca="false">IF($I49&gt;0%,IF(AND(FT$16&gt;=$F49,FT$16&lt;$F49+($G49*$I49)),"➤",""),"")</f>
        <v/>
      </c>
      <c r="FU49" s="76" t="str">
        <f aca="false">IF($I49&gt;0%,IF(AND(FU$16&gt;=$F49,FU$16&lt;$F49+($G49*$I49)),"➤",""),"")</f>
        <v/>
      </c>
      <c r="FV49" s="76" t="str">
        <f aca="false">IF($I49&gt;0%,IF(AND(FV$16&gt;=$F49,FV$16&lt;$F49+($G49*$I49)),"➤",""),"")</f>
        <v/>
      </c>
      <c r="FW49" s="76" t="str">
        <f aca="false">IF($I49&gt;0%,IF(AND(FW$16&gt;=$F49,FW$16&lt;$F49+($G49*$I49)),"➤",""),"")</f>
        <v/>
      </c>
      <c r="FX49" s="76" t="str">
        <f aca="false">IF($I49&gt;0%,IF(AND(FX$16&gt;=$F49,FX$16&lt;$F49+($G49*$I49)),"➤",""),"")</f>
        <v/>
      </c>
      <c r="FY49" s="76" t="str">
        <f aca="false">IF($I49&gt;0%,IF(AND(FY$16&gt;=$F49,FY$16&lt;$F49+($G49*$I49)),"➤",""),"")</f>
        <v/>
      </c>
      <c r="FZ49" s="76" t="str">
        <f aca="false">IF($I49&gt;0%,IF(AND(FZ$16&gt;=$F49,FZ$16&lt;$F49+($G49*$I49)),"➤",""),"")</f>
        <v/>
      </c>
      <c r="GA49" s="76" t="str">
        <f aca="false">IF($I49&gt;0%,IF(AND(GA$16&gt;=$F49,GA$16&lt;$F49+($G49*$I49)),"➤",""),"")</f>
        <v/>
      </c>
      <c r="GB49" s="76" t="str">
        <f aca="false">IF($I49&gt;0%,IF(AND(GB$16&gt;=$F49,GB$16&lt;$F49+($G49*$I49)),"➤",""),"")</f>
        <v/>
      </c>
      <c r="GC49" s="76" t="str">
        <f aca="false">IF($I49&gt;0%,IF(AND(GC$16&gt;=$F49,GC$16&lt;$F49+($G49*$I49)),"➤",""),"")</f>
        <v/>
      </c>
      <c r="GD49" s="76" t="str">
        <f aca="false">IF($I49&gt;0%,IF(AND(GD$16&gt;=$F49,GD$16&lt;$F49+($G49*$I49)),"➤",""),"")</f>
        <v/>
      </c>
      <c r="GE49" s="76" t="str">
        <f aca="false">IF($I49&gt;0%,IF(AND(GE$16&gt;=$F49,GE$16&lt;$F49+($G49*$I49)),"➤",""),"")</f>
        <v/>
      </c>
      <c r="GF49" s="76" t="str">
        <f aca="false">IF($I49&gt;0%,IF(AND(GF$16&gt;=$F49,GF$16&lt;$F49+($G49*$I49)),"➤",""),"")</f>
        <v/>
      </c>
      <c r="GG49" s="76" t="str">
        <f aca="false">IF($I49&gt;0%,IF(AND(GG$16&gt;=$F49,GG$16&lt;$F49+($G49*$I49)),"➤",""),"")</f>
        <v/>
      </c>
      <c r="GH49" s="76" t="str">
        <f aca="false">IF($I49&gt;0%,IF(AND(GH$16&gt;=$F49,GH$16&lt;$F49+($G49*$I49)),"➤",""),"")</f>
        <v/>
      </c>
      <c r="GI49" s="76" t="str">
        <f aca="false">IF($I49&gt;0%,IF(AND(GI$16&gt;=$F49,GI$16&lt;$F49+($G49*$I49)),"➤",""),"")</f>
        <v/>
      </c>
      <c r="GJ49" s="76" t="str">
        <f aca="false">IF($I49&gt;0%,IF(AND(GJ$16&gt;=$F49,GJ$16&lt;$F49+($G49*$I49)),"➤",""),"")</f>
        <v/>
      </c>
      <c r="GK49" s="76" t="str">
        <f aca="false">IF($I49&gt;0%,IF(AND(GK$16&gt;=$F49,GK$16&lt;$F49+($G49*$I49)),"➤",""),"")</f>
        <v/>
      </c>
      <c r="GL49" s="76" t="str">
        <f aca="false">IF($I49&gt;0%,IF(AND(GL$16&gt;=$F49,GL$16&lt;$F49+($G49*$I49)),"➤",""),"")</f>
        <v/>
      </c>
      <c r="GM49" s="76" t="str">
        <f aca="false">IF($I49&gt;0%,IF(AND(GM$16&gt;=$F49,GM$16&lt;$F49+($G49*$I49)),"➤",""),"")</f>
        <v/>
      </c>
      <c r="GN49" s="76" t="str">
        <f aca="false">IF($I49&gt;0%,IF(AND(GN$16&gt;=$F49,GN$16&lt;$F49+($G49*$I49)),"➤",""),"")</f>
        <v/>
      </c>
      <c r="GO49" s="76" t="str">
        <f aca="false">IF($I49&gt;0%,IF(AND(GO$16&gt;=$F49,GO$16&lt;$F49+($G49*$I49)),"➤",""),"")</f>
        <v/>
      </c>
      <c r="GP49" s="76" t="str">
        <f aca="false">IF($I49&gt;0%,IF(AND(GP$16&gt;=$F49,GP$16&lt;$F49+($G49*$I49)),"➤",""),"")</f>
        <v/>
      </c>
      <c r="GQ49" s="76" t="str">
        <f aca="false">IF($I49&gt;0%,IF(AND(GQ$16&gt;=$F49,GQ$16&lt;$F49+($G49*$I49)),"➤",""),"")</f>
        <v/>
      </c>
      <c r="GR49" s="76" t="str">
        <f aca="false">IF($I49&gt;0%,IF(AND(GR$16&gt;=$F49,GR$16&lt;$F49+($G49*$I49)),"➤",""),"")</f>
        <v/>
      </c>
      <c r="GS49" s="76" t="str">
        <f aca="false">IF($I49&gt;0%,IF(AND(GS$16&gt;=$F49,GS$16&lt;$F49+($G49*$I49)),"➤",""),"")</f>
        <v/>
      </c>
      <c r="GT49" s="76" t="str">
        <f aca="false">IF($I49&gt;0%,IF(AND(GT$16&gt;=$F49,GT$16&lt;$F49+($G49*$I49)),"➤",""),"")</f>
        <v/>
      </c>
      <c r="GU49" s="76" t="str">
        <f aca="false">IF($I49&gt;0%,IF(AND(GU$16&gt;=$F49,GU$16&lt;$F49+($G49*$I49)),"➤",""),"")</f>
        <v/>
      </c>
      <c r="GV49" s="76" t="str">
        <f aca="false">IF($I49&gt;0%,IF(AND(GV$16&gt;=$F49,GV$16&lt;$F49+($G49*$I49)),"➤",""),"")</f>
        <v/>
      </c>
      <c r="GW49" s="76" t="str">
        <f aca="false">IF($I49&gt;0%,IF(AND(GW$16&gt;=$F49,GW$16&lt;$F49+($G49*$I49)),"➤",""),"")</f>
        <v/>
      </c>
      <c r="GX49" s="76" t="str">
        <f aca="false">IF($I49&gt;0%,IF(AND(GX$16&gt;=$F49,GX$16&lt;$F49+($G49*$I49)),"➤",""),"")</f>
        <v/>
      </c>
      <c r="GY49" s="76" t="str">
        <f aca="false">IF($I49&gt;0%,IF(AND(GY$16&gt;=$F49,GY$16&lt;$F49+($G49*$I49)),"➤",""),"")</f>
        <v/>
      </c>
      <c r="GZ49" s="76" t="str">
        <f aca="false">IF($I49&gt;0%,IF(AND(GZ$16&gt;=$F49,GZ$16&lt;$F49+($G49*$I49)),"➤",""),"")</f>
        <v/>
      </c>
      <c r="HA49" s="76" t="str">
        <f aca="false">IF($I49&gt;0%,IF(AND(HA$16&gt;=$F49,HA$16&lt;$F49+($G49*$I49)),"➤",""),"")</f>
        <v/>
      </c>
      <c r="HB49" s="76" t="str">
        <f aca="false">IF($I49&gt;0%,IF(AND(HB$16&gt;=$F49,HB$16&lt;$F49+($G49*$I49)),"➤",""),"")</f>
        <v/>
      </c>
      <c r="HC49" s="76" t="str">
        <f aca="false">IF($I49&gt;0%,IF(AND(HC$16&gt;=$F49,HC$16&lt;$F49+($G49*$I49)),"➤",""),"")</f>
        <v/>
      </c>
      <c r="HD49" s="76" t="str">
        <f aca="false">IF($I49&gt;0%,IF(AND(HD$16&gt;=$F49,HD$16&lt;$F49+($G49*$I49)),"➤",""),"")</f>
        <v/>
      </c>
      <c r="HE49" s="76" t="str">
        <f aca="false">IF($I49&gt;0%,IF(AND(HE$16&gt;=$F49,HE$16&lt;$F49+($G49*$I49)),"➤",""),"")</f>
        <v/>
      </c>
      <c r="HF49" s="76" t="str">
        <f aca="false">IF($I49&gt;0%,IF(AND(HF$16&gt;=$F49,HF$16&lt;$F49+($G49*$I49)),"➤",""),"")</f>
        <v/>
      </c>
      <c r="HG49" s="76" t="str">
        <f aca="false">IF($I49&gt;0%,IF(AND(HG$16&gt;=$F49,HG$16&lt;$F49+($G49*$I49)),"➤",""),"")</f>
        <v/>
      </c>
      <c r="HH49" s="76" t="str">
        <f aca="false">IF($I49&gt;0%,IF(AND(HH$16&gt;=$F49,HH$16&lt;$F49+($G49*$I49)),"➤",""),"")</f>
        <v/>
      </c>
      <c r="HI49" s="76" t="str">
        <f aca="false">IF($I49&gt;0%,IF(AND(HI$16&gt;=$F49,HI$16&lt;$F49+($G49*$I49)),"➤",""),"")</f>
        <v/>
      </c>
      <c r="HJ49" s="76" t="str">
        <f aca="false">IF($I49&gt;0%,IF(AND(HJ$16&gt;=$F49,HJ$16&lt;$F49+($G49*$I49)),"➤",""),"")</f>
        <v/>
      </c>
      <c r="HK49" s="76" t="str">
        <f aca="false">IF($I49&gt;0%,IF(AND(HK$16&gt;=$F49,HK$16&lt;$F49+($G49*$I49)),"➤",""),"")</f>
        <v/>
      </c>
      <c r="HL49" s="76" t="str">
        <f aca="false">IF($I49&gt;0%,IF(AND(HL$16&gt;=$F49,HL$16&lt;$F49+($G49*$I49)),"➤",""),"")</f>
        <v/>
      </c>
      <c r="HM49" s="76" t="str">
        <f aca="false">IF($I49&gt;0%,IF(AND(HM$16&gt;=$F49,HM$16&lt;$F49+($G49*$I49)),"➤",""),"")</f>
        <v/>
      </c>
      <c r="HN49" s="76" t="str">
        <f aca="false">IF($I49&gt;0%,IF(AND(HN$16&gt;=$F49,HN$16&lt;$F49+($G49*$I49)),"➤",""),"")</f>
        <v/>
      </c>
      <c r="HO49" s="76" t="str">
        <f aca="false">IF($I49&gt;0%,IF(AND(HO$16&gt;=$F49,HO$16&lt;$F49+($G49*$I49)),"➤",""),"")</f>
        <v/>
      </c>
      <c r="HP49" s="76" t="str">
        <f aca="false">IF($I49&gt;0%,IF(AND(HP$16&gt;=$F49,HP$16&lt;$F49+($G49*$I49)),"➤",""),"")</f>
        <v/>
      </c>
      <c r="HQ49" s="76" t="str">
        <f aca="false">IF($I49&gt;0%,IF(AND(HQ$16&gt;=$F49,HQ$16&lt;$F49+($G49*$I49)),"➤",""),"")</f>
        <v/>
      </c>
      <c r="HR49" s="76" t="str">
        <f aca="false">IF($I49&gt;0%,IF(AND(HR$16&gt;=$F49,HR$16&lt;$F49+($G49*$I49)),"➤",""),"")</f>
        <v/>
      </c>
      <c r="HS49" s="76" t="str">
        <f aca="false">IF($I49&gt;0%,IF(AND(HS$16&gt;=$F49,HS$16&lt;$F49+($G49*$I49)),"➤",""),"")</f>
        <v/>
      </c>
      <c r="HT49" s="76" t="str">
        <f aca="false">IF($I49&gt;0%,IF(AND(HT$16&gt;=$F49,HT$16&lt;$F49+($G49*$I49)),"➤",""),"")</f>
        <v/>
      </c>
      <c r="HU49" s="76" t="str">
        <f aca="false">IF($I49&gt;0%,IF(AND(HU$16&gt;=$F49,HU$16&lt;$F49+($G49*$I49)),"➤",""),"")</f>
        <v/>
      </c>
      <c r="HV49" s="76" t="str">
        <f aca="false">IF($I49&gt;0%,IF(AND(HV$16&gt;=$F49,HV$16&lt;$F49+($G49*$I49)),"➤",""),"")</f>
        <v/>
      </c>
      <c r="HW49" s="76" t="str">
        <f aca="false">IF($I49&gt;0%,IF(AND(HW$16&gt;=$F49,HW$16&lt;$F49+($G49*$I49)),"➤",""),"")</f>
        <v/>
      </c>
      <c r="HX49" s="76" t="str">
        <f aca="false">IF($I49&gt;0%,IF(AND(HX$16&gt;=$F49,HX$16&lt;$F49+($G49*$I49)),"➤",""),"")</f>
        <v/>
      </c>
      <c r="HY49" s="76" t="str">
        <f aca="false">IF($I49&gt;0%,IF(AND(HY$16&gt;=$F49,HY$16&lt;$F49+($G49*$I49)),"➤",""),"")</f>
        <v/>
      </c>
      <c r="HZ49" s="76" t="str">
        <f aca="false">IF($I49&gt;0%,IF(AND(HZ$16&gt;=$F49,HZ$16&lt;$F49+($G49*$I49)),"➤",""),"")</f>
        <v/>
      </c>
      <c r="IA49" s="76" t="str">
        <f aca="false">IF($I49&gt;0%,IF(AND(IA$16&gt;=$F49,IA$16&lt;$F49+($G49*$I49)),"➤",""),"")</f>
        <v/>
      </c>
      <c r="IB49" s="76" t="str">
        <f aca="false">IF($I49&gt;0%,IF(AND(IB$16&gt;=$F49,IB$16&lt;$F49+($G49*$I49)),"➤",""),"")</f>
        <v/>
      </c>
      <c r="IC49" s="76" t="str">
        <f aca="false">IF($I49&gt;0%,IF(AND(IC$16&gt;=$F49,IC$16&lt;$F49+($G49*$I49)),"➤",""),"")</f>
        <v/>
      </c>
      <c r="ID49" s="76" t="str">
        <f aca="false">IF($I49&gt;0%,IF(AND(ID$16&gt;=$F49,ID$16&lt;$F49+($G49*$I49)),"➤",""),"")</f>
        <v/>
      </c>
      <c r="IE49" s="76" t="str">
        <f aca="false">IF($I49&gt;0%,IF(AND(IE$16&gt;=$F49,IE$16&lt;$F49+($G49*$I49)),"➤",""),"")</f>
        <v/>
      </c>
      <c r="IF49" s="76" t="str">
        <f aca="false">IF($I49&gt;0%,IF(AND(IF$16&gt;=$F49,IF$16&lt;$F49+($G49*$I49)),"➤",""),"")</f>
        <v/>
      </c>
      <c r="IG49" s="76" t="str">
        <f aca="false">IF($I49&gt;0%,IF(AND(IG$16&gt;=$F49,IG$16&lt;$F49+($G49*$I49)),"➤",""),"")</f>
        <v/>
      </c>
      <c r="IH49" s="76" t="str">
        <f aca="false">IF($I49&gt;0%,IF(AND(IH$16&gt;=$F49,IH$16&lt;$F49+($G49*$I49)),"➤",""),"")</f>
        <v/>
      </c>
      <c r="II49" s="76" t="str">
        <f aca="false">IF($I49&gt;0%,IF(AND(II$16&gt;=$F49,II$16&lt;$F49+($G49*$I49)),"➤",""),"")</f>
        <v/>
      </c>
      <c r="IJ49" s="76" t="str">
        <f aca="false">IF($I49&gt;0%,IF(AND(IJ$16&gt;=$F49,IJ$16&lt;$F49+($G49*$I49)),"➤",""),"")</f>
        <v/>
      </c>
      <c r="IK49" s="76" t="str">
        <f aca="false">IF($I49&gt;0%,IF(AND(IK$16&gt;=$F49,IK$16&lt;$F49+($G49*$I49)),"➤",""),"")</f>
        <v/>
      </c>
      <c r="IL49" s="76" t="str">
        <f aca="false">IF($I49&gt;0%,IF(AND(IL$16&gt;=$F49,IL$16&lt;$F49+($G49*$I49)),"➤",""),"")</f>
        <v/>
      </c>
      <c r="IM49" s="76" t="str">
        <f aca="false">IF($I49&gt;0%,IF(AND(IM$16&gt;=$F49,IM$16&lt;$F49+($G49*$I49)),"➤",""),"")</f>
        <v/>
      </c>
      <c r="IN49" s="76" t="str">
        <f aca="false">IF($I49&gt;0%,IF(AND(IN$16&gt;=$F49,IN$16&lt;$F49+($G49*$I49)),"➤",""),"")</f>
        <v/>
      </c>
      <c r="IO49" s="76" t="str">
        <f aca="false">IF($I49&gt;0%,IF(AND(IO$16&gt;=$F49,IO$16&lt;$F49+($G49*$I49)),"➤",""),"")</f>
        <v/>
      </c>
      <c r="IP49" s="76" t="str">
        <f aca="false">IF($I49&gt;0%,IF(AND(IP$16&gt;=$F49,IP$16&lt;$F49+($G49*$I49)),"➤",""),"")</f>
        <v/>
      </c>
      <c r="IQ49" s="76" t="str">
        <f aca="false">IF($I49&gt;0%,IF(AND(IQ$16&gt;=$F49,IQ$16&lt;$F49+($G49*$I49)),"➤",""),"")</f>
        <v/>
      </c>
      <c r="IR49" s="76" t="str">
        <f aca="false">IF($I49&gt;0%,IF(AND(IR$16&gt;=$F49,IR$16&lt;$F49+($G49*$I49)),"➤",""),"")</f>
        <v/>
      </c>
      <c r="IS49" s="76" t="str">
        <f aca="false">IF($I49&gt;0%,IF(AND(IS$16&gt;=$F49,IS$16&lt;$F49+($G49*$I49)),"➤",""),"")</f>
        <v/>
      </c>
      <c r="IT49" s="76" t="str">
        <f aca="false">IF($I49&gt;0%,IF(AND(IT$16&gt;=$F49,IT$16&lt;$F49+($G49*$I49)),"➤",""),"")</f>
        <v/>
      </c>
      <c r="IU49" s="76" t="str">
        <f aca="false">IF($I49&gt;0%,IF(AND(IU$16&gt;=$F49,IU$16&lt;$F49+($G49*$I49)),"➤",""),"")</f>
        <v/>
      </c>
      <c r="IV49" s="76" t="str">
        <f aca="false">IF($I49&gt;0%,IF(AND(IV$16&gt;=$F49,IV$16&lt;$F49+($G49*$I49)),"➤",""),"")</f>
        <v/>
      </c>
      <c r="IW49" s="76" t="str">
        <f aca="false">IF($I49&gt;0%,IF(AND(IW$16&gt;=$F49,IW$16&lt;$F49+($G49*$I49)),"➤",""),"")</f>
        <v/>
      </c>
      <c r="IX49" s="76" t="str">
        <f aca="false">IF($I49&gt;0%,IF(AND(IX$16&gt;=$F49,IX$16&lt;$F49+($G49*$I49)),"➤",""),"")</f>
        <v/>
      </c>
      <c r="IY49" s="76" t="str">
        <f aca="false">IF($I49&gt;0%,IF(AND(IY$16&gt;=$F49,IY$16&lt;$F49+($G49*$I49)),"➤",""),"")</f>
        <v/>
      </c>
      <c r="IZ49" s="76" t="str">
        <f aca="false">IF($I49&gt;0%,IF(AND(IZ$16&gt;=$F49,IZ$16&lt;$F49+($G49*$I49)),"➤",""),"")</f>
        <v/>
      </c>
      <c r="JA49" s="76" t="str">
        <f aca="false">IF($I49&gt;0%,IF(AND(JA$16&gt;=$F49,JA$16&lt;$F49+($G49*$I49)),"➤",""),"")</f>
        <v/>
      </c>
      <c r="JB49" s="76" t="str">
        <f aca="false">IF($I49&gt;0%,IF(AND(JB$16&gt;=$F49,JB$16&lt;$F49+($G49*$I49)),"➤",""),"")</f>
        <v/>
      </c>
      <c r="JC49" s="76" t="str">
        <f aca="false">IF($I49&gt;0%,IF(AND(JC$16&gt;=$F49,JC$16&lt;$F49+($G49*$I49)),"➤",""),"")</f>
        <v/>
      </c>
      <c r="JD49" s="76" t="str">
        <f aca="false">IF($I49&gt;0%,IF(AND(JD$16&gt;=$F49,JD$16&lt;$F49+($G49*$I49)),"➤",""),"")</f>
        <v/>
      </c>
      <c r="JE49" s="76" t="str">
        <f aca="false">IF($I49&gt;0%,IF(AND(JE$16&gt;=$F49,JE$16&lt;$F49+($G49*$I49)),"➤",""),"")</f>
        <v/>
      </c>
      <c r="JF49" s="76" t="str">
        <f aca="false">IF($I49&gt;0%,IF(AND(JF$16&gt;=$F49,JF$16&lt;$F49+($G49*$I49)),"➤",""),"")</f>
        <v/>
      </c>
      <c r="JG49" s="76" t="str">
        <f aca="false">IF($I49&gt;0%,IF(AND(JG$16&gt;=$F49,JG$16&lt;$F49+($G49*$I49)),"➤",""),"")</f>
        <v/>
      </c>
      <c r="JH49" s="76" t="str">
        <f aca="false">IF($I49&gt;0%,IF(AND(JH$16&gt;=$F49,JH$16&lt;$F49+($G49*$I49)),"➤",""),"")</f>
        <v/>
      </c>
      <c r="JI49" s="76" t="str">
        <f aca="false">IF($I49&gt;0%,IF(AND(JI$16&gt;=$F49,JI$16&lt;$F49+($G49*$I49)),"➤",""),"")</f>
        <v/>
      </c>
      <c r="JJ49" s="76" t="str">
        <f aca="false">IF($I49&gt;0%,IF(AND(JJ$16&gt;=$F49,JJ$16&lt;$F49+($G49*$I49)),"➤",""),"")</f>
        <v/>
      </c>
      <c r="JK49" s="76" t="str">
        <f aca="false">IF($I49&gt;0%,IF(AND(JK$16&gt;=$F49,JK$16&lt;$F49+($G49*$I49)),"➤",""),"")</f>
        <v/>
      </c>
      <c r="JL49" s="76" t="str">
        <f aca="false">IF($I49&gt;0%,IF(AND(JL$16&gt;=$F49,JL$16&lt;$F49+($G49*$I49)),"➤",""),"")</f>
        <v/>
      </c>
      <c r="JM49" s="76" t="str">
        <f aca="false">IF($I49&gt;0%,IF(AND(JM$16&gt;=$F49,JM$16&lt;$F49+($G49*$I49)),"➤",""),"")</f>
        <v/>
      </c>
      <c r="JN49" s="76" t="str">
        <f aca="false">IF($I49&gt;0%,IF(AND(JN$16&gt;=$F49,JN$16&lt;$F49+($G49*$I49)),"➤",""),"")</f>
        <v/>
      </c>
      <c r="JO49" s="76" t="str">
        <f aca="false">IF($I49&gt;0%,IF(AND(JO$16&gt;=$F49,JO$16&lt;$F49+($G49*$I49)),"➤",""),"")</f>
        <v/>
      </c>
      <c r="JP49" s="76" t="str">
        <f aca="false">IF($I49&gt;0%,IF(AND(JP$16&gt;=$F49,JP$16&lt;$F49+($G49*$I49)),"➤",""),"")</f>
        <v/>
      </c>
      <c r="JQ49" s="76" t="str">
        <f aca="false">IF($I49&gt;0%,IF(AND(JQ$16&gt;=$F49,JQ$16&lt;$F49+($G49*$I49)),"➤",""),"")</f>
        <v/>
      </c>
      <c r="JR49" s="76" t="str">
        <f aca="false">IF($I49&gt;0%,IF(AND(JR$16&gt;=$F49,JR$16&lt;$F49+($G49*$I49)),"➤",""),"")</f>
        <v/>
      </c>
      <c r="JS49" s="76" t="str">
        <f aca="false">IF($I49&gt;0%,IF(AND(JS$16&gt;=$F49,JS$16&lt;$F49+($G49*$I49)),"➤",""),"")</f>
        <v/>
      </c>
      <c r="JT49" s="76" t="str">
        <f aca="false">IF($I49&gt;0%,IF(AND(JT$16&gt;=$F49,JT$16&lt;$F49+($G49*$I49)),"➤",""),"")</f>
        <v/>
      </c>
      <c r="JU49" s="76" t="str">
        <f aca="false">IF($I49&gt;0%,IF(AND(JU$16&gt;=$F49,JU$16&lt;$F49+($G49*$I49)),"➤",""),"")</f>
        <v/>
      </c>
      <c r="JV49" s="76" t="str">
        <f aca="false">IF($I49&gt;0%,IF(AND(JV$16&gt;=$F49,JV$16&lt;$F49+($G49*$I49)),"➤",""),"")</f>
        <v/>
      </c>
      <c r="JW49" s="76" t="str">
        <f aca="false">IF($I49&gt;0%,IF(AND(JW$16&gt;=$F49,JW$16&lt;$F49+($G49*$I49)),"➤",""),"")</f>
        <v/>
      </c>
      <c r="JX49" s="76" t="str">
        <f aca="false">IF($I49&gt;0%,IF(AND(JX$16&gt;=$F49,JX$16&lt;$F49+($G49*$I49)),"➤",""),"")</f>
        <v/>
      </c>
      <c r="JY49" s="76" t="str">
        <f aca="false">IF($I49&gt;0%,IF(AND(JY$16&gt;=$F49,JY$16&lt;$F49+($G49*$I49)),"➤",""),"")</f>
        <v/>
      </c>
      <c r="JZ49" s="76" t="str">
        <f aca="false">IF($I49&gt;0%,IF(AND(JZ$16&gt;=$F49,JZ$16&lt;$F49+($G49*$I49)),"➤",""),"")</f>
        <v/>
      </c>
      <c r="KA49" s="76" t="str">
        <f aca="false">IF($I49&gt;0%,IF(AND(KA$16&gt;=$F49,KA$16&lt;$F49+($G49*$I49)),"➤",""),"")</f>
        <v/>
      </c>
      <c r="KB49" s="76" t="str">
        <f aca="false">IF($I49&gt;0%,IF(AND(KB$16&gt;=$F49,KB$16&lt;$F49+($G49*$I49)),"➤",""),"")</f>
        <v/>
      </c>
      <c r="KC49" s="76" t="str">
        <f aca="false">IF($I49&gt;0%,IF(AND(KC$16&gt;=$F49,KC$16&lt;$F49+($G49*$I49)),"➤",""),"")</f>
        <v/>
      </c>
      <c r="KD49" s="76" t="str">
        <f aca="false">IF($I49&gt;0%,IF(AND(KD$16&gt;=$F49,KD$16&lt;$F49+($G49*$I49)),"➤",""),"")</f>
        <v/>
      </c>
      <c r="KE49" s="76" t="str">
        <f aca="false">IF($I49&gt;0%,IF(AND(KE$16&gt;=$F49,KE$16&lt;$F49+($G49*$I49)),"➤",""),"")</f>
        <v/>
      </c>
      <c r="KF49" s="76" t="str">
        <f aca="false">IF($I49&gt;0%,IF(AND(KF$16&gt;=$F49,KF$16&lt;$F49+($G49*$I49)),"➤",""),"")</f>
        <v/>
      </c>
      <c r="KG49" s="76" t="str">
        <f aca="false">IF($I49&gt;0%,IF(AND(KG$16&gt;=$F49,KG$16&lt;$F49+($G49*$I49)),"➤",""),"")</f>
        <v/>
      </c>
      <c r="KH49" s="76" t="str">
        <f aca="false">IF($I49&gt;0%,IF(AND(KH$16&gt;=$F49,KH$16&lt;$F49+($G49*$I49)),"➤",""),"")</f>
        <v/>
      </c>
      <c r="KI49" s="76" t="str">
        <f aca="false">IF($I49&gt;0%,IF(AND(KI$16&gt;=$F49,KI$16&lt;$F49+($G49*$I49)),"➤",""),"")</f>
        <v/>
      </c>
      <c r="KJ49" s="76" t="str">
        <f aca="false">IF($I49&gt;0%,IF(AND(KJ$16&gt;=$F49,KJ$16&lt;$F49+($G49*$I49)),"➤",""),"")</f>
        <v/>
      </c>
      <c r="KK49" s="76" t="str">
        <f aca="false">IF($I49&gt;0%,IF(AND(KK$16&gt;=$F49,KK$16&lt;$F49+($G49*$I49)),"➤",""),"")</f>
        <v/>
      </c>
      <c r="KL49" s="76" t="str">
        <f aca="false">IF($I49&gt;0%,IF(AND(KL$16&gt;=$F49,KL$16&lt;$F49+($G49*$I49)),"➤",""),"")</f>
        <v/>
      </c>
      <c r="KM49" s="76" t="str">
        <f aca="false">IF($I49&gt;0%,IF(AND(KM$16&gt;=$F49,KM$16&lt;$F49+($G49*$I49)),"➤",""),"")</f>
        <v/>
      </c>
      <c r="KN49" s="76" t="str">
        <f aca="false">IF($I49&gt;0%,IF(AND(KN$16&gt;=$F49,KN$16&lt;$F49+($G49*$I49)),"➤",""),"")</f>
        <v/>
      </c>
      <c r="KO49" s="76" t="str">
        <f aca="false">IF($I49&gt;0%,IF(AND(KO$16&gt;=$F49,KO$16&lt;$F49+($G49*$I49)),"➤",""),"")</f>
        <v/>
      </c>
      <c r="KP49" s="76" t="str">
        <f aca="false">IF($I49&gt;0%,IF(AND(KP$16&gt;=$F49,KP$16&lt;$F49+($G49*$I49)),"➤",""),"")</f>
        <v/>
      </c>
      <c r="KQ49" s="76" t="str">
        <f aca="false">IF($I49&gt;0%,IF(AND(KQ$16&gt;=$F49,KQ$16&lt;$F49+($G49*$I49)),"➤",""),"")</f>
        <v/>
      </c>
      <c r="KR49" s="76" t="str">
        <f aca="false">IF($I49&gt;0%,IF(AND(KR$16&gt;=$F49,KR$16&lt;$F49+($G49*$I49)),"➤",""),"")</f>
        <v/>
      </c>
      <c r="KS49" s="76" t="str">
        <f aca="false">IF($I49&gt;0%,IF(AND(KS$16&gt;=$F49,KS$16&lt;$F49+($G49*$I49)),"➤",""),"")</f>
        <v/>
      </c>
      <c r="KT49" s="76" t="str">
        <f aca="false">IF($I49&gt;0%,IF(AND(KT$16&gt;=$F49,KT$16&lt;$F49+($G49*$I49)),"➤",""),"")</f>
        <v/>
      </c>
      <c r="KU49" s="76" t="str">
        <f aca="false">IF($I49&gt;0%,IF(AND(KU$16&gt;=$F49,KU$16&lt;$F49+($G49*$I49)),"➤",""),"")</f>
        <v/>
      </c>
      <c r="KV49" s="76" t="str">
        <f aca="false">IF($I49&gt;0%,IF(AND(KV$16&gt;=$F49,KV$16&lt;$F49+($G49*$I49)),"➤",""),"")</f>
        <v/>
      </c>
      <c r="KW49" s="76" t="str">
        <f aca="false">IF($I49&gt;0%,IF(AND(KW$16&gt;=$F49,KW$16&lt;$F49+($G49*$I49)),"➤",""),"")</f>
        <v/>
      </c>
      <c r="KX49" s="76" t="str">
        <f aca="false">IF($I49&gt;0%,IF(AND(KX$16&gt;=$F49,KX$16&lt;$F49+($G49*$I49)),"➤",""),"")</f>
        <v/>
      </c>
      <c r="KY49" s="76" t="str">
        <f aca="false">IF($I49&gt;0%,IF(AND(KY$16&gt;=$F49,KY$16&lt;$F49+($G49*$I49)),"➤",""),"")</f>
        <v/>
      </c>
      <c r="KZ49" s="76" t="str">
        <f aca="false">IF($I49&gt;0%,IF(AND(KZ$16&gt;=$F49,KZ$16&lt;$F49+($G49*$I49)),"➤",""),"")</f>
        <v/>
      </c>
      <c r="LA49" s="76" t="str">
        <f aca="false">IF($I49&gt;0%,IF(AND(LA$16&gt;=$F49,LA$16&lt;$F49+($G49*$I49)),"➤",""),"")</f>
        <v/>
      </c>
      <c r="LB49" s="76" t="str">
        <f aca="false">IF($I49&gt;0%,IF(AND(LB$16&gt;=$F49,LB$16&lt;$F49+($G49*$I49)),"➤",""),"")</f>
        <v/>
      </c>
      <c r="LC49" s="76" t="str">
        <f aca="false">IF($I49&gt;0%,IF(AND(LC$16&gt;=$F49,LC$16&lt;$F49+($G49*$I49)),"➤",""),"")</f>
        <v/>
      </c>
      <c r="LD49" s="76" t="str">
        <f aca="false">IF($I49&gt;0%,IF(AND(LD$16&gt;=$F49,LD$16&lt;$F49+($G49*$I49)),"➤",""),"")</f>
        <v/>
      </c>
      <c r="LE49" s="76" t="str">
        <f aca="false">IF($I49&gt;0%,IF(AND(LE$16&gt;=$F49,LE$16&lt;$F49+($G49*$I49)),"➤",""),"")</f>
        <v/>
      </c>
      <c r="LF49" s="76" t="str">
        <f aca="false">IF($I49&gt;0%,IF(AND(LF$16&gt;=$F49,LF$16&lt;$F49+($G49*$I49)),"➤",""),"")</f>
        <v/>
      </c>
      <c r="LG49" s="76" t="str">
        <f aca="false">IF($I49&gt;0%,IF(AND(LG$16&gt;=$F49,LG$16&lt;$F49+($G49*$I49)),"➤",""),"")</f>
        <v/>
      </c>
      <c r="LH49" s="76" t="str">
        <f aca="false">IF($I49&gt;0%,IF(AND(LH$16&gt;=$F49,LH$16&lt;$F49+($G49*$I49)),"➤",""),"")</f>
        <v/>
      </c>
      <c r="LI49" s="76" t="str">
        <f aca="false">IF($I49&gt;0%,IF(AND(LI$16&gt;=$F49,LI$16&lt;$F49+($G49*$I49)),"➤",""),"")</f>
        <v/>
      </c>
      <c r="LJ49" s="76" t="str">
        <f aca="false">IF($I49&gt;0%,IF(AND(LJ$16&gt;=$F49,LJ$16&lt;$F49+($G49*$I49)),"➤",""),"")</f>
        <v/>
      </c>
      <c r="LK49" s="76" t="str">
        <f aca="false">IF($I49&gt;0%,IF(AND(LK$16&gt;=$F49,LK$16&lt;$F49+($G49*$I49)),"➤",""),"")</f>
        <v/>
      </c>
      <c r="LL49" s="76" t="str">
        <f aca="false">IF($I49&gt;0%,IF(AND(LL$16&gt;=$F49,LL$16&lt;$F49+($G49*$I49)),"➤",""),"")</f>
        <v/>
      </c>
      <c r="LM49" s="76" t="str">
        <f aca="false">IF($I49&gt;0%,IF(AND(LM$16&gt;=$F49,LM$16&lt;$F49+($G49*$I49)),"➤",""),"")</f>
        <v/>
      </c>
      <c r="LN49" s="76" t="str">
        <f aca="false">IF($I49&gt;0%,IF(AND(LN$16&gt;=$F49,LN$16&lt;$F49+($G49*$I49)),"➤",""),"")</f>
        <v/>
      </c>
      <c r="LO49" s="76" t="str">
        <f aca="false">IF($I49&gt;0%,IF(AND(LO$16&gt;=$F49,LO$16&lt;$F49+($G49*$I49)),"➤",""),"")</f>
        <v/>
      </c>
      <c r="LP49" s="76" t="str">
        <f aca="false">IF($I49&gt;0%,IF(AND(LP$16&gt;=$F49,LP$16&lt;$F49+($G49*$I49)),"➤",""),"")</f>
        <v/>
      </c>
      <c r="LQ49" s="76" t="str">
        <f aca="false">IF($I49&gt;0%,IF(AND(LQ$16&gt;=$F49,LQ$16&lt;$F49+($G49*$I49)),"➤",""),"")</f>
        <v/>
      </c>
      <c r="LR49" s="76" t="str">
        <f aca="false">IF($I49&gt;0%,IF(AND(LR$16&gt;=$F49,LR$16&lt;$F49+($G49*$I49)),"➤",""),"")</f>
        <v/>
      </c>
      <c r="LS49" s="76" t="str">
        <f aca="false">IF($I49&gt;0%,IF(AND(LS$16&gt;=$F49,LS$16&lt;$F49+($G49*$I49)),"➤",""),"")</f>
        <v/>
      </c>
      <c r="LT49" s="76" t="str">
        <f aca="false">IF($I49&gt;0%,IF(AND(LT$16&gt;=$F49,LT$16&lt;$F49+($G49*$I49)),"➤",""),"")</f>
        <v/>
      </c>
      <c r="LU49" s="76" t="str">
        <f aca="false">IF($I49&gt;0%,IF(AND(LU$16&gt;=$F49,LU$16&lt;$F49+($G49*$I49)),"➤",""),"")</f>
        <v/>
      </c>
      <c r="LV49" s="76" t="str">
        <f aca="false">IF($I49&gt;0%,IF(AND(LV$16&gt;=$F49,LV$16&lt;$F49+($G49*$I49)),"➤",""),"")</f>
        <v/>
      </c>
      <c r="LW49" s="76" t="str">
        <f aca="false">IF($I49&gt;0%,IF(AND(LW$16&gt;=$F49,LW$16&lt;$F49+($G49*$I49)),"➤",""),"")</f>
        <v/>
      </c>
      <c r="LX49" s="76" t="str">
        <f aca="false">IF($I49&gt;0%,IF(AND(LX$16&gt;=$F49,LX$16&lt;$F49+($G49*$I49)),"➤",""),"")</f>
        <v/>
      </c>
      <c r="LY49" s="76" t="str">
        <f aca="false">IF($I49&gt;0%,IF(AND(LY$16&gt;=$F49,LY$16&lt;$F49+($G49*$I49)),"➤",""),"")</f>
        <v/>
      </c>
      <c r="LZ49" s="76" t="str">
        <f aca="false">IF($I49&gt;0%,IF(AND(LZ$16&gt;=$F49,LZ$16&lt;$F49+($G49*$I49)),"➤",""),"")</f>
        <v/>
      </c>
      <c r="MA49" s="76" t="str">
        <f aca="false">IF($I49&gt;0%,IF(AND(MA$16&gt;=$F49,MA$16&lt;$F49+($G49*$I49)),"➤",""),"")</f>
        <v/>
      </c>
      <c r="MB49" s="76" t="str">
        <f aca="false">IF($I49&gt;0%,IF(AND(MB$16&gt;=$F49,MB$16&lt;$F49+($G49*$I49)),"➤",""),"")</f>
        <v/>
      </c>
      <c r="MC49" s="76" t="str">
        <f aca="false">IF($I49&gt;0%,IF(AND(MC$16&gt;=$F49,MC$16&lt;$F49+($G49*$I49)),"➤",""),"")</f>
        <v/>
      </c>
      <c r="MD49" s="76" t="str">
        <f aca="false">IF($I49&gt;0%,IF(AND(MD$16&gt;=$F49,MD$16&lt;$F49+($G49*$I49)),"➤",""),"")</f>
        <v/>
      </c>
      <c r="ME49" s="76" t="str">
        <f aca="false">IF($I49&gt;0%,IF(AND(ME$16&gt;=$F49,ME$16&lt;$F49+($G49*$I49)),"➤",""),"")</f>
        <v/>
      </c>
      <c r="MF49" s="76" t="str">
        <f aca="false">IF($I49&gt;0%,IF(AND(MF$16&gt;=$F49,MF$16&lt;$F49+($G49*$I49)),"➤",""),"")</f>
        <v/>
      </c>
      <c r="MG49" s="76" t="str">
        <f aca="false">IF($I49&gt;0%,IF(AND(MG$16&gt;=$F49,MG$16&lt;$F49+($G49*$I49)),"➤",""),"")</f>
        <v/>
      </c>
      <c r="MH49" s="76" t="str">
        <f aca="false">IF($I49&gt;0%,IF(AND(MH$16&gt;=$F49,MH$16&lt;$F49+($G49*$I49)),"➤",""),"")</f>
        <v/>
      </c>
      <c r="MI49" s="76" t="str">
        <f aca="false">IF($I49&gt;0%,IF(AND(MI$16&gt;=$F49,MI$16&lt;$F49+($G49*$I49)),"➤",""),"")</f>
        <v/>
      </c>
      <c r="MJ49" s="76" t="str">
        <f aca="false">IF($I49&gt;0%,IF(AND(MJ$16&gt;=$F49,MJ$16&lt;$F49+($G49*$I49)),"➤",""),"")</f>
        <v/>
      </c>
      <c r="MK49" s="76" t="str">
        <f aca="false">IF($I49&gt;0%,IF(AND(MK$16&gt;=$F49,MK$16&lt;$F49+($G49*$I49)),"➤",""),"")</f>
        <v/>
      </c>
      <c r="ML49" s="76" t="str">
        <f aca="false">IF($I49&gt;0%,IF(AND(ML$16&gt;=$F49,ML$16&lt;$F49+($G49*$I49)),"➤",""),"")</f>
        <v/>
      </c>
      <c r="MM49" s="76" t="str">
        <f aca="false">IF($I49&gt;0%,IF(AND(MM$16&gt;=$F49,MM$16&lt;$F49+($G49*$I49)),"➤",""),"")</f>
        <v/>
      </c>
      <c r="MN49" s="76" t="str">
        <f aca="false">IF($I49&gt;0%,IF(AND(MN$16&gt;=$F49,MN$16&lt;$F49+($G49*$I49)),"➤",""),"")</f>
        <v/>
      </c>
      <c r="MO49" s="76" t="str">
        <f aca="false">IF($I49&gt;0%,IF(AND(MO$16&gt;=$F49,MO$16&lt;$F49+($G49*$I49)),"➤",""),"")</f>
        <v/>
      </c>
      <c r="MP49" s="76" t="str">
        <f aca="false">IF($I49&gt;0%,IF(AND(MP$16&gt;=$F49,MP$16&lt;$F49+($G49*$I49)),"➤",""),"")</f>
        <v/>
      </c>
      <c r="MQ49" s="76" t="str">
        <f aca="false">IF($I49&gt;0%,IF(AND(MQ$16&gt;=$F49,MQ$16&lt;$F49+($G49*$I49)),"➤",""),"")</f>
        <v/>
      </c>
      <c r="MR49" s="76" t="str">
        <f aca="false">IF($I49&gt;0%,IF(AND(MR$16&gt;=$F49,MR$16&lt;$F49+($G49*$I49)),"➤",""),"")</f>
        <v/>
      </c>
      <c r="MS49" s="76" t="str">
        <f aca="false">IF($I49&gt;0%,IF(AND(MS$16&gt;=$F49,MS$16&lt;$F49+($G49*$I49)),"➤",""),"")</f>
        <v/>
      </c>
      <c r="MT49" s="76" t="str">
        <f aca="false">IF($I49&gt;0%,IF(AND(MT$16&gt;=$F49,MT$16&lt;$F49+($G49*$I49)),"➤",""),"")</f>
        <v/>
      </c>
      <c r="MU49" s="76" t="str">
        <f aca="false">IF($I49&gt;0%,IF(AND(MU$16&gt;=$F49,MU$16&lt;$F49+($G49*$I49)),"➤",""),"")</f>
        <v/>
      </c>
      <c r="MV49" s="76" t="str">
        <f aca="false">IF($I49&gt;0%,IF(AND(MV$16&gt;=$F49,MV$16&lt;$F49+($G49*$I49)),"➤",""),"")</f>
        <v/>
      </c>
      <c r="MW49" s="76" t="str">
        <f aca="false">IF($I49&gt;0%,IF(AND(MW$16&gt;=$F49,MW$16&lt;$F49+($G49*$I49)),"➤",""),"")</f>
        <v/>
      </c>
      <c r="MX49" s="76" t="str">
        <f aca="false">IF($I49&gt;0%,IF(AND(MX$16&gt;=$F49,MX$16&lt;$F49+($G49*$I49)),"➤",""),"")</f>
        <v/>
      </c>
      <c r="MY49" s="76" t="str">
        <f aca="false">IF($I49&gt;0%,IF(AND(MY$16&gt;=$F49,MY$16&lt;$F49+($G49*$I49)),"➤",""),"")</f>
        <v/>
      </c>
      <c r="MZ49" s="76" t="str">
        <f aca="false">IF($I49&gt;0%,IF(AND(MZ$16&gt;=$F49,MZ$16&lt;$F49+($G49*$I49)),"➤",""),"")</f>
        <v/>
      </c>
      <c r="NA49" s="76" t="str">
        <f aca="false">IF($I49&gt;0%,IF(AND(NA$16&gt;=$F49,NA$16&lt;$F49+($G49*$I49)),"➤",""),"")</f>
        <v/>
      </c>
      <c r="NB49" s="76" t="str">
        <f aca="false">IF($I49&gt;0%,IF(AND(NB$16&gt;=$F49,NB$16&lt;$F49+($G49*$I49)),"➤",""),"")</f>
        <v/>
      </c>
      <c r="NC49" s="76" t="str">
        <f aca="false">IF($I49&gt;0%,IF(AND(NC$16&gt;=$F49,NC$16&lt;$F49+($G49*$I49)),"➤",""),"")</f>
        <v/>
      </c>
      <c r="ND49" s="76" t="str">
        <f aca="false">IF($I49&gt;0%,IF(AND(ND$16&gt;=$F49,ND$16&lt;$F49+($G49*$I49)),"➤",""),"")</f>
        <v/>
      </c>
      <c r="NE49" s="76" t="str">
        <f aca="false">IF($I49&gt;0%,IF(AND(NE$16&gt;=$F49,NE$16&lt;$F49+($G49*$I49)),"➤",""),"")</f>
        <v/>
      </c>
      <c r="NF49" s="76" t="str">
        <f aca="false">IF($I49&gt;0%,IF(AND(NF$16&gt;=$F49,NF$16&lt;$F49+($G49*$I49)),"➤",""),"")</f>
        <v/>
      </c>
      <c r="NG49" s="76" t="str">
        <f aca="false">IF($I49&gt;0%,IF(AND(NG$16&gt;=$F49,NG$16&lt;$F49+($G49*$I49)),"➤",""),"")</f>
        <v/>
      </c>
      <c r="NH49" s="76" t="str">
        <f aca="false">IF($I49&gt;0%,IF(AND(NH$16&gt;=$F49,NH$16&lt;$F49+($G49*$I49)),"➤",""),"")</f>
        <v/>
      </c>
      <c r="NI49" s="76" t="str">
        <f aca="false">IF($I49&gt;0%,IF(AND(NI$16&gt;=$F49,NI$16&lt;$F49+($G49*$I49)),"➤",""),"")</f>
        <v/>
      </c>
      <c r="NJ49" s="76" t="str">
        <f aca="false">IF($I49&gt;0%,IF(AND(NJ$16&gt;=$F49,NJ$16&lt;$F49+($G49*$I49)),"➤",""),"")</f>
        <v/>
      </c>
      <c r="NK49" s="76" t="str">
        <f aca="false">IF($I49&gt;0%,IF(AND(NK$16&gt;=$F49,NK$16&lt;$F49+($G49*$I49)),"➤",""),"")</f>
        <v/>
      </c>
      <c r="NL49" s="76" t="str">
        <f aca="false">IF($I49&gt;0%,IF(AND(NL$16&gt;=$F49,NL$16&lt;$F49+($G49*$I49)),"➤",""),"")</f>
        <v/>
      </c>
      <c r="NM49" s="76" t="str">
        <f aca="false">IF($I49&gt;0%,IF(AND(NM$16&gt;=$F49,NM$16&lt;$F49+($G49*$I49)),"➤",""),"")</f>
        <v/>
      </c>
      <c r="NN49" s="76" t="str">
        <f aca="false">IF($I49&gt;0%,IF(AND(NN$16&gt;=$F49,NN$16&lt;$F49+($G49*$I49)),"➤",""),"")</f>
        <v/>
      </c>
      <c r="NO49" s="76" t="str">
        <f aca="false">IF($I49&gt;0%,IF(AND(NO$16&gt;=$F49,NO$16&lt;$F49+($G49*$I49)),"➤",""),"")</f>
        <v/>
      </c>
      <c r="NP49" s="76" t="str">
        <f aca="false">IF($I49&gt;0%,IF(AND(NP$16&gt;=$F49,NP$16&lt;$F49+($G49*$I49)),"➤",""),"")</f>
        <v/>
      </c>
      <c r="NQ49" s="76" t="str">
        <f aca="false">IF($I49&gt;0%,IF(AND(NQ$16&gt;=$F49,NQ$16&lt;$F49+($G49*$I49)),"➤",""),"")</f>
        <v/>
      </c>
      <c r="NR49" s="76" t="str">
        <f aca="false">IF($I49&gt;0%,IF(AND(NR$16&gt;=$F49,NR$16&lt;$F49+($G49*$I49)),"➤",""),"")</f>
        <v/>
      </c>
      <c r="NS49" s="76" t="str">
        <f aca="false">IF($I49&gt;0%,IF(AND(NS$16&gt;=$F49,NS$16&lt;$F49+($G49*$I49)),"➤",""),"")</f>
        <v/>
      </c>
      <c r="NT49" s="76" t="str">
        <f aca="false">IF($I49&gt;0%,IF(AND(NT$16&gt;=$F49,NT$16&lt;$F49+($G49*$I49)),"➤",""),"")</f>
        <v/>
      </c>
      <c r="NU49" s="76" t="str">
        <f aca="false">IF($I49&gt;0%,IF(AND(NU$16&gt;=$F49,NU$16&lt;$F49+($G49*$I49)),"➤",""),"")</f>
        <v/>
      </c>
      <c r="NV49" s="76" t="str">
        <f aca="false">IF($I49&gt;0%,IF(AND(NV$16&gt;=$F49,NV$16&lt;$F49+($G49*$I49)),"➤",""),"")</f>
        <v/>
      </c>
      <c r="NW49" s="76" t="str">
        <f aca="false">IF($I49&gt;0%,IF(AND(NW$16&gt;=$F49,NW$16&lt;$F49+($G49*$I49)),"➤",""),"")</f>
        <v/>
      </c>
      <c r="NX49" s="76" t="str">
        <f aca="false">IF($I49&gt;0%,IF(AND(NX$16&gt;=$F49,NX$16&lt;$F49+($G49*$I49)),"➤",""),"")</f>
        <v/>
      </c>
      <c r="NY49" s="76" t="str">
        <f aca="false">IF($I49&gt;0%,IF(AND(NY$16&gt;=$F49,NY$16&lt;$F49+($G49*$I49)),"➤",""),"")</f>
        <v/>
      </c>
      <c r="NZ49" s="76" t="str">
        <f aca="false">IF($I49&gt;0%,IF(AND(NZ$16&gt;=$F49,NZ$16&lt;$F49+($G49*$I49)),"➤",""),"")</f>
        <v/>
      </c>
      <c r="OA49" s="76" t="str">
        <f aca="false">IF($I49&gt;0%,IF(AND(OA$16&gt;=$F49,OA$16&lt;$F49+($G49*$I49)),"➤",""),"")</f>
        <v/>
      </c>
      <c r="OB49" s="76" t="str">
        <f aca="false">IF($I49&gt;0%,IF(AND(OB$16&gt;=$F49,OB$16&lt;$F49+($G49*$I49)),"➤",""),"")</f>
        <v/>
      </c>
      <c r="OC49" s="76" t="str">
        <f aca="false">IF($I49&gt;0%,IF(AND(OC$16&gt;=$F49,OC$16&lt;$F49+($G49*$I49)),"➤",""),"")</f>
        <v/>
      </c>
      <c r="OD49" s="76" t="str">
        <f aca="false">IF($I49&gt;0%,IF(AND(OD$16&gt;=$F49,OD$16&lt;$F49+($G49*$I49)),"➤",""),"")</f>
        <v/>
      </c>
      <c r="OE49" s="76" t="str">
        <f aca="false">IF($I49&gt;0%,IF(AND(OE$16&gt;=$F49,OE$16&lt;$F49+($G49*$I49)),"➤",""),"")</f>
        <v/>
      </c>
      <c r="OF49" s="76" t="str">
        <f aca="false">IF($I49&gt;0%,IF(AND(OF$16&gt;=$F49,OF$16&lt;$F49+($G49*$I49)),"➤",""),"")</f>
        <v/>
      </c>
      <c r="OG49" s="76" t="str">
        <f aca="false">IF($I49&gt;0%,IF(AND(OG$16&gt;=$F49,OG$16&lt;$F49+($G49*$I49)),"➤",""),"")</f>
        <v/>
      </c>
      <c r="OH49" s="76" t="str">
        <f aca="false">IF($I49&gt;0%,IF(AND(OH$16&gt;=$F49,OH$16&lt;$F49+($G49*$I49)),"➤",""),"")</f>
        <v/>
      </c>
      <c r="OI49" s="76" t="str">
        <f aca="false">IF($I49&gt;0%,IF(AND(OI$16&gt;=$F49,OI$16&lt;$F49+($G49*$I49)),"➤",""),"")</f>
        <v/>
      </c>
      <c r="OJ49" s="76" t="str">
        <f aca="false">IF($I49&gt;0%,IF(AND(OJ$16&gt;=$F49,OJ$16&lt;$F49+($G49*$I49)),"➤",""),"")</f>
        <v/>
      </c>
      <c r="OK49" s="76" t="str">
        <f aca="false">IF($I49&gt;0%,IF(AND(OK$16&gt;=$F49,OK$16&lt;$F49+($G49*$I49)),"➤",""),"")</f>
        <v/>
      </c>
      <c r="OL49" s="76" t="str">
        <f aca="false">IF($I49&gt;0%,IF(AND(OL$16&gt;=$F49,OL$16&lt;$F49+($G49*$I49)),"➤",""),"")</f>
        <v/>
      </c>
      <c r="OM49" s="76" t="str">
        <f aca="false">IF($I49&gt;0%,IF(AND(OM$16&gt;=$F49,OM$16&lt;$F49+($G49*$I49)),"➤",""),"")</f>
        <v/>
      </c>
      <c r="ON49" s="76" t="str">
        <f aca="false">IF($I49&gt;0%,IF(AND(ON$16&gt;=$F49,ON$16&lt;$F49+($G49*$I49)),"➤",""),"")</f>
        <v/>
      </c>
      <c r="OO49" s="76" t="str">
        <f aca="false">IF($I49&gt;0%,IF(AND(OO$16&gt;=$F49,OO$16&lt;$F49+($G49*$I49)),"➤",""),"")</f>
        <v/>
      </c>
      <c r="OP49" s="76" t="str">
        <f aca="false">IF($I49&gt;0%,IF(AND(OP$16&gt;=$F49,OP$16&lt;$F49+($G49*$I49)),"➤",""),"")</f>
        <v/>
      </c>
      <c r="OQ49" s="76" t="str">
        <f aca="false">IF($I49&gt;0%,IF(AND(OQ$16&gt;=$F49,OQ$16&lt;$F49+($G49*$I49)),"➤",""),"")</f>
        <v/>
      </c>
      <c r="OR49" s="76" t="str">
        <f aca="false">IF($I49&gt;0%,IF(AND(OR$16&gt;=$F49,OR$16&lt;$F49+($G49*$I49)),"➤",""),"")</f>
        <v/>
      </c>
      <c r="OS49" s="76" t="str">
        <f aca="false">IF($I49&gt;0%,IF(AND(OS$16&gt;=$F49,OS$16&lt;$F49+($G49*$I49)),"➤",""),"")</f>
        <v/>
      </c>
      <c r="OT49" s="76" t="str">
        <f aca="false">IF($I49&gt;0%,IF(AND(OT$16&gt;=$F49,OT$16&lt;$F49+($G49*$I49)),"➤",""),"")</f>
        <v/>
      </c>
      <c r="OU49" s="76" t="str">
        <f aca="false">IF($I49&gt;0%,IF(AND(OU$16&gt;=$F49,OU$16&lt;$F49+($G49*$I49)),"➤",""),"")</f>
        <v/>
      </c>
      <c r="OV49" s="76" t="str">
        <f aca="false">IF($I49&gt;0%,IF(AND(OV$16&gt;=$F49,OV$16&lt;$F49+($G49*$I49)),"➤",""),"")</f>
        <v/>
      </c>
      <c r="OW49" s="76" t="str">
        <f aca="false">IF($I49&gt;0%,IF(AND(OW$16&gt;=$F49,OW$16&lt;$F49+($G49*$I49)),"➤",""),"")</f>
        <v/>
      </c>
      <c r="OX49" s="76" t="str">
        <f aca="false">IF($I49&gt;0%,IF(AND(OX$16&gt;=$F49,OX$16&lt;$F49+($G49*$I49)),"➤",""),"")</f>
        <v/>
      </c>
      <c r="OY49" s="76" t="str">
        <f aca="false">IF($I49&gt;0%,IF(AND(OY$16&gt;=$F49,OY$16&lt;$F49+($G49*$I49)),"➤",""),"")</f>
        <v/>
      </c>
      <c r="OZ49" s="76" t="str">
        <f aca="false">IF($I49&gt;0%,IF(AND(OZ$16&gt;=$F49,OZ$16&lt;$F49+($G49*$I49)),"➤",""),"")</f>
        <v/>
      </c>
      <c r="PA49" s="76" t="str">
        <f aca="false">IF($I49&gt;0%,IF(AND(PA$16&gt;=$F49,PA$16&lt;$F49+($G49*$I49)),"➤",""),"")</f>
        <v/>
      </c>
      <c r="PB49" s="76" t="str">
        <f aca="false">IF($I49&gt;0%,IF(AND(PB$16&gt;=$F49,PB$16&lt;$F49+($G49*$I49)),"➤",""),"")</f>
        <v/>
      </c>
      <c r="PC49" s="76" t="str">
        <f aca="false">IF($I49&gt;0%,IF(AND(PC$16&gt;=$F49,PC$16&lt;$F49+($G49*$I49)),"➤",""),"")</f>
        <v/>
      </c>
      <c r="PD49" s="76" t="str">
        <f aca="false">IF($I49&gt;0%,IF(AND(PD$16&gt;=$F49,PD$16&lt;$F49+($G49*$I49)),"➤",""),"")</f>
        <v/>
      </c>
      <c r="PE49" s="76" t="str">
        <f aca="false">IF($I49&gt;0%,IF(AND(PE$16&gt;=$F49,PE$16&lt;$F49+($G49*$I49)),"➤",""),"")</f>
        <v/>
      </c>
      <c r="PF49" s="76" t="str">
        <f aca="false">IF($I49&gt;0%,IF(AND(PF$16&gt;=$F49,PF$16&lt;$F49+($G49*$I49)),"➤",""),"")</f>
        <v/>
      </c>
      <c r="PG49" s="76" t="str">
        <f aca="false">IF($I49&gt;0%,IF(AND(PG$16&gt;=$F49,PG$16&lt;$F49+($G49*$I49)),"➤",""),"")</f>
        <v/>
      </c>
      <c r="PH49" s="76" t="str">
        <f aca="false">IF($I49&gt;0%,IF(AND(PH$16&gt;=$F49,PH$16&lt;$F49+($G49*$I49)),"➤",""),"")</f>
        <v/>
      </c>
      <c r="PI49" s="76" t="str">
        <f aca="false">IF($I49&gt;0%,IF(AND(PI$16&gt;=$F49,PI$16&lt;$F49+($G49*$I49)),"➤",""),"")</f>
        <v/>
      </c>
      <c r="PJ49" s="76" t="str">
        <f aca="false">IF($I49&gt;0%,IF(AND(PJ$16&gt;=$F49,PJ$16&lt;$F49+($G49*$I49)),"➤",""),"")</f>
        <v/>
      </c>
      <c r="PK49" s="76" t="str">
        <f aca="false">IF($I49&gt;0%,IF(AND(PK$16&gt;=$F49,PK$16&lt;$F49+($G49*$I49)),"➤",""),"")</f>
        <v/>
      </c>
      <c r="PL49" s="76" t="str">
        <f aca="false">IF($I49&gt;0%,IF(AND(PL$16&gt;=$F49,PL$16&lt;$F49+($G49*$I49)),"➤",""),"")</f>
        <v/>
      </c>
      <c r="PM49" s="76" t="str">
        <f aca="false">IF($I49&gt;0%,IF(AND(PM$16&gt;=$F49,PM$16&lt;$F49+($G49*$I49)),"➤",""),"")</f>
        <v/>
      </c>
      <c r="PN49" s="76" t="str">
        <f aca="false">IF($I49&gt;0%,IF(AND(PN$16&gt;=$F49,PN$16&lt;$F49+($G49*$I49)),"➤",""),"")</f>
        <v/>
      </c>
      <c r="PO49" s="76" t="str">
        <f aca="false">IF($I49&gt;0%,IF(AND(PO$16&gt;=$F49,PO$16&lt;$F49+($G49*$I49)),"➤",""),"")</f>
        <v/>
      </c>
      <c r="PP49" s="76" t="str">
        <f aca="false">IF($I49&gt;0%,IF(AND(PP$16&gt;=$F49,PP$16&lt;$F49+($G49*$I49)),"➤",""),"")</f>
        <v/>
      </c>
      <c r="PQ49" s="76" t="str">
        <f aca="false">IF($I49&gt;0%,IF(AND(PQ$16&gt;=$F49,PQ$16&lt;$F49+($G49*$I49)),"➤",""),"")</f>
        <v/>
      </c>
      <c r="PR49" s="76" t="str">
        <f aca="false">IF($I49&gt;0%,IF(AND(PR$16&gt;=$F49,PR$16&lt;$F49+($G49*$I49)),"➤",""),"")</f>
        <v/>
      </c>
      <c r="PS49" s="76" t="str">
        <f aca="false">IF($I49&gt;0%,IF(AND(PS$16&gt;=$F49,PS$16&lt;$F49+($G49*$I49)),"➤",""),"")</f>
        <v/>
      </c>
      <c r="PT49" s="76" t="str">
        <f aca="false">IF($I49&gt;0%,IF(AND(PT$16&gt;=$F49,PT$16&lt;$F49+($G49*$I49)),"➤",""),"")</f>
        <v/>
      </c>
      <c r="PU49" s="76" t="str">
        <f aca="false">IF($I49&gt;0%,IF(AND(PU$16&gt;=$F49,PU$16&lt;$F49+($G49*$I49)),"➤",""),"")</f>
        <v/>
      </c>
      <c r="PV49" s="76" t="str">
        <f aca="false">IF($I49&gt;0%,IF(AND(PV$16&gt;=$F49,PV$16&lt;$F49+($G49*$I49)),"➤",""),"")</f>
        <v/>
      </c>
      <c r="PW49" s="76" t="str">
        <f aca="false">IF($I49&gt;0%,IF(AND(PW$16&gt;=$F49,PW$16&lt;$F49+($G49*$I49)),"➤",""),"")</f>
        <v/>
      </c>
      <c r="PX49" s="76" t="str">
        <f aca="false">IF($I49&gt;0%,IF(AND(PX$16&gt;=$F49,PX$16&lt;$F49+($G49*$I49)),"➤",""),"")</f>
        <v/>
      </c>
      <c r="PY49" s="76" t="str">
        <f aca="false">IF($I49&gt;0%,IF(AND(PY$16&gt;=$F49,PY$16&lt;$F49+($G49*$I49)),"➤",""),"")</f>
        <v/>
      </c>
      <c r="PZ49" s="76" t="str">
        <f aca="false">IF($I49&gt;0%,IF(AND(PZ$16&gt;=$F49,PZ$16&lt;$F49+($G49*$I49)),"➤",""),"")</f>
        <v/>
      </c>
      <c r="QA49" s="76" t="str">
        <f aca="false">IF($I49&gt;0%,IF(AND(QA$16&gt;=$F49,QA$16&lt;$F49+($G49*$I49)),"➤",""),"")</f>
        <v/>
      </c>
      <c r="QB49" s="76" t="str">
        <f aca="false">IF($I49&gt;0%,IF(AND(QB$16&gt;=$F49,QB$16&lt;$F49+($G49*$I49)),"➤",""),"")</f>
        <v/>
      </c>
      <c r="QC49" s="76" t="str">
        <f aca="false">IF($I49&gt;0%,IF(AND(QC$16&gt;=$F49,QC$16&lt;$F49+($G49*$I49)),"➤",""),"")</f>
        <v/>
      </c>
      <c r="QD49" s="76" t="str">
        <f aca="false">IF($I49&gt;0%,IF(AND(QD$16&gt;=$F49,QD$16&lt;$F49+($G49*$I49)),"➤",""),"")</f>
        <v/>
      </c>
      <c r="QE49" s="76" t="str">
        <f aca="false">IF($I49&gt;0%,IF(AND(QE$16&gt;=$F49,QE$16&lt;$F49+($G49*$I49)),"➤",""),"")</f>
        <v/>
      </c>
      <c r="QF49" s="76" t="str">
        <f aca="false">IF($I49&gt;0%,IF(AND(QF$16&gt;=$F49,QF$16&lt;$F49+($G49*$I49)),"➤",""),"")</f>
        <v/>
      </c>
      <c r="QG49" s="76" t="str">
        <f aca="false">IF($I49&gt;0%,IF(AND(QG$16&gt;=$F49,QG$16&lt;$F49+($G49*$I49)),"➤",""),"")</f>
        <v/>
      </c>
      <c r="QH49" s="76" t="str">
        <f aca="false">IF($I49&gt;0%,IF(AND(QH$16&gt;=$F49,QH$16&lt;$F49+($G49*$I49)),"➤",""),"")</f>
        <v/>
      </c>
      <c r="QI49" s="76" t="str">
        <f aca="false">IF($I49&gt;0%,IF(AND(QI$16&gt;=$F49,QI$16&lt;$F49+($G49*$I49)),"➤",""),"")</f>
        <v/>
      </c>
      <c r="QJ49" s="76" t="str">
        <f aca="false">IF($I49&gt;0%,IF(AND(QJ$16&gt;=$F49,QJ$16&lt;$F49+($G49*$I49)),"➤",""),"")</f>
        <v/>
      </c>
      <c r="QK49" s="76" t="str">
        <f aca="false">IF($I49&gt;0%,IF(AND(QK$16&gt;=$F49,QK$16&lt;$F49+($G49*$I49)),"➤",""),"")</f>
        <v/>
      </c>
      <c r="QL49" s="76" t="str">
        <f aca="false">IF($I49&gt;0%,IF(AND(QL$16&gt;=$F49,QL$16&lt;$F49+($G49*$I49)),"➤",""),"")</f>
        <v/>
      </c>
      <c r="QM49" s="76" t="str">
        <f aca="false">IF($I49&gt;0%,IF(AND(QM$16&gt;=$F49,QM$16&lt;$F49+($G49*$I49)),"➤",""),"")</f>
        <v/>
      </c>
      <c r="QN49" s="76" t="str">
        <f aca="false">IF($I49&gt;0%,IF(AND(QN$16&gt;=$F49,QN$16&lt;$F49+($G49*$I49)),"➤",""),"")</f>
        <v/>
      </c>
      <c r="QO49" s="76" t="str">
        <f aca="false">IF($I49&gt;0%,IF(AND(QO$16&gt;=$F49,QO$16&lt;$F49+($G49*$I49)),"➤",""),"")</f>
        <v/>
      </c>
      <c r="QP49" s="76" t="str">
        <f aca="false">IF($I49&gt;0%,IF(AND(QP$16&gt;=$F49,QP$16&lt;$F49+($G49*$I49)),"➤",""),"")</f>
        <v/>
      </c>
      <c r="QQ49" s="76" t="str">
        <f aca="false">IF($I49&gt;0%,IF(AND(QQ$16&gt;=$F49,QQ$16&lt;$F49+($G49*$I49)),"➤",""),"")</f>
        <v/>
      </c>
      <c r="QR49" s="76" t="str">
        <f aca="false">IF($I49&gt;0%,IF(AND(QR$16&gt;=$F49,QR$16&lt;$F49+($G49*$I49)),"➤",""),"")</f>
        <v/>
      </c>
      <c r="QS49" s="76" t="str">
        <f aca="false">IF($I49&gt;0%,IF(AND(QS$16&gt;=$F49,QS$16&lt;$F49+($G49*$I49)),"➤",""),"")</f>
        <v/>
      </c>
      <c r="QT49" s="76" t="str">
        <f aca="false">IF($I49&gt;0%,IF(AND(QT$16&gt;=$F49,QT$16&lt;$F49+($G49*$I49)),"➤",""),"")</f>
        <v/>
      </c>
      <c r="QU49" s="76" t="str">
        <f aca="false">IF($I49&gt;0%,IF(AND(QU$16&gt;=$F49,QU$16&lt;$F49+($G49*$I49)),"➤",""),"")</f>
        <v/>
      </c>
      <c r="QV49" s="76" t="str">
        <f aca="false">IF($I49&gt;0%,IF(AND(QV$16&gt;=$F49,QV$16&lt;$F49+($G49*$I49)),"➤",""),"")</f>
        <v/>
      </c>
      <c r="QW49" s="76" t="str">
        <f aca="false">IF($I49&gt;0%,IF(AND(QW$16&gt;=$F49,QW$16&lt;$F49+($G49*$I49)),"➤",""),"")</f>
        <v/>
      </c>
      <c r="QX49" s="76" t="str">
        <f aca="false">IF($I49&gt;0%,IF(AND(QX$16&gt;=$F49,QX$16&lt;$F49+($G49*$I49)),"➤",""),"")</f>
        <v/>
      </c>
      <c r="QY49" s="76" t="str">
        <f aca="false">IF($I49&gt;0%,IF(AND(QY$16&gt;=$F49,QY$16&lt;$F49+($G49*$I49)),"➤",""),"")</f>
        <v/>
      </c>
      <c r="QZ49" s="76" t="str">
        <f aca="false">IF($I49&gt;0%,IF(AND(QZ$16&gt;=$F49,QZ$16&lt;$F49+($G49*$I49)),"➤",""),"")</f>
        <v/>
      </c>
      <c r="RA49" s="76" t="str">
        <f aca="false">IF($I49&gt;0%,IF(AND(RA$16&gt;=$F49,RA$16&lt;$F49+($G49*$I49)),"➤",""),"")</f>
        <v/>
      </c>
      <c r="RB49" s="76" t="str">
        <f aca="false">IF($I49&gt;0%,IF(AND(RB$16&gt;=$F49,RB$16&lt;$F49+($G49*$I49)),"➤",""),"")</f>
        <v/>
      </c>
      <c r="RC49" s="76" t="str">
        <f aca="false">IF($I49&gt;0%,IF(AND(RC$16&gt;=$F49,RC$16&lt;$F49+($G49*$I49)),"➤",""),"")</f>
        <v/>
      </c>
      <c r="RD49" s="76" t="str">
        <f aca="false">IF($I49&gt;0%,IF(AND(RD$16&gt;=$F49,RD$16&lt;$F49+($G49*$I49)),"➤",""),"")</f>
        <v/>
      </c>
      <c r="RE49" s="76" t="str">
        <f aca="false">IF($I49&gt;0%,IF(AND(RE$16&gt;=$F49,RE$16&lt;$F49+($G49*$I49)),"➤",""),"")</f>
        <v/>
      </c>
      <c r="RF49" s="76" t="str">
        <f aca="false">IF($I49&gt;0%,IF(AND(RF$16&gt;=$F49,RF$16&lt;$F49+($G49*$I49)),"➤",""),"")</f>
        <v/>
      </c>
      <c r="RG49" s="76" t="str">
        <f aca="false">IF($I49&gt;0%,IF(AND(RG$16&gt;=$F49,RG$16&lt;$F49+($G49*$I49)),"➤",""),"")</f>
        <v/>
      </c>
      <c r="RH49" s="76" t="str">
        <f aca="false">IF($I49&gt;0%,IF(AND(RH$16&gt;=$F49,RH$16&lt;$F49+($G49*$I49)),"➤",""),"")</f>
        <v/>
      </c>
      <c r="RI49" s="76" t="str">
        <f aca="false">IF($I49&gt;0%,IF(AND(RI$16&gt;=$F49,RI$16&lt;$F49+($G49*$I49)),"➤",""),"")</f>
        <v/>
      </c>
      <c r="RJ49" s="76" t="str">
        <f aca="false">IF($I49&gt;0%,IF(AND(RJ$16&gt;=$F49,RJ$16&lt;$F49+($G49*$I49)),"➤",""),"")</f>
        <v/>
      </c>
      <c r="RK49" s="76" t="str">
        <f aca="false">IF($I49&gt;0%,IF(AND(RK$16&gt;=$F49,RK$16&lt;$F49+($G49*$I49)),"➤",""),"")</f>
        <v/>
      </c>
      <c r="RL49" s="76" t="str">
        <f aca="false">IF($I49&gt;0%,IF(AND(RL$16&gt;=$F49,RL$16&lt;$F49+($G49*$I49)),"➤",""),"")</f>
        <v/>
      </c>
      <c r="RM49" s="76" t="str">
        <f aca="false">IF($I49&gt;0%,IF(AND(RM$16&gt;=$F49,RM$16&lt;$F49+($G49*$I49)),"➤",""),"")</f>
        <v/>
      </c>
      <c r="RN49" s="76" t="str">
        <f aca="false">IF($I49&gt;0%,IF(AND(RN$16&gt;=$F49,RN$16&lt;$F49+($G49*$I49)),"➤",""),"")</f>
        <v/>
      </c>
      <c r="RO49" s="76" t="str">
        <f aca="false">IF($I49&gt;0%,IF(AND(RO$16&gt;=$F49,RO$16&lt;$F49+($G49*$I49)),"➤",""),"")</f>
        <v/>
      </c>
      <c r="RP49" s="76" t="str">
        <f aca="false">IF($I49&gt;0%,IF(AND(RP$16&gt;=$F49,RP$16&lt;$F49+($G49*$I49)),"➤",""),"")</f>
        <v/>
      </c>
      <c r="RQ49" s="76" t="str">
        <f aca="false">IF($I49&gt;0%,IF(AND(RQ$16&gt;=$F49,RQ$16&lt;$F49+($G49*$I49)),"➤",""),"")</f>
        <v/>
      </c>
      <c r="RR49" s="76" t="str">
        <f aca="false">IF($I49&gt;0%,IF(AND(RR$16&gt;=$F49,RR$16&lt;$F49+($G49*$I49)),"➤",""),"")</f>
        <v/>
      </c>
      <c r="RS49" s="76" t="str">
        <f aca="false">IF($I49&gt;0%,IF(AND(RS$16&gt;=$F49,RS$16&lt;$F49+($G49*$I49)),"➤",""),"")</f>
        <v/>
      </c>
      <c r="RT49" s="76" t="str">
        <f aca="false">IF($I49&gt;0%,IF(AND(RT$16&gt;=$F49,RT$16&lt;$F49+($G49*$I49)),"➤",""),"")</f>
        <v/>
      </c>
      <c r="RU49" s="76" t="str">
        <f aca="false">IF($I49&gt;0%,IF(AND(RU$16&gt;=$F49,RU$16&lt;$F49+($G49*$I49)),"➤",""),"")</f>
        <v/>
      </c>
      <c r="RV49" s="76" t="str">
        <f aca="false">IF($I49&gt;0%,IF(AND(RV$16&gt;=$F49,RV$16&lt;$F49+($G49*$I49)),"➤",""),"")</f>
        <v/>
      </c>
      <c r="RW49" s="76" t="str">
        <f aca="false">IF($I49&gt;0%,IF(AND(RW$16&gt;=$F49,RW$16&lt;$F49+($G49*$I49)),"➤",""),"")</f>
        <v/>
      </c>
      <c r="RX49" s="76" t="str">
        <f aca="false">IF($I49&gt;0%,IF(AND(RX$16&gt;=$F49,RX$16&lt;$F49+($G49*$I49)),"➤",""),"")</f>
        <v/>
      </c>
      <c r="RY49" s="76" t="str">
        <f aca="false">IF($I49&gt;0%,IF(AND(RY$16&gt;=$F49,RY$16&lt;$F49+($G49*$I49)),"➤",""),"")</f>
        <v/>
      </c>
      <c r="RZ49" s="76" t="str">
        <f aca="false">IF($I49&gt;0%,IF(AND(RZ$16&gt;=$F49,RZ$16&lt;$F49+($G49*$I49)),"➤",""),"")</f>
        <v/>
      </c>
      <c r="SA49" s="76" t="str">
        <f aca="false">IF($I49&gt;0%,IF(AND(SA$16&gt;=$F49,SA$16&lt;$F49+($G49*$I49)),"➤",""),"")</f>
        <v/>
      </c>
      <c r="SB49" s="76" t="str">
        <f aca="false">IF($I49&gt;0%,IF(AND(SB$16&gt;=$F49,SB$16&lt;$F49+($G49*$I49)),"➤",""),"")</f>
        <v/>
      </c>
      <c r="SC49" s="76" t="str">
        <f aca="false">IF($I49&gt;0%,IF(AND(SC$16&gt;=$F49,SC$16&lt;$F49+($G49*$I49)),"➤",""),"")</f>
        <v/>
      </c>
      <c r="SD49" s="76" t="str">
        <f aca="false">IF($I49&gt;0%,IF(AND(SD$16&gt;=$F49,SD$16&lt;$F49+($G49*$I49)),"➤",""),"")</f>
        <v/>
      </c>
      <c r="SE49" s="76" t="str">
        <f aca="false">IF($I49&gt;0%,IF(AND(SE$16&gt;=$F49,SE$16&lt;$F49+($G49*$I49)),"➤",""),"")</f>
        <v/>
      </c>
      <c r="SF49" s="76" t="str">
        <f aca="false">IF($I49&gt;0%,IF(AND(SF$16&gt;=$F49,SF$16&lt;$F49+($G49*$I49)),"➤",""),"")</f>
        <v/>
      </c>
      <c r="SG49" s="76" t="str">
        <f aca="false">IF($I49&gt;0%,IF(AND(SG$16&gt;=$F49,SG$16&lt;$F49+($G49*$I49)),"➤",""),"")</f>
        <v/>
      </c>
      <c r="SH49" s="76" t="str">
        <f aca="false">IF($I49&gt;0%,IF(AND(SH$16&gt;=$F49,SH$16&lt;$F49+($G49*$I49)),"➤",""),"")</f>
        <v/>
      </c>
      <c r="SI49" s="76" t="str">
        <f aca="false">IF($I49&gt;0%,IF(AND(SI$16&gt;=$F49,SI$16&lt;$F49+($G49*$I49)),"➤",""),"")</f>
        <v/>
      </c>
      <c r="SJ49" s="76" t="str">
        <f aca="false">IF($I49&gt;0%,IF(AND(SJ$16&gt;=$F49,SJ$16&lt;$F49+($G49*$I49)),"➤",""),"")</f>
        <v/>
      </c>
      <c r="SK49" s="76" t="str">
        <f aca="false">IF($I49&gt;0%,IF(AND(SK$16&gt;=$F49,SK$16&lt;$F49+($G49*$I49)),"➤",""),"")</f>
        <v/>
      </c>
      <c r="SL49" s="76" t="str">
        <f aca="false">IF($I49&gt;0%,IF(AND(SL$16&gt;=$F49,SL$16&lt;$F49+($G49*$I49)),"➤",""),"")</f>
        <v/>
      </c>
      <c r="SM49" s="76" t="str">
        <f aca="false">IF($I49&gt;0%,IF(AND(SM$16&gt;=$F49,SM$16&lt;$F49+($G49*$I49)),"➤",""),"")</f>
        <v/>
      </c>
      <c r="SN49" s="76" t="str">
        <f aca="false">IF($I49&gt;0%,IF(AND(SN$16&gt;=$F49,SN$16&lt;$F49+($G49*$I49)),"➤",""),"")</f>
        <v/>
      </c>
      <c r="SO49" s="76" t="str">
        <f aca="false">IF($I49&gt;0%,IF(AND(SO$16&gt;=$F49,SO$16&lt;$F49+($G49*$I49)),"➤",""),"")</f>
        <v/>
      </c>
      <c r="SP49" s="76" t="str">
        <f aca="false">IF($I49&gt;0%,IF(AND(SP$16&gt;=$F49,SP$16&lt;$F49+($G49*$I49)),"➤",""),"")</f>
        <v/>
      </c>
      <c r="SQ49" s="76" t="str">
        <f aca="false">IF($I49&gt;0%,IF(AND(SQ$16&gt;=$F49,SQ$16&lt;$F49+($G49*$I49)),"➤",""),"")</f>
        <v/>
      </c>
      <c r="SR49" s="76" t="str">
        <f aca="false">IF($I49&gt;0%,IF(AND(SR$16&gt;=$F49,SR$16&lt;$F49+($G49*$I49)),"➤",""),"")</f>
        <v/>
      </c>
      <c r="SS49" s="76" t="str">
        <f aca="false">IF($I49&gt;0%,IF(AND(SS$16&gt;=$F49,SS$16&lt;$F49+($G49*$I49)),"➤",""),"")</f>
        <v/>
      </c>
      <c r="ST49" s="76" t="str">
        <f aca="false">IF($I49&gt;0%,IF(AND(ST$16&gt;=$F49,ST$16&lt;$F49+($G49*$I49)),"➤",""),"")</f>
        <v/>
      </c>
      <c r="SU49" s="76" t="str">
        <f aca="false">IF($I49&gt;0%,IF(AND(SU$16&gt;=$F49,SU$16&lt;$F49+($G49*$I49)),"➤",""),"")</f>
        <v/>
      </c>
      <c r="SV49" s="76" t="str">
        <f aca="false">IF($I49&gt;0%,IF(AND(SV$16&gt;=$F49,SV$16&lt;$F49+($G49*$I49)),"➤",""),"")</f>
        <v/>
      </c>
      <c r="SW49" s="77" t="str">
        <f aca="false">IF($I49&gt;0%,IF(AND(SW$16&gt;=$F49,SW$16&lt;$F49+($G49*$I49)),"➤",""),"")</f>
        <v/>
      </c>
    </row>
    <row r="50" customFormat="false" ht="14.25" hidden="false" customHeight="false" outlineLevel="1" collapsed="false">
      <c r="C50" s="10"/>
      <c r="D50" s="78"/>
      <c r="E50" s="79"/>
      <c r="F50" s="80" t="n">
        <v>44180</v>
      </c>
      <c r="G50" s="109" t="n">
        <v>4</v>
      </c>
      <c r="H50" s="96" t="n">
        <f aca="false">(F50+G50)-1</f>
        <v>44183</v>
      </c>
      <c r="I50" s="98" t="n">
        <v>0</v>
      </c>
      <c r="J50" s="84"/>
      <c r="K50" s="85"/>
      <c r="L50" s="75" t="str">
        <f aca="false">IF($I50&gt;0%,IF(AND(L$16&gt;=$F50,L$16&lt;$F50+($G50*$I50)),"➤",""),"")</f>
        <v/>
      </c>
      <c r="M50" s="76" t="str">
        <f aca="false">IF($I50&gt;0%,IF(AND(M$16&gt;=$F50,M$16&lt;$F50+($G50*$I50)),"➤",""),"")</f>
        <v/>
      </c>
      <c r="N50" s="76" t="str">
        <f aca="false">IF($I50&gt;0%,IF(AND(N$16&gt;=$F50,N$16&lt;$F50+($G50*$I50)),"➤",""),"")</f>
        <v/>
      </c>
      <c r="O50" s="76" t="str">
        <f aca="false">IF($I50&gt;0%,IF(AND(O$16&gt;=$F50,O$16&lt;$F50+($G50*$I50)),"➤",""),"")</f>
        <v/>
      </c>
      <c r="P50" s="76" t="str">
        <f aca="false">IF($I50&gt;0%,IF(AND(P$16&gt;=$F50,P$16&lt;$F50+($G50*$I50)),"➤",""),"")</f>
        <v/>
      </c>
      <c r="Q50" s="76" t="str">
        <f aca="false">IF($I50&gt;0%,IF(AND(Q$16&gt;=$F50,Q$16&lt;$F50+($G50*$I50)),"➤",""),"")</f>
        <v/>
      </c>
      <c r="R50" s="76" t="str">
        <f aca="false">IF($I50&gt;0%,IF(AND(R$16&gt;=$F50,R$16&lt;$F50+($G50*$I50)),"➤",""),"")</f>
        <v/>
      </c>
      <c r="S50" s="76" t="str">
        <f aca="false">IF($I50&gt;0%,IF(AND(S$16&gt;=$F50,S$16&lt;$F50+($G50*$I50)),"➤",""),"")</f>
        <v/>
      </c>
      <c r="T50" s="76" t="str">
        <f aca="false">IF($I50&gt;0%,IF(AND(T$16&gt;=$F50,T$16&lt;$F50+($G50*$I50)),"➤",""),"")</f>
        <v/>
      </c>
      <c r="U50" s="76" t="str">
        <f aca="false">IF($I50&gt;0%,IF(AND(U$16&gt;=$F50,U$16&lt;$F50+($G50*$I50)),"➤",""),"")</f>
        <v/>
      </c>
      <c r="V50" s="76" t="str">
        <f aca="false">IF($I50&gt;0%,IF(AND(V$16&gt;=$F50,V$16&lt;$F50+($G50*$I50)),"➤",""),"")</f>
        <v/>
      </c>
      <c r="W50" s="76" t="str">
        <f aca="false">IF($I50&gt;0%,IF(AND(W$16&gt;=$F50,W$16&lt;$F50+($G50*$I50)),"➤",""),"")</f>
        <v/>
      </c>
      <c r="X50" s="76" t="str">
        <f aca="false">IF($I50&gt;0%,IF(AND(X$16&gt;=$F50,X$16&lt;$F50+($G50*$I50)),"➤",""),"")</f>
        <v/>
      </c>
      <c r="Y50" s="76" t="str">
        <f aca="false">IF($I50&gt;0%,IF(AND(Y$16&gt;=$F50,Y$16&lt;$F50+($G50*$I50)),"➤",""),"")</f>
        <v/>
      </c>
      <c r="Z50" s="76" t="str">
        <f aca="false">IF($I50&gt;0%,IF(AND(Z$16&gt;=$F50,Z$16&lt;$F50+($G50*$I50)),"➤",""),"")</f>
        <v/>
      </c>
      <c r="AA50" s="76" t="str">
        <f aca="false">IF($I50&gt;0%,IF(AND(AA$16&gt;=$F50,AA$16&lt;$F50+($G50*$I50)),"➤",""),"")</f>
        <v/>
      </c>
      <c r="AB50" s="76" t="str">
        <f aca="false">IF($I50&gt;0%,IF(AND(AB$16&gt;=$F50,AB$16&lt;$F50+($G50*$I50)),"➤",""),"")</f>
        <v/>
      </c>
      <c r="AC50" s="76" t="str">
        <f aca="false">IF($I50&gt;0%,IF(AND(AC$16&gt;=$F50,AC$16&lt;$F50+($G50*$I50)),"➤",""),"")</f>
        <v/>
      </c>
      <c r="AD50" s="76" t="str">
        <f aca="false">IF($I50&gt;0%,IF(AND(AD$16&gt;=$F50,AD$16&lt;$F50+($G50*$I50)),"➤",""),"")</f>
        <v/>
      </c>
      <c r="AE50" s="76" t="str">
        <f aca="false">IF($I50&gt;0%,IF(AND(AE$16&gt;=$F50,AE$16&lt;$F50+($G50*$I50)),"➤",""),"")</f>
        <v/>
      </c>
      <c r="AF50" s="76" t="str">
        <f aca="false">IF($I50&gt;0%,IF(AND(AF$16&gt;=$F50,AF$16&lt;$F50+($G50*$I50)),"➤",""),"")</f>
        <v/>
      </c>
      <c r="AG50" s="76" t="str">
        <f aca="false">IF($I50&gt;0%,IF(AND(AG$16&gt;=$F50,AG$16&lt;$F50+($G50*$I50)),"➤",""),"")</f>
        <v/>
      </c>
      <c r="AH50" s="76" t="str">
        <f aca="false">IF($I50&gt;0%,IF(AND(AH$16&gt;=$F50,AH$16&lt;$F50+($G50*$I50)),"➤",""),"")</f>
        <v/>
      </c>
      <c r="AI50" s="76" t="str">
        <f aca="false">IF($I50&gt;0%,IF(AND(AI$16&gt;=$F50,AI$16&lt;$F50+($G50*$I50)),"➤",""),"")</f>
        <v/>
      </c>
      <c r="AJ50" s="76" t="str">
        <f aca="false">IF($I50&gt;0%,IF(AND(AJ$16&gt;=$F50,AJ$16&lt;$F50+($G50*$I50)),"➤",""),"")</f>
        <v/>
      </c>
      <c r="AK50" s="76" t="str">
        <f aca="false">IF($I50&gt;0%,IF(AND(AK$16&gt;=$F50,AK$16&lt;$F50+($G50*$I50)),"➤",""),"")</f>
        <v/>
      </c>
      <c r="AL50" s="76" t="str">
        <f aca="false">IF($I50&gt;0%,IF(AND(AL$16&gt;=$F50,AL$16&lt;$F50+($G50*$I50)),"➤",""),"")</f>
        <v/>
      </c>
      <c r="AM50" s="76" t="str">
        <f aca="false">IF($I50&gt;0%,IF(AND(AM$16&gt;=$F50,AM$16&lt;$F50+($G50*$I50)),"➤",""),"")</f>
        <v/>
      </c>
      <c r="AN50" s="76" t="str">
        <f aca="false">IF($I50&gt;0%,IF(AND(AN$16&gt;=$F50,AN$16&lt;$F50+($G50*$I50)),"➤",""),"")</f>
        <v/>
      </c>
      <c r="AO50" s="76" t="str">
        <f aca="false">IF($I50&gt;0%,IF(AND(AO$16&gt;=$F50,AO$16&lt;$F50+($G50*$I50)),"➤",""),"")</f>
        <v/>
      </c>
      <c r="AP50" s="76" t="str">
        <f aca="false">IF($I50&gt;0%,IF(AND(AP$16&gt;=$F50,AP$16&lt;$F50+($G50*$I50)),"➤",""),"")</f>
        <v/>
      </c>
      <c r="AQ50" s="76" t="str">
        <f aca="false">IF($I50&gt;0%,IF(AND(AQ$16&gt;=$F50,AQ$16&lt;$F50+($G50*$I50)),"➤",""),"")</f>
        <v/>
      </c>
      <c r="AR50" s="76" t="str">
        <f aca="false">IF($I50&gt;0%,IF(AND(AR$16&gt;=$F50,AR$16&lt;$F50+($G50*$I50)),"➤",""),"")</f>
        <v/>
      </c>
      <c r="AS50" s="76" t="str">
        <f aca="false">IF($I50&gt;0%,IF(AND(AS$16&gt;=$F50,AS$16&lt;$F50+($G50*$I50)),"➤",""),"")</f>
        <v/>
      </c>
      <c r="AT50" s="76" t="str">
        <f aca="false">IF($I50&gt;0%,IF(AND(AT$16&gt;=$F50,AT$16&lt;$F50+($G50*$I50)),"➤",""),"")</f>
        <v/>
      </c>
      <c r="AU50" s="76" t="str">
        <f aca="false">IF($I50&gt;0%,IF(AND(AU$16&gt;=$F50,AU$16&lt;$F50+($G50*$I50)),"➤",""),"")</f>
        <v/>
      </c>
      <c r="AV50" s="76" t="str">
        <f aca="false">IF($I50&gt;0%,IF(AND(AV$16&gt;=$F50,AV$16&lt;$F50+($G50*$I50)),"➤",""),"")</f>
        <v/>
      </c>
      <c r="AW50" s="76" t="str">
        <f aca="false">IF($I50&gt;0%,IF(AND(AW$16&gt;=$F50,AW$16&lt;$F50+($G50*$I50)),"➤",""),"")</f>
        <v/>
      </c>
      <c r="AX50" s="76" t="str">
        <f aca="false">IF($I50&gt;0%,IF(AND(AX$16&gt;=$F50,AX$16&lt;$F50+($G50*$I50)),"➤",""),"")</f>
        <v/>
      </c>
      <c r="AY50" s="76" t="str">
        <f aca="false">IF($I50&gt;0%,IF(AND(AY$16&gt;=$F50,AY$16&lt;$F50+($G50*$I50)),"➤",""),"")</f>
        <v/>
      </c>
      <c r="AZ50" s="76" t="str">
        <f aca="false">IF($I50&gt;0%,IF(AND(AZ$16&gt;=$F50,AZ$16&lt;$F50+($G50*$I50)),"➤",""),"")</f>
        <v/>
      </c>
      <c r="BA50" s="76" t="str">
        <f aca="false">IF($I50&gt;0%,IF(AND(BA$16&gt;=$F50,BA$16&lt;$F50+($G50*$I50)),"➤",""),"")</f>
        <v/>
      </c>
      <c r="BB50" s="76" t="str">
        <f aca="false">IF($I50&gt;0%,IF(AND(BB$16&gt;=$F50,BB$16&lt;$F50+($G50*$I50)),"➤",""),"")</f>
        <v/>
      </c>
      <c r="BC50" s="76" t="str">
        <f aca="false">IF($I50&gt;0%,IF(AND(BC$16&gt;=$F50,BC$16&lt;$F50+($G50*$I50)),"➤",""),"")</f>
        <v/>
      </c>
      <c r="BD50" s="76" t="str">
        <f aca="false">IF($I50&gt;0%,IF(AND(BD$16&gt;=$F50,BD$16&lt;$F50+($G50*$I50)),"➤",""),"")</f>
        <v/>
      </c>
      <c r="BE50" s="76" t="str">
        <f aca="false">IF($I50&gt;0%,IF(AND(BE$16&gt;=$F50,BE$16&lt;$F50+($G50*$I50)),"➤",""),"")</f>
        <v/>
      </c>
      <c r="BF50" s="76" t="str">
        <f aca="false">IF($I50&gt;0%,IF(AND(BF$16&gt;=$F50,BF$16&lt;$F50+($G50*$I50)),"➤",""),"")</f>
        <v/>
      </c>
      <c r="BG50" s="76" t="str">
        <f aca="false">IF($I50&gt;0%,IF(AND(BG$16&gt;=$F50,BG$16&lt;$F50+($G50*$I50)),"➤",""),"")</f>
        <v/>
      </c>
      <c r="BH50" s="76" t="str">
        <f aca="false">IF($I50&gt;0%,IF(AND(BH$16&gt;=$F50,BH$16&lt;$F50+($G50*$I50)),"➤",""),"")</f>
        <v/>
      </c>
      <c r="BI50" s="76" t="str">
        <f aca="false">IF($I50&gt;0%,IF(AND(BI$16&gt;=$F50,BI$16&lt;$F50+($G50*$I50)),"➤",""),"")</f>
        <v/>
      </c>
      <c r="BJ50" s="76" t="str">
        <f aca="false">IF($I50&gt;0%,IF(AND(BJ$16&gt;=$F50,BJ$16&lt;$F50+($G50*$I50)),"➤",""),"")</f>
        <v/>
      </c>
      <c r="BK50" s="76" t="str">
        <f aca="false">IF($I50&gt;0%,IF(AND(BK$16&gt;=$F50,BK$16&lt;$F50+($G50*$I50)),"➤",""),"")</f>
        <v/>
      </c>
      <c r="BL50" s="76" t="str">
        <f aca="false">IF($I50&gt;0%,IF(AND(BL$16&gt;=$F50,BL$16&lt;$F50+($G50*$I50)),"➤",""),"")</f>
        <v/>
      </c>
      <c r="BM50" s="76" t="str">
        <f aca="false">IF($I50&gt;0%,IF(AND(BM$16&gt;=$F50,BM$16&lt;$F50+($G50*$I50)),"➤",""),"")</f>
        <v/>
      </c>
      <c r="BN50" s="76" t="str">
        <f aca="false">IF($I50&gt;0%,IF(AND(BN$16&gt;=$F50,BN$16&lt;$F50+($G50*$I50)),"➤",""),"")</f>
        <v/>
      </c>
      <c r="BO50" s="76" t="str">
        <f aca="false">IF($I50&gt;0%,IF(AND(BO$16&gt;=$F50,BO$16&lt;$F50+($G50*$I50)),"➤",""),"")</f>
        <v/>
      </c>
      <c r="BP50" s="76" t="str">
        <f aca="false">IF($I50&gt;0%,IF(AND(BP$16&gt;=$F50,BP$16&lt;$F50+($G50*$I50)),"➤",""),"")</f>
        <v/>
      </c>
      <c r="BQ50" s="76" t="str">
        <f aca="false">IF($I50&gt;0%,IF(AND(BQ$16&gt;=$F50,BQ$16&lt;$F50+($G50*$I50)),"➤",""),"")</f>
        <v/>
      </c>
      <c r="BR50" s="76" t="str">
        <f aca="false">IF($I50&gt;0%,IF(AND(BR$16&gt;=$F50,BR$16&lt;$F50+($G50*$I50)),"➤",""),"")</f>
        <v/>
      </c>
      <c r="BS50" s="76" t="str">
        <f aca="false">IF($I50&gt;0%,IF(AND(BS$16&gt;=$F50,BS$16&lt;$F50+($G50*$I50)),"➤",""),"")</f>
        <v/>
      </c>
      <c r="BT50" s="76" t="str">
        <f aca="false">IF($I50&gt;0%,IF(AND(BT$16&gt;=$F50,BT$16&lt;$F50+($G50*$I50)),"➤",""),"")</f>
        <v/>
      </c>
      <c r="BU50" s="76" t="str">
        <f aca="false">IF($I50&gt;0%,IF(AND(BU$16&gt;=$F50,BU$16&lt;$F50+($G50*$I50)),"➤",""),"")</f>
        <v/>
      </c>
      <c r="BV50" s="76" t="str">
        <f aca="false">IF($I50&gt;0%,IF(AND(BV$16&gt;=$F50,BV$16&lt;$F50+($G50*$I50)),"➤",""),"")</f>
        <v/>
      </c>
      <c r="BW50" s="76" t="str">
        <f aca="false">IF($I50&gt;0%,IF(AND(BW$16&gt;=$F50,BW$16&lt;$F50+($G50*$I50)),"➤",""),"")</f>
        <v/>
      </c>
      <c r="BX50" s="76" t="str">
        <f aca="false">IF($I50&gt;0%,IF(AND(BX$16&gt;=$F50,BX$16&lt;$F50+($G50*$I50)),"➤",""),"")</f>
        <v/>
      </c>
      <c r="BY50" s="76" t="str">
        <f aca="false">IF($I50&gt;0%,IF(AND(BY$16&gt;=$F50,BY$16&lt;$F50+($G50*$I50)),"➤",""),"")</f>
        <v/>
      </c>
      <c r="BZ50" s="76" t="str">
        <f aca="false">IF($I50&gt;0%,IF(AND(BZ$16&gt;=$F50,BZ$16&lt;$F50+($G50*$I50)),"➤",""),"")</f>
        <v/>
      </c>
      <c r="CA50" s="76" t="str">
        <f aca="false">IF($I50&gt;0%,IF(AND(CA$16&gt;=$F50,CA$16&lt;$F50+($G50*$I50)),"➤",""),"")</f>
        <v/>
      </c>
      <c r="CB50" s="76" t="str">
        <f aca="false">IF($I50&gt;0%,IF(AND(CB$16&gt;=$F50,CB$16&lt;$F50+($G50*$I50)),"➤",""),"")</f>
        <v/>
      </c>
      <c r="CC50" s="76" t="str">
        <f aca="false">IF($I50&gt;0%,IF(AND(CC$16&gt;=$F50,CC$16&lt;$F50+($G50*$I50)),"➤",""),"")</f>
        <v/>
      </c>
      <c r="CD50" s="76" t="str">
        <f aca="false">IF($I50&gt;0%,IF(AND(CD$16&gt;=$F50,CD$16&lt;$F50+($G50*$I50)),"➤",""),"")</f>
        <v/>
      </c>
      <c r="CE50" s="76" t="str">
        <f aca="false">IF($I50&gt;0%,IF(AND(CE$16&gt;=$F50,CE$16&lt;$F50+($G50*$I50)),"➤",""),"")</f>
        <v/>
      </c>
      <c r="CF50" s="76" t="str">
        <f aca="false">IF($I50&gt;0%,IF(AND(CF$16&gt;=$F50,CF$16&lt;$F50+($G50*$I50)),"➤",""),"")</f>
        <v/>
      </c>
      <c r="CG50" s="76" t="str">
        <f aca="false">IF($I50&gt;0%,IF(AND(CG$16&gt;=$F50,CG$16&lt;$F50+($G50*$I50)),"➤",""),"")</f>
        <v/>
      </c>
      <c r="CH50" s="76" t="str">
        <f aca="false">IF($I50&gt;0%,IF(AND(CH$16&gt;=$F50,CH$16&lt;$F50+($G50*$I50)),"➤",""),"")</f>
        <v/>
      </c>
      <c r="CI50" s="76" t="str">
        <f aca="false">IF($I50&gt;0%,IF(AND(CI$16&gt;=$F50,CI$16&lt;$F50+($G50*$I50)),"➤",""),"")</f>
        <v/>
      </c>
      <c r="CJ50" s="76" t="str">
        <f aca="false">IF($I50&gt;0%,IF(AND(CJ$16&gt;=$F50,CJ$16&lt;$F50+($G50*$I50)),"➤",""),"")</f>
        <v/>
      </c>
      <c r="CK50" s="76" t="str">
        <f aca="false">IF($I50&gt;0%,IF(AND(CK$16&gt;=$F50,CK$16&lt;$F50+($G50*$I50)),"➤",""),"")</f>
        <v/>
      </c>
      <c r="CL50" s="76" t="str">
        <f aca="false">IF($I50&gt;0%,IF(AND(CL$16&gt;=$F50,CL$16&lt;$F50+($G50*$I50)),"➤",""),"")</f>
        <v/>
      </c>
      <c r="CM50" s="76" t="str">
        <f aca="false">IF($I50&gt;0%,IF(AND(CM$16&gt;=$F50,CM$16&lt;$F50+($G50*$I50)),"➤",""),"")</f>
        <v/>
      </c>
      <c r="CN50" s="76" t="str">
        <f aca="false">IF($I50&gt;0%,IF(AND(CN$16&gt;=$F50,CN$16&lt;$F50+($G50*$I50)),"➤",""),"")</f>
        <v/>
      </c>
      <c r="CO50" s="76" t="str">
        <f aca="false">IF($I50&gt;0%,IF(AND(CO$16&gt;=$F50,CO$16&lt;$F50+($G50*$I50)),"➤",""),"")</f>
        <v/>
      </c>
      <c r="CP50" s="76" t="str">
        <f aca="false">IF($I50&gt;0%,IF(AND(CP$16&gt;=$F50,CP$16&lt;$F50+($G50*$I50)),"➤",""),"")</f>
        <v/>
      </c>
      <c r="CQ50" s="76" t="str">
        <f aca="false">IF($I50&gt;0%,IF(AND(CQ$16&gt;=$F50,CQ$16&lt;$F50+($G50*$I50)),"➤",""),"")</f>
        <v/>
      </c>
      <c r="CR50" s="76" t="str">
        <f aca="false">IF($I50&gt;0%,IF(AND(CR$16&gt;=$F50,CR$16&lt;$F50+($G50*$I50)),"➤",""),"")</f>
        <v/>
      </c>
      <c r="CS50" s="76" t="str">
        <f aca="false">IF($I50&gt;0%,IF(AND(CS$16&gt;=$F50,CS$16&lt;$F50+($G50*$I50)),"➤",""),"")</f>
        <v/>
      </c>
      <c r="CT50" s="76" t="str">
        <f aca="false">IF($I50&gt;0%,IF(AND(CT$16&gt;=$F50,CT$16&lt;$F50+($G50*$I50)),"➤",""),"")</f>
        <v/>
      </c>
      <c r="CU50" s="76" t="str">
        <f aca="false">IF($I50&gt;0%,IF(AND(CU$16&gt;=$F50,CU$16&lt;$F50+($G50*$I50)),"➤",""),"")</f>
        <v/>
      </c>
      <c r="CV50" s="76" t="str">
        <f aca="false">IF($I50&gt;0%,IF(AND(CV$16&gt;=$F50,CV$16&lt;$F50+($G50*$I50)),"➤",""),"")</f>
        <v/>
      </c>
      <c r="CW50" s="76" t="str">
        <f aca="false">IF($I50&gt;0%,IF(AND(CW$16&gt;=$F50,CW$16&lt;$F50+($G50*$I50)),"➤",""),"")</f>
        <v/>
      </c>
      <c r="CX50" s="76" t="str">
        <f aca="false">IF($I50&gt;0%,IF(AND(CX$16&gt;=$F50,CX$16&lt;$F50+($G50*$I50)),"➤",""),"")</f>
        <v/>
      </c>
      <c r="CY50" s="76" t="str">
        <f aca="false">IF($I50&gt;0%,IF(AND(CY$16&gt;=$F50,CY$16&lt;$F50+($G50*$I50)),"➤",""),"")</f>
        <v/>
      </c>
      <c r="CZ50" s="76" t="str">
        <f aca="false">IF($I50&gt;0%,IF(AND(CZ$16&gt;=$F50,CZ$16&lt;$F50+($G50*$I50)),"➤",""),"")</f>
        <v/>
      </c>
      <c r="DA50" s="76" t="str">
        <f aca="false">IF($I50&gt;0%,IF(AND(DA$16&gt;=$F50,DA$16&lt;$F50+($G50*$I50)),"➤",""),"")</f>
        <v/>
      </c>
      <c r="DB50" s="76" t="str">
        <f aca="false">IF($I50&gt;0%,IF(AND(DB$16&gt;=$F50,DB$16&lt;$F50+($G50*$I50)),"➤",""),"")</f>
        <v/>
      </c>
      <c r="DC50" s="76" t="str">
        <f aca="false">IF($I50&gt;0%,IF(AND(DC$16&gt;=$F50,DC$16&lt;$F50+($G50*$I50)),"➤",""),"")</f>
        <v/>
      </c>
      <c r="DD50" s="76" t="str">
        <f aca="false">IF($I50&gt;0%,IF(AND(DD$16&gt;=$F50,DD$16&lt;$F50+($G50*$I50)),"➤",""),"")</f>
        <v/>
      </c>
      <c r="DE50" s="76" t="str">
        <f aca="false">IF($I50&gt;0%,IF(AND(DE$16&gt;=$F50,DE$16&lt;$F50+($G50*$I50)),"➤",""),"")</f>
        <v/>
      </c>
      <c r="DF50" s="76" t="str">
        <f aca="false">IF($I50&gt;0%,IF(AND(DF$16&gt;=$F50,DF$16&lt;$F50+($G50*$I50)),"➤",""),"")</f>
        <v/>
      </c>
      <c r="DG50" s="76" t="str">
        <f aca="false">IF($I50&gt;0%,IF(AND(DG$16&gt;=$F50,DG$16&lt;$F50+($G50*$I50)),"➤",""),"")</f>
        <v/>
      </c>
      <c r="DH50" s="76" t="str">
        <f aca="false">IF($I50&gt;0%,IF(AND(DH$16&gt;=$F50,DH$16&lt;$F50+($G50*$I50)),"➤",""),"")</f>
        <v/>
      </c>
      <c r="DI50" s="76" t="str">
        <f aca="false">IF($I50&gt;0%,IF(AND(DI$16&gt;=$F50,DI$16&lt;$F50+($G50*$I50)),"➤",""),"")</f>
        <v/>
      </c>
      <c r="DJ50" s="76" t="str">
        <f aca="false">IF($I50&gt;0%,IF(AND(DJ$16&gt;=$F50,DJ$16&lt;$F50+($G50*$I50)),"➤",""),"")</f>
        <v/>
      </c>
      <c r="DK50" s="76" t="str">
        <f aca="false">IF($I50&gt;0%,IF(AND(DK$16&gt;=$F50,DK$16&lt;$F50+($G50*$I50)),"➤",""),"")</f>
        <v/>
      </c>
      <c r="DL50" s="76" t="str">
        <f aca="false">IF($I50&gt;0%,IF(AND(DL$16&gt;=$F50,DL$16&lt;$F50+($G50*$I50)),"➤",""),"")</f>
        <v/>
      </c>
      <c r="DM50" s="76" t="str">
        <f aca="false">IF($I50&gt;0%,IF(AND(DM$16&gt;=$F50,DM$16&lt;$F50+($G50*$I50)),"➤",""),"")</f>
        <v/>
      </c>
      <c r="DN50" s="76" t="str">
        <f aca="false">IF($I50&gt;0%,IF(AND(DN$16&gt;=$F50,DN$16&lt;$F50+($G50*$I50)),"➤",""),"")</f>
        <v/>
      </c>
      <c r="DO50" s="76" t="str">
        <f aca="false">IF($I50&gt;0%,IF(AND(DO$16&gt;=$F50,DO$16&lt;$F50+($G50*$I50)),"➤",""),"")</f>
        <v/>
      </c>
      <c r="DP50" s="76" t="str">
        <f aca="false">IF($I50&gt;0%,IF(AND(DP$16&gt;=$F50,DP$16&lt;$F50+($G50*$I50)),"➤",""),"")</f>
        <v/>
      </c>
      <c r="DQ50" s="76" t="str">
        <f aca="false">IF($I50&gt;0%,IF(AND(DQ$16&gt;=$F50,DQ$16&lt;$F50+($G50*$I50)),"➤",""),"")</f>
        <v/>
      </c>
      <c r="DR50" s="76" t="str">
        <f aca="false">IF($I50&gt;0%,IF(AND(DR$16&gt;=$F50,DR$16&lt;$F50+($G50*$I50)),"➤",""),"")</f>
        <v/>
      </c>
      <c r="DS50" s="76" t="str">
        <f aca="false">IF($I50&gt;0%,IF(AND(DS$16&gt;=$F50,DS$16&lt;$F50+($G50*$I50)),"➤",""),"")</f>
        <v/>
      </c>
      <c r="DT50" s="76" t="str">
        <f aca="false">IF($I50&gt;0%,IF(AND(DT$16&gt;=$F50,DT$16&lt;$F50+($G50*$I50)),"➤",""),"")</f>
        <v/>
      </c>
      <c r="DU50" s="76" t="str">
        <f aca="false">IF($I50&gt;0%,IF(AND(DU$16&gt;=$F50,DU$16&lt;$F50+($G50*$I50)),"➤",""),"")</f>
        <v/>
      </c>
      <c r="DV50" s="76" t="str">
        <f aca="false">IF($I50&gt;0%,IF(AND(DV$16&gt;=$F50,DV$16&lt;$F50+($G50*$I50)),"➤",""),"")</f>
        <v/>
      </c>
      <c r="DW50" s="76" t="str">
        <f aca="false">IF($I50&gt;0%,IF(AND(DW$16&gt;=$F50,DW$16&lt;$F50+($G50*$I50)),"➤",""),"")</f>
        <v/>
      </c>
      <c r="DX50" s="76" t="str">
        <f aca="false">IF($I50&gt;0%,IF(AND(DX$16&gt;=$F50,DX$16&lt;$F50+($G50*$I50)),"➤",""),"")</f>
        <v/>
      </c>
      <c r="DY50" s="76" t="str">
        <f aca="false">IF($I50&gt;0%,IF(AND(DY$16&gt;=$F50,DY$16&lt;$F50+($G50*$I50)),"➤",""),"")</f>
        <v/>
      </c>
      <c r="DZ50" s="76" t="str">
        <f aca="false">IF($I50&gt;0%,IF(AND(DZ$16&gt;=$F50,DZ$16&lt;$F50+($G50*$I50)),"➤",""),"")</f>
        <v/>
      </c>
      <c r="EA50" s="76" t="str">
        <f aca="false">IF($I50&gt;0%,IF(AND(EA$16&gt;=$F50,EA$16&lt;$F50+($G50*$I50)),"➤",""),"")</f>
        <v/>
      </c>
      <c r="EB50" s="76" t="str">
        <f aca="false">IF($I50&gt;0%,IF(AND(EB$16&gt;=$F50,EB$16&lt;$F50+($G50*$I50)),"➤",""),"")</f>
        <v/>
      </c>
      <c r="EC50" s="76" t="str">
        <f aca="false">IF($I50&gt;0%,IF(AND(EC$16&gt;=$F50,EC$16&lt;$F50+($G50*$I50)),"➤",""),"")</f>
        <v/>
      </c>
      <c r="ED50" s="76" t="str">
        <f aca="false">IF($I50&gt;0%,IF(AND(ED$16&gt;=$F50,ED$16&lt;$F50+($G50*$I50)),"➤",""),"")</f>
        <v/>
      </c>
      <c r="EE50" s="76" t="str">
        <f aca="false">IF($I50&gt;0%,IF(AND(EE$16&gt;=$F50,EE$16&lt;$F50+($G50*$I50)),"➤",""),"")</f>
        <v/>
      </c>
      <c r="EF50" s="76" t="str">
        <f aca="false">IF($I50&gt;0%,IF(AND(EF$16&gt;=$F50,EF$16&lt;$F50+($G50*$I50)),"➤",""),"")</f>
        <v/>
      </c>
      <c r="EG50" s="76" t="str">
        <f aca="false">IF($I50&gt;0%,IF(AND(EG$16&gt;=$F50,EG$16&lt;$F50+($G50*$I50)),"➤",""),"")</f>
        <v/>
      </c>
      <c r="EH50" s="76" t="str">
        <f aca="false">IF($I50&gt;0%,IF(AND(EH$16&gt;=$F50,EH$16&lt;$F50+($G50*$I50)),"➤",""),"")</f>
        <v/>
      </c>
      <c r="EI50" s="76" t="str">
        <f aca="false">IF($I50&gt;0%,IF(AND(EI$16&gt;=$F50,EI$16&lt;$F50+($G50*$I50)),"➤",""),"")</f>
        <v/>
      </c>
      <c r="EJ50" s="76" t="str">
        <f aca="false">IF($I50&gt;0%,IF(AND(EJ$16&gt;=$F50,EJ$16&lt;$F50+($G50*$I50)),"➤",""),"")</f>
        <v/>
      </c>
      <c r="EK50" s="76" t="str">
        <f aca="false">IF($I50&gt;0%,IF(AND(EK$16&gt;=$F50,EK$16&lt;$F50+($G50*$I50)),"➤",""),"")</f>
        <v/>
      </c>
      <c r="EL50" s="76" t="str">
        <f aca="false">IF($I50&gt;0%,IF(AND(EL$16&gt;=$F50,EL$16&lt;$F50+($G50*$I50)),"➤",""),"")</f>
        <v/>
      </c>
      <c r="EM50" s="76" t="str">
        <f aca="false">IF($I50&gt;0%,IF(AND(EM$16&gt;=$F50,EM$16&lt;$F50+($G50*$I50)),"➤",""),"")</f>
        <v/>
      </c>
      <c r="EN50" s="76" t="str">
        <f aca="false">IF($I50&gt;0%,IF(AND(EN$16&gt;=$F50,EN$16&lt;$F50+($G50*$I50)),"➤",""),"")</f>
        <v/>
      </c>
      <c r="EO50" s="76" t="str">
        <f aca="false">IF($I50&gt;0%,IF(AND(EO$16&gt;=$F50,EO$16&lt;$F50+($G50*$I50)),"➤",""),"")</f>
        <v/>
      </c>
      <c r="EP50" s="76" t="str">
        <f aca="false">IF($I50&gt;0%,IF(AND(EP$16&gt;=$F50,EP$16&lt;$F50+($G50*$I50)),"➤",""),"")</f>
        <v/>
      </c>
      <c r="EQ50" s="76" t="str">
        <f aca="false">IF($I50&gt;0%,IF(AND(EQ$16&gt;=$F50,EQ$16&lt;$F50+($G50*$I50)),"➤",""),"")</f>
        <v/>
      </c>
      <c r="ER50" s="76" t="str">
        <f aca="false">IF($I50&gt;0%,IF(AND(ER$16&gt;=$F50,ER$16&lt;$F50+($G50*$I50)),"➤",""),"")</f>
        <v/>
      </c>
      <c r="ES50" s="76" t="str">
        <f aca="false">IF($I50&gt;0%,IF(AND(ES$16&gt;=$F50,ES$16&lt;$F50+($G50*$I50)),"➤",""),"")</f>
        <v/>
      </c>
      <c r="ET50" s="76" t="str">
        <f aca="false">IF($I50&gt;0%,IF(AND(ET$16&gt;=$F50,ET$16&lt;$F50+($G50*$I50)),"➤",""),"")</f>
        <v/>
      </c>
      <c r="EU50" s="76" t="str">
        <f aca="false">IF($I50&gt;0%,IF(AND(EU$16&gt;=$F50,EU$16&lt;$F50+($G50*$I50)),"➤",""),"")</f>
        <v/>
      </c>
      <c r="EV50" s="76" t="str">
        <f aca="false">IF($I50&gt;0%,IF(AND(EV$16&gt;=$F50,EV$16&lt;$F50+($G50*$I50)),"➤",""),"")</f>
        <v/>
      </c>
      <c r="EW50" s="76" t="str">
        <f aca="false">IF($I50&gt;0%,IF(AND(EW$16&gt;=$F50,EW$16&lt;$F50+($G50*$I50)),"➤",""),"")</f>
        <v/>
      </c>
      <c r="EX50" s="76" t="str">
        <f aca="false">IF($I50&gt;0%,IF(AND(EX$16&gt;=$F50,EX$16&lt;$F50+($G50*$I50)),"➤",""),"")</f>
        <v/>
      </c>
      <c r="EY50" s="76" t="str">
        <f aca="false">IF($I50&gt;0%,IF(AND(EY$16&gt;=$F50,EY$16&lt;$F50+($G50*$I50)),"➤",""),"")</f>
        <v/>
      </c>
      <c r="EZ50" s="76" t="str">
        <f aca="false">IF($I50&gt;0%,IF(AND(EZ$16&gt;=$F50,EZ$16&lt;$F50+($G50*$I50)),"➤",""),"")</f>
        <v/>
      </c>
      <c r="FA50" s="76" t="str">
        <f aca="false">IF($I50&gt;0%,IF(AND(FA$16&gt;=$F50,FA$16&lt;$F50+($G50*$I50)),"➤",""),"")</f>
        <v/>
      </c>
      <c r="FB50" s="76" t="str">
        <f aca="false">IF($I50&gt;0%,IF(AND(FB$16&gt;=$F50,FB$16&lt;$F50+($G50*$I50)),"➤",""),"")</f>
        <v/>
      </c>
      <c r="FC50" s="76" t="str">
        <f aca="false">IF($I50&gt;0%,IF(AND(FC$16&gt;=$F50,FC$16&lt;$F50+($G50*$I50)),"➤",""),"")</f>
        <v/>
      </c>
      <c r="FD50" s="76" t="str">
        <f aca="false">IF($I50&gt;0%,IF(AND(FD$16&gt;=$F50,FD$16&lt;$F50+($G50*$I50)),"➤",""),"")</f>
        <v/>
      </c>
      <c r="FE50" s="76" t="str">
        <f aca="false">IF($I50&gt;0%,IF(AND(FE$16&gt;=$F50,FE$16&lt;$F50+($G50*$I50)),"➤",""),"")</f>
        <v/>
      </c>
      <c r="FF50" s="76" t="str">
        <f aca="false">IF($I50&gt;0%,IF(AND(FF$16&gt;=$F50,FF$16&lt;$F50+($G50*$I50)),"➤",""),"")</f>
        <v/>
      </c>
      <c r="FG50" s="76" t="str">
        <f aca="false">IF($I50&gt;0%,IF(AND(FG$16&gt;=$F50,FG$16&lt;$F50+($G50*$I50)),"➤",""),"")</f>
        <v/>
      </c>
      <c r="FH50" s="76" t="str">
        <f aca="false">IF($I50&gt;0%,IF(AND(FH$16&gt;=$F50,FH$16&lt;$F50+($G50*$I50)),"➤",""),"")</f>
        <v/>
      </c>
      <c r="FI50" s="76" t="str">
        <f aca="false">IF($I50&gt;0%,IF(AND(FI$16&gt;=$F50,FI$16&lt;$F50+($G50*$I50)),"➤",""),"")</f>
        <v/>
      </c>
      <c r="FJ50" s="76" t="str">
        <f aca="false">IF($I50&gt;0%,IF(AND(FJ$16&gt;=$F50,FJ$16&lt;$F50+($G50*$I50)),"➤",""),"")</f>
        <v/>
      </c>
      <c r="FK50" s="76" t="str">
        <f aca="false">IF($I50&gt;0%,IF(AND(FK$16&gt;=$F50,FK$16&lt;$F50+($G50*$I50)),"➤",""),"")</f>
        <v/>
      </c>
      <c r="FL50" s="76" t="str">
        <f aca="false">IF($I50&gt;0%,IF(AND(FL$16&gt;=$F50,FL$16&lt;$F50+($G50*$I50)),"➤",""),"")</f>
        <v/>
      </c>
      <c r="FM50" s="76" t="str">
        <f aca="false">IF($I50&gt;0%,IF(AND(FM$16&gt;=$F50,FM$16&lt;$F50+($G50*$I50)),"➤",""),"")</f>
        <v/>
      </c>
      <c r="FN50" s="76" t="str">
        <f aca="false">IF($I50&gt;0%,IF(AND(FN$16&gt;=$F50,FN$16&lt;$F50+($G50*$I50)),"➤",""),"")</f>
        <v/>
      </c>
      <c r="FO50" s="76" t="str">
        <f aca="false">IF($I50&gt;0%,IF(AND(FO$16&gt;=$F50,FO$16&lt;$F50+($G50*$I50)),"➤",""),"")</f>
        <v/>
      </c>
      <c r="FP50" s="76" t="str">
        <f aca="false">IF($I50&gt;0%,IF(AND(FP$16&gt;=$F50,FP$16&lt;$F50+($G50*$I50)),"➤",""),"")</f>
        <v/>
      </c>
      <c r="FQ50" s="76" t="str">
        <f aca="false">IF($I50&gt;0%,IF(AND(FQ$16&gt;=$F50,FQ$16&lt;$F50+($G50*$I50)),"➤",""),"")</f>
        <v/>
      </c>
      <c r="FR50" s="76" t="str">
        <f aca="false">IF($I50&gt;0%,IF(AND(FR$16&gt;=$F50,FR$16&lt;$F50+($G50*$I50)),"➤",""),"")</f>
        <v/>
      </c>
      <c r="FS50" s="76" t="str">
        <f aca="false">IF($I50&gt;0%,IF(AND(FS$16&gt;=$F50,FS$16&lt;$F50+($G50*$I50)),"➤",""),"")</f>
        <v/>
      </c>
      <c r="FT50" s="76" t="str">
        <f aca="false">IF($I50&gt;0%,IF(AND(FT$16&gt;=$F50,FT$16&lt;$F50+($G50*$I50)),"➤",""),"")</f>
        <v/>
      </c>
      <c r="FU50" s="76" t="str">
        <f aca="false">IF($I50&gt;0%,IF(AND(FU$16&gt;=$F50,FU$16&lt;$F50+($G50*$I50)),"➤",""),"")</f>
        <v/>
      </c>
      <c r="FV50" s="76" t="str">
        <f aca="false">IF($I50&gt;0%,IF(AND(FV$16&gt;=$F50,FV$16&lt;$F50+($G50*$I50)),"➤",""),"")</f>
        <v/>
      </c>
      <c r="FW50" s="76" t="str">
        <f aca="false">IF($I50&gt;0%,IF(AND(FW$16&gt;=$F50,FW$16&lt;$F50+($G50*$I50)),"➤",""),"")</f>
        <v/>
      </c>
      <c r="FX50" s="76" t="str">
        <f aca="false">IF($I50&gt;0%,IF(AND(FX$16&gt;=$F50,FX$16&lt;$F50+($G50*$I50)),"➤",""),"")</f>
        <v/>
      </c>
      <c r="FY50" s="76" t="str">
        <f aca="false">IF($I50&gt;0%,IF(AND(FY$16&gt;=$F50,FY$16&lt;$F50+($G50*$I50)),"➤",""),"")</f>
        <v/>
      </c>
      <c r="FZ50" s="76" t="str">
        <f aca="false">IF($I50&gt;0%,IF(AND(FZ$16&gt;=$F50,FZ$16&lt;$F50+($G50*$I50)),"➤",""),"")</f>
        <v/>
      </c>
      <c r="GA50" s="76" t="str">
        <f aca="false">IF($I50&gt;0%,IF(AND(GA$16&gt;=$F50,GA$16&lt;$F50+($G50*$I50)),"➤",""),"")</f>
        <v/>
      </c>
      <c r="GB50" s="76" t="str">
        <f aca="false">IF($I50&gt;0%,IF(AND(GB$16&gt;=$F50,GB$16&lt;$F50+($G50*$I50)),"➤",""),"")</f>
        <v/>
      </c>
      <c r="GC50" s="76" t="str">
        <f aca="false">IF($I50&gt;0%,IF(AND(GC$16&gt;=$F50,GC$16&lt;$F50+($G50*$I50)),"➤",""),"")</f>
        <v/>
      </c>
      <c r="GD50" s="76" t="str">
        <f aca="false">IF($I50&gt;0%,IF(AND(GD$16&gt;=$F50,GD$16&lt;$F50+($G50*$I50)),"➤",""),"")</f>
        <v/>
      </c>
      <c r="GE50" s="76" t="str">
        <f aca="false">IF($I50&gt;0%,IF(AND(GE$16&gt;=$F50,GE$16&lt;$F50+($G50*$I50)),"➤",""),"")</f>
        <v/>
      </c>
      <c r="GF50" s="76" t="str">
        <f aca="false">IF($I50&gt;0%,IF(AND(GF$16&gt;=$F50,GF$16&lt;$F50+($G50*$I50)),"➤",""),"")</f>
        <v/>
      </c>
      <c r="GG50" s="76" t="str">
        <f aca="false">IF($I50&gt;0%,IF(AND(GG$16&gt;=$F50,GG$16&lt;$F50+($G50*$I50)),"➤",""),"")</f>
        <v/>
      </c>
      <c r="GH50" s="76" t="str">
        <f aca="false">IF($I50&gt;0%,IF(AND(GH$16&gt;=$F50,GH$16&lt;$F50+($G50*$I50)),"➤",""),"")</f>
        <v/>
      </c>
      <c r="GI50" s="76" t="str">
        <f aca="false">IF($I50&gt;0%,IF(AND(GI$16&gt;=$F50,GI$16&lt;$F50+($G50*$I50)),"➤",""),"")</f>
        <v/>
      </c>
      <c r="GJ50" s="76" t="str">
        <f aca="false">IF($I50&gt;0%,IF(AND(GJ$16&gt;=$F50,GJ$16&lt;$F50+($G50*$I50)),"➤",""),"")</f>
        <v/>
      </c>
      <c r="GK50" s="76" t="str">
        <f aca="false">IF($I50&gt;0%,IF(AND(GK$16&gt;=$F50,GK$16&lt;$F50+($G50*$I50)),"➤",""),"")</f>
        <v/>
      </c>
      <c r="GL50" s="76" t="str">
        <f aca="false">IF($I50&gt;0%,IF(AND(GL$16&gt;=$F50,GL$16&lt;$F50+($G50*$I50)),"➤",""),"")</f>
        <v/>
      </c>
      <c r="GM50" s="76" t="str">
        <f aca="false">IF($I50&gt;0%,IF(AND(GM$16&gt;=$F50,GM$16&lt;$F50+($G50*$I50)),"➤",""),"")</f>
        <v/>
      </c>
      <c r="GN50" s="76" t="str">
        <f aca="false">IF($I50&gt;0%,IF(AND(GN$16&gt;=$F50,GN$16&lt;$F50+($G50*$I50)),"➤",""),"")</f>
        <v/>
      </c>
      <c r="GO50" s="76" t="str">
        <f aca="false">IF($I50&gt;0%,IF(AND(GO$16&gt;=$F50,GO$16&lt;$F50+($G50*$I50)),"➤",""),"")</f>
        <v/>
      </c>
      <c r="GP50" s="76" t="str">
        <f aca="false">IF($I50&gt;0%,IF(AND(GP$16&gt;=$F50,GP$16&lt;$F50+($G50*$I50)),"➤",""),"")</f>
        <v/>
      </c>
      <c r="GQ50" s="76" t="str">
        <f aca="false">IF($I50&gt;0%,IF(AND(GQ$16&gt;=$F50,GQ$16&lt;$F50+($G50*$I50)),"➤",""),"")</f>
        <v/>
      </c>
      <c r="GR50" s="76" t="str">
        <f aca="false">IF($I50&gt;0%,IF(AND(GR$16&gt;=$F50,GR$16&lt;$F50+($G50*$I50)),"➤",""),"")</f>
        <v/>
      </c>
      <c r="GS50" s="76" t="str">
        <f aca="false">IF($I50&gt;0%,IF(AND(GS$16&gt;=$F50,GS$16&lt;$F50+($G50*$I50)),"➤",""),"")</f>
        <v/>
      </c>
      <c r="GT50" s="76" t="str">
        <f aca="false">IF($I50&gt;0%,IF(AND(GT$16&gt;=$F50,GT$16&lt;$F50+($G50*$I50)),"➤",""),"")</f>
        <v/>
      </c>
      <c r="GU50" s="76" t="str">
        <f aca="false">IF($I50&gt;0%,IF(AND(GU$16&gt;=$F50,GU$16&lt;$F50+($G50*$I50)),"➤",""),"")</f>
        <v/>
      </c>
      <c r="GV50" s="76" t="str">
        <f aca="false">IF($I50&gt;0%,IF(AND(GV$16&gt;=$F50,GV$16&lt;$F50+($G50*$I50)),"➤",""),"")</f>
        <v/>
      </c>
      <c r="GW50" s="76" t="str">
        <f aca="false">IF($I50&gt;0%,IF(AND(GW$16&gt;=$F50,GW$16&lt;$F50+($G50*$I50)),"➤",""),"")</f>
        <v/>
      </c>
      <c r="GX50" s="76" t="str">
        <f aca="false">IF($I50&gt;0%,IF(AND(GX$16&gt;=$F50,GX$16&lt;$F50+($G50*$I50)),"➤",""),"")</f>
        <v/>
      </c>
      <c r="GY50" s="76" t="str">
        <f aca="false">IF($I50&gt;0%,IF(AND(GY$16&gt;=$F50,GY$16&lt;$F50+($G50*$I50)),"➤",""),"")</f>
        <v/>
      </c>
      <c r="GZ50" s="76" t="str">
        <f aca="false">IF($I50&gt;0%,IF(AND(GZ$16&gt;=$F50,GZ$16&lt;$F50+($G50*$I50)),"➤",""),"")</f>
        <v/>
      </c>
      <c r="HA50" s="76" t="str">
        <f aca="false">IF($I50&gt;0%,IF(AND(HA$16&gt;=$F50,HA$16&lt;$F50+($G50*$I50)),"➤",""),"")</f>
        <v/>
      </c>
      <c r="HB50" s="76" t="str">
        <f aca="false">IF($I50&gt;0%,IF(AND(HB$16&gt;=$F50,HB$16&lt;$F50+($G50*$I50)),"➤",""),"")</f>
        <v/>
      </c>
      <c r="HC50" s="76" t="str">
        <f aca="false">IF($I50&gt;0%,IF(AND(HC$16&gt;=$F50,HC$16&lt;$F50+($G50*$I50)),"➤",""),"")</f>
        <v/>
      </c>
      <c r="HD50" s="76" t="str">
        <f aca="false">IF($I50&gt;0%,IF(AND(HD$16&gt;=$F50,HD$16&lt;$F50+($G50*$I50)),"➤",""),"")</f>
        <v/>
      </c>
      <c r="HE50" s="76" t="str">
        <f aca="false">IF($I50&gt;0%,IF(AND(HE$16&gt;=$F50,HE$16&lt;$F50+($G50*$I50)),"➤",""),"")</f>
        <v/>
      </c>
      <c r="HF50" s="76" t="str">
        <f aca="false">IF($I50&gt;0%,IF(AND(HF$16&gt;=$F50,HF$16&lt;$F50+($G50*$I50)),"➤",""),"")</f>
        <v/>
      </c>
      <c r="HG50" s="76" t="str">
        <f aca="false">IF($I50&gt;0%,IF(AND(HG$16&gt;=$F50,HG$16&lt;$F50+($G50*$I50)),"➤",""),"")</f>
        <v/>
      </c>
      <c r="HH50" s="76" t="str">
        <f aca="false">IF($I50&gt;0%,IF(AND(HH$16&gt;=$F50,HH$16&lt;$F50+($G50*$I50)),"➤",""),"")</f>
        <v/>
      </c>
      <c r="HI50" s="76" t="str">
        <f aca="false">IF($I50&gt;0%,IF(AND(HI$16&gt;=$F50,HI$16&lt;$F50+($G50*$I50)),"➤",""),"")</f>
        <v/>
      </c>
      <c r="HJ50" s="76" t="str">
        <f aca="false">IF($I50&gt;0%,IF(AND(HJ$16&gt;=$F50,HJ$16&lt;$F50+($G50*$I50)),"➤",""),"")</f>
        <v/>
      </c>
      <c r="HK50" s="76" t="str">
        <f aca="false">IF($I50&gt;0%,IF(AND(HK$16&gt;=$F50,HK$16&lt;$F50+($G50*$I50)),"➤",""),"")</f>
        <v/>
      </c>
      <c r="HL50" s="76" t="str">
        <f aca="false">IF($I50&gt;0%,IF(AND(HL$16&gt;=$F50,HL$16&lt;$F50+($G50*$I50)),"➤",""),"")</f>
        <v/>
      </c>
      <c r="HM50" s="76" t="str">
        <f aca="false">IF($I50&gt;0%,IF(AND(HM$16&gt;=$F50,HM$16&lt;$F50+($G50*$I50)),"➤",""),"")</f>
        <v/>
      </c>
      <c r="HN50" s="76" t="str">
        <f aca="false">IF($I50&gt;0%,IF(AND(HN$16&gt;=$F50,HN$16&lt;$F50+($G50*$I50)),"➤",""),"")</f>
        <v/>
      </c>
      <c r="HO50" s="76" t="str">
        <f aca="false">IF($I50&gt;0%,IF(AND(HO$16&gt;=$F50,HO$16&lt;$F50+($G50*$I50)),"➤",""),"")</f>
        <v/>
      </c>
      <c r="HP50" s="76" t="str">
        <f aca="false">IF($I50&gt;0%,IF(AND(HP$16&gt;=$F50,HP$16&lt;$F50+($G50*$I50)),"➤",""),"")</f>
        <v/>
      </c>
      <c r="HQ50" s="76" t="str">
        <f aca="false">IF($I50&gt;0%,IF(AND(HQ$16&gt;=$F50,HQ$16&lt;$F50+($G50*$I50)),"➤",""),"")</f>
        <v/>
      </c>
      <c r="HR50" s="76" t="str">
        <f aca="false">IF($I50&gt;0%,IF(AND(HR$16&gt;=$F50,HR$16&lt;$F50+($G50*$I50)),"➤",""),"")</f>
        <v/>
      </c>
      <c r="HS50" s="76" t="str">
        <f aca="false">IF($I50&gt;0%,IF(AND(HS$16&gt;=$F50,HS$16&lt;$F50+($G50*$I50)),"➤",""),"")</f>
        <v/>
      </c>
      <c r="HT50" s="76" t="str">
        <f aca="false">IF($I50&gt;0%,IF(AND(HT$16&gt;=$F50,HT$16&lt;$F50+($G50*$I50)),"➤",""),"")</f>
        <v/>
      </c>
      <c r="HU50" s="76" t="str">
        <f aca="false">IF($I50&gt;0%,IF(AND(HU$16&gt;=$F50,HU$16&lt;$F50+($G50*$I50)),"➤",""),"")</f>
        <v/>
      </c>
      <c r="HV50" s="76" t="str">
        <f aca="false">IF($I50&gt;0%,IF(AND(HV$16&gt;=$F50,HV$16&lt;$F50+($G50*$I50)),"➤",""),"")</f>
        <v/>
      </c>
      <c r="HW50" s="76" t="str">
        <f aca="false">IF($I50&gt;0%,IF(AND(HW$16&gt;=$F50,HW$16&lt;$F50+($G50*$I50)),"➤",""),"")</f>
        <v/>
      </c>
      <c r="HX50" s="76" t="str">
        <f aca="false">IF($I50&gt;0%,IF(AND(HX$16&gt;=$F50,HX$16&lt;$F50+($G50*$I50)),"➤",""),"")</f>
        <v/>
      </c>
      <c r="HY50" s="76" t="str">
        <f aca="false">IF($I50&gt;0%,IF(AND(HY$16&gt;=$F50,HY$16&lt;$F50+($G50*$I50)),"➤",""),"")</f>
        <v/>
      </c>
      <c r="HZ50" s="76" t="str">
        <f aca="false">IF($I50&gt;0%,IF(AND(HZ$16&gt;=$F50,HZ$16&lt;$F50+($G50*$I50)),"➤",""),"")</f>
        <v/>
      </c>
      <c r="IA50" s="76" t="str">
        <f aca="false">IF($I50&gt;0%,IF(AND(IA$16&gt;=$F50,IA$16&lt;$F50+($G50*$I50)),"➤",""),"")</f>
        <v/>
      </c>
      <c r="IB50" s="76" t="str">
        <f aca="false">IF($I50&gt;0%,IF(AND(IB$16&gt;=$F50,IB$16&lt;$F50+($G50*$I50)),"➤",""),"")</f>
        <v/>
      </c>
      <c r="IC50" s="76" t="str">
        <f aca="false">IF($I50&gt;0%,IF(AND(IC$16&gt;=$F50,IC$16&lt;$F50+($G50*$I50)),"➤",""),"")</f>
        <v/>
      </c>
      <c r="ID50" s="76" t="str">
        <f aca="false">IF($I50&gt;0%,IF(AND(ID$16&gt;=$F50,ID$16&lt;$F50+($G50*$I50)),"➤",""),"")</f>
        <v/>
      </c>
      <c r="IE50" s="76" t="str">
        <f aca="false">IF($I50&gt;0%,IF(AND(IE$16&gt;=$F50,IE$16&lt;$F50+($G50*$I50)),"➤",""),"")</f>
        <v/>
      </c>
      <c r="IF50" s="76" t="str">
        <f aca="false">IF($I50&gt;0%,IF(AND(IF$16&gt;=$F50,IF$16&lt;$F50+($G50*$I50)),"➤",""),"")</f>
        <v/>
      </c>
      <c r="IG50" s="76" t="str">
        <f aca="false">IF($I50&gt;0%,IF(AND(IG$16&gt;=$F50,IG$16&lt;$F50+($G50*$I50)),"➤",""),"")</f>
        <v/>
      </c>
      <c r="IH50" s="76" t="str">
        <f aca="false">IF($I50&gt;0%,IF(AND(IH$16&gt;=$F50,IH$16&lt;$F50+($G50*$I50)),"➤",""),"")</f>
        <v/>
      </c>
      <c r="II50" s="76" t="str">
        <f aca="false">IF($I50&gt;0%,IF(AND(II$16&gt;=$F50,II$16&lt;$F50+($G50*$I50)),"➤",""),"")</f>
        <v/>
      </c>
      <c r="IJ50" s="76" t="str">
        <f aca="false">IF($I50&gt;0%,IF(AND(IJ$16&gt;=$F50,IJ$16&lt;$F50+($G50*$I50)),"➤",""),"")</f>
        <v/>
      </c>
      <c r="IK50" s="76" t="str">
        <f aca="false">IF($I50&gt;0%,IF(AND(IK$16&gt;=$F50,IK$16&lt;$F50+($G50*$I50)),"➤",""),"")</f>
        <v/>
      </c>
      <c r="IL50" s="76" t="str">
        <f aca="false">IF($I50&gt;0%,IF(AND(IL$16&gt;=$F50,IL$16&lt;$F50+($G50*$I50)),"➤",""),"")</f>
        <v/>
      </c>
      <c r="IM50" s="76" t="str">
        <f aca="false">IF($I50&gt;0%,IF(AND(IM$16&gt;=$F50,IM$16&lt;$F50+($G50*$I50)),"➤",""),"")</f>
        <v/>
      </c>
      <c r="IN50" s="76" t="str">
        <f aca="false">IF($I50&gt;0%,IF(AND(IN$16&gt;=$F50,IN$16&lt;$F50+($G50*$I50)),"➤",""),"")</f>
        <v/>
      </c>
      <c r="IO50" s="76" t="str">
        <f aca="false">IF($I50&gt;0%,IF(AND(IO$16&gt;=$F50,IO$16&lt;$F50+($G50*$I50)),"➤",""),"")</f>
        <v/>
      </c>
      <c r="IP50" s="76" t="str">
        <f aca="false">IF($I50&gt;0%,IF(AND(IP$16&gt;=$F50,IP$16&lt;$F50+($G50*$I50)),"➤",""),"")</f>
        <v/>
      </c>
      <c r="IQ50" s="76" t="str">
        <f aca="false">IF($I50&gt;0%,IF(AND(IQ$16&gt;=$F50,IQ$16&lt;$F50+($G50*$I50)),"➤",""),"")</f>
        <v/>
      </c>
      <c r="IR50" s="76" t="str">
        <f aca="false">IF($I50&gt;0%,IF(AND(IR$16&gt;=$F50,IR$16&lt;$F50+($G50*$I50)),"➤",""),"")</f>
        <v/>
      </c>
      <c r="IS50" s="76" t="str">
        <f aca="false">IF($I50&gt;0%,IF(AND(IS$16&gt;=$F50,IS$16&lt;$F50+($G50*$I50)),"➤",""),"")</f>
        <v/>
      </c>
      <c r="IT50" s="76" t="str">
        <f aca="false">IF($I50&gt;0%,IF(AND(IT$16&gt;=$F50,IT$16&lt;$F50+($G50*$I50)),"➤",""),"")</f>
        <v/>
      </c>
      <c r="IU50" s="76" t="str">
        <f aca="false">IF($I50&gt;0%,IF(AND(IU$16&gt;=$F50,IU$16&lt;$F50+($G50*$I50)),"➤",""),"")</f>
        <v/>
      </c>
      <c r="IV50" s="76" t="str">
        <f aca="false">IF($I50&gt;0%,IF(AND(IV$16&gt;=$F50,IV$16&lt;$F50+($G50*$I50)),"➤",""),"")</f>
        <v/>
      </c>
      <c r="IW50" s="76" t="str">
        <f aca="false">IF($I50&gt;0%,IF(AND(IW$16&gt;=$F50,IW$16&lt;$F50+($G50*$I50)),"➤",""),"")</f>
        <v/>
      </c>
      <c r="IX50" s="76" t="str">
        <f aca="false">IF($I50&gt;0%,IF(AND(IX$16&gt;=$F50,IX$16&lt;$F50+($G50*$I50)),"➤",""),"")</f>
        <v/>
      </c>
      <c r="IY50" s="76" t="str">
        <f aca="false">IF($I50&gt;0%,IF(AND(IY$16&gt;=$F50,IY$16&lt;$F50+($G50*$I50)),"➤",""),"")</f>
        <v/>
      </c>
      <c r="IZ50" s="76" t="str">
        <f aca="false">IF($I50&gt;0%,IF(AND(IZ$16&gt;=$F50,IZ$16&lt;$F50+($G50*$I50)),"➤",""),"")</f>
        <v/>
      </c>
      <c r="JA50" s="76" t="str">
        <f aca="false">IF($I50&gt;0%,IF(AND(JA$16&gt;=$F50,JA$16&lt;$F50+($G50*$I50)),"➤",""),"")</f>
        <v/>
      </c>
      <c r="JB50" s="76" t="str">
        <f aca="false">IF($I50&gt;0%,IF(AND(JB$16&gt;=$F50,JB$16&lt;$F50+($G50*$I50)),"➤",""),"")</f>
        <v/>
      </c>
      <c r="JC50" s="76" t="str">
        <f aca="false">IF($I50&gt;0%,IF(AND(JC$16&gt;=$F50,JC$16&lt;$F50+($G50*$I50)),"➤",""),"")</f>
        <v/>
      </c>
      <c r="JD50" s="76" t="str">
        <f aca="false">IF($I50&gt;0%,IF(AND(JD$16&gt;=$F50,JD$16&lt;$F50+($G50*$I50)),"➤",""),"")</f>
        <v/>
      </c>
      <c r="JE50" s="76" t="str">
        <f aca="false">IF($I50&gt;0%,IF(AND(JE$16&gt;=$F50,JE$16&lt;$F50+($G50*$I50)),"➤",""),"")</f>
        <v/>
      </c>
      <c r="JF50" s="76" t="str">
        <f aca="false">IF($I50&gt;0%,IF(AND(JF$16&gt;=$F50,JF$16&lt;$F50+($G50*$I50)),"➤",""),"")</f>
        <v/>
      </c>
      <c r="JG50" s="76" t="str">
        <f aca="false">IF($I50&gt;0%,IF(AND(JG$16&gt;=$F50,JG$16&lt;$F50+($G50*$I50)),"➤",""),"")</f>
        <v/>
      </c>
      <c r="JH50" s="76" t="str">
        <f aca="false">IF($I50&gt;0%,IF(AND(JH$16&gt;=$F50,JH$16&lt;$F50+($G50*$I50)),"➤",""),"")</f>
        <v/>
      </c>
      <c r="JI50" s="76" t="str">
        <f aca="false">IF($I50&gt;0%,IF(AND(JI$16&gt;=$F50,JI$16&lt;$F50+($G50*$I50)),"➤",""),"")</f>
        <v/>
      </c>
      <c r="JJ50" s="76" t="str">
        <f aca="false">IF($I50&gt;0%,IF(AND(JJ$16&gt;=$F50,JJ$16&lt;$F50+($G50*$I50)),"➤",""),"")</f>
        <v/>
      </c>
      <c r="JK50" s="76" t="str">
        <f aca="false">IF($I50&gt;0%,IF(AND(JK$16&gt;=$F50,JK$16&lt;$F50+($G50*$I50)),"➤",""),"")</f>
        <v/>
      </c>
      <c r="JL50" s="76" t="str">
        <f aca="false">IF($I50&gt;0%,IF(AND(JL$16&gt;=$F50,JL$16&lt;$F50+($G50*$I50)),"➤",""),"")</f>
        <v/>
      </c>
      <c r="JM50" s="76" t="str">
        <f aca="false">IF($I50&gt;0%,IF(AND(JM$16&gt;=$F50,JM$16&lt;$F50+($G50*$I50)),"➤",""),"")</f>
        <v/>
      </c>
      <c r="JN50" s="76" t="str">
        <f aca="false">IF($I50&gt;0%,IF(AND(JN$16&gt;=$F50,JN$16&lt;$F50+($G50*$I50)),"➤",""),"")</f>
        <v/>
      </c>
      <c r="JO50" s="76" t="str">
        <f aca="false">IF($I50&gt;0%,IF(AND(JO$16&gt;=$F50,JO$16&lt;$F50+($G50*$I50)),"➤",""),"")</f>
        <v/>
      </c>
      <c r="JP50" s="76" t="str">
        <f aca="false">IF($I50&gt;0%,IF(AND(JP$16&gt;=$F50,JP$16&lt;$F50+($G50*$I50)),"➤",""),"")</f>
        <v/>
      </c>
      <c r="JQ50" s="76" t="str">
        <f aca="false">IF($I50&gt;0%,IF(AND(JQ$16&gt;=$F50,JQ$16&lt;$F50+($G50*$I50)),"➤",""),"")</f>
        <v/>
      </c>
      <c r="JR50" s="76" t="str">
        <f aca="false">IF($I50&gt;0%,IF(AND(JR$16&gt;=$F50,JR$16&lt;$F50+($G50*$I50)),"➤",""),"")</f>
        <v/>
      </c>
      <c r="JS50" s="76" t="str">
        <f aca="false">IF($I50&gt;0%,IF(AND(JS$16&gt;=$F50,JS$16&lt;$F50+($G50*$I50)),"➤",""),"")</f>
        <v/>
      </c>
      <c r="JT50" s="76" t="str">
        <f aca="false">IF($I50&gt;0%,IF(AND(JT$16&gt;=$F50,JT$16&lt;$F50+($G50*$I50)),"➤",""),"")</f>
        <v/>
      </c>
      <c r="JU50" s="76" t="str">
        <f aca="false">IF($I50&gt;0%,IF(AND(JU$16&gt;=$F50,JU$16&lt;$F50+($G50*$I50)),"➤",""),"")</f>
        <v/>
      </c>
      <c r="JV50" s="76" t="str">
        <f aca="false">IF($I50&gt;0%,IF(AND(JV$16&gt;=$F50,JV$16&lt;$F50+($G50*$I50)),"➤",""),"")</f>
        <v/>
      </c>
      <c r="JW50" s="76" t="str">
        <f aca="false">IF($I50&gt;0%,IF(AND(JW$16&gt;=$F50,JW$16&lt;$F50+($G50*$I50)),"➤",""),"")</f>
        <v/>
      </c>
      <c r="JX50" s="76" t="str">
        <f aca="false">IF($I50&gt;0%,IF(AND(JX$16&gt;=$F50,JX$16&lt;$F50+($G50*$I50)),"➤",""),"")</f>
        <v/>
      </c>
      <c r="JY50" s="76" t="str">
        <f aca="false">IF($I50&gt;0%,IF(AND(JY$16&gt;=$F50,JY$16&lt;$F50+($G50*$I50)),"➤",""),"")</f>
        <v/>
      </c>
      <c r="JZ50" s="76" t="str">
        <f aca="false">IF($I50&gt;0%,IF(AND(JZ$16&gt;=$F50,JZ$16&lt;$F50+($G50*$I50)),"➤",""),"")</f>
        <v/>
      </c>
      <c r="KA50" s="76" t="str">
        <f aca="false">IF($I50&gt;0%,IF(AND(KA$16&gt;=$F50,KA$16&lt;$F50+($G50*$I50)),"➤",""),"")</f>
        <v/>
      </c>
      <c r="KB50" s="76" t="str">
        <f aca="false">IF($I50&gt;0%,IF(AND(KB$16&gt;=$F50,KB$16&lt;$F50+($G50*$I50)),"➤",""),"")</f>
        <v/>
      </c>
      <c r="KC50" s="76" t="str">
        <f aca="false">IF($I50&gt;0%,IF(AND(KC$16&gt;=$F50,KC$16&lt;$F50+($G50*$I50)),"➤",""),"")</f>
        <v/>
      </c>
      <c r="KD50" s="76" t="str">
        <f aca="false">IF($I50&gt;0%,IF(AND(KD$16&gt;=$F50,KD$16&lt;$F50+($G50*$I50)),"➤",""),"")</f>
        <v/>
      </c>
      <c r="KE50" s="76" t="str">
        <f aca="false">IF($I50&gt;0%,IF(AND(KE$16&gt;=$F50,KE$16&lt;$F50+($G50*$I50)),"➤",""),"")</f>
        <v/>
      </c>
      <c r="KF50" s="76" t="str">
        <f aca="false">IF($I50&gt;0%,IF(AND(KF$16&gt;=$F50,KF$16&lt;$F50+($G50*$I50)),"➤",""),"")</f>
        <v/>
      </c>
      <c r="KG50" s="76" t="str">
        <f aca="false">IF($I50&gt;0%,IF(AND(KG$16&gt;=$F50,KG$16&lt;$F50+($G50*$I50)),"➤",""),"")</f>
        <v/>
      </c>
      <c r="KH50" s="76" t="str">
        <f aca="false">IF($I50&gt;0%,IF(AND(KH$16&gt;=$F50,KH$16&lt;$F50+($G50*$I50)),"➤",""),"")</f>
        <v/>
      </c>
      <c r="KI50" s="76" t="str">
        <f aca="false">IF($I50&gt;0%,IF(AND(KI$16&gt;=$F50,KI$16&lt;$F50+($G50*$I50)),"➤",""),"")</f>
        <v/>
      </c>
      <c r="KJ50" s="76" t="str">
        <f aca="false">IF($I50&gt;0%,IF(AND(KJ$16&gt;=$F50,KJ$16&lt;$F50+($G50*$I50)),"➤",""),"")</f>
        <v/>
      </c>
      <c r="KK50" s="76" t="str">
        <f aca="false">IF($I50&gt;0%,IF(AND(KK$16&gt;=$F50,KK$16&lt;$F50+($G50*$I50)),"➤",""),"")</f>
        <v/>
      </c>
      <c r="KL50" s="76" t="str">
        <f aca="false">IF($I50&gt;0%,IF(AND(KL$16&gt;=$F50,KL$16&lt;$F50+($G50*$I50)),"➤",""),"")</f>
        <v/>
      </c>
      <c r="KM50" s="76" t="str">
        <f aca="false">IF($I50&gt;0%,IF(AND(KM$16&gt;=$F50,KM$16&lt;$F50+($G50*$I50)),"➤",""),"")</f>
        <v/>
      </c>
      <c r="KN50" s="76" t="str">
        <f aca="false">IF($I50&gt;0%,IF(AND(KN$16&gt;=$F50,KN$16&lt;$F50+($G50*$I50)),"➤",""),"")</f>
        <v/>
      </c>
      <c r="KO50" s="76" t="str">
        <f aca="false">IF($I50&gt;0%,IF(AND(KO$16&gt;=$F50,KO$16&lt;$F50+($G50*$I50)),"➤",""),"")</f>
        <v/>
      </c>
      <c r="KP50" s="76" t="str">
        <f aca="false">IF($I50&gt;0%,IF(AND(KP$16&gt;=$F50,KP$16&lt;$F50+($G50*$I50)),"➤",""),"")</f>
        <v/>
      </c>
      <c r="KQ50" s="76" t="str">
        <f aca="false">IF($I50&gt;0%,IF(AND(KQ$16&gt;=$F50,KQ$16&lt;$F50+($G50*$I50)),"➤",""),"")</f>
        <v/>
      </c>
      <c r="KR50" s="76" t="str">
        <f aca="false">IF($I50&gt;0%,IF(AND(KR$16&gt;=$F50,KR$16&lt;$F50+($G50*$I50)),"➤",""),"")</f>
        <v/>
      </c>
      <c r="KS50" s="76" t="str">
        <f aca="false">IF($I50&gt;0%,IF(AND(KS$16&gt;=$F50,KS$16&lt;$F50+($G50*$I50)),"➤",""),"")</f>
        <v/>
      </c>
      <c r="KT50" s="76" t="str">
        <f aca="false">IF($I50&gt;0%,IF(AND(KT$16&gt;=$F50,KT$16&lt;$F50+($G50*$I50)),"➤",""),"")</f>
        <v/>
      </c>
      <c r="KU50" s="76" t="str">
        <f aca="false">IF($I50&gt;0%,IF(AND(KU$16&gt;=$F50,KU$16&lt;$F50+($G50*$I50)),"➤",""),"")</f>
        <v/>
      </c>
      <c r="KV50" s="76" t="str">
        <f aca="false">IF($I50&gt;0%,IF(AND(KV$16&gt;=$F50,KV$16&lt;$F50+($G50*$I50)),"➤",""),"")</f>
        <v/>
      </c>
      <c r="KW50" s="76" t="str">
        <f aca="false">IF($I50&gt;0%,IF(AND(KW$16&gt;=$F50,KW$16&lt;$F50+($G50*$I50)),"➤",""),"")</f>
        <v/>
      </c>
      <c r="KX50" s="76" t="str">
        <f aca="false">IF($I50&gt;0%,IF(AND(KX$16&gt;=$F50,KX$16&lt;$F50+($G50*$I50)),"➤",""),"")</f>
        <v/>
      </c>
      <c r="KY50" s="76" t="str">
        <f aca="false">IF($I50&gt;0%,IF(AND(KY$16&gt;=$F50,KY$16&lt;$F50+($G50*$I50)),"➤",""),"")</f>
        <v/>
      </c>
      <c r="KZ50" s="76" t="str">
        <f aca="false">IF($I50&gt;0%,IF(AND(KZ$16&gt;=$F50,KZ$16&lt;$F50+($G50*$I50)),"➤",""),"")</f>
        <v/>
      </c>
      <c r="LA50" s="76" t="str">
        <f aca="false">IF($I50&gt;0%,IF(AND(LA$16&gt;=$F50,LA$16&lt;$F50+($G50*$I50)),"➤",""),"")</f>
        <v/>
      </c>
      <c r="LB50" s="76" t="str">
        <f aca="false">IF($I50&gt;0%,IF(AND(LB$16&gt;=$F50,LB$16&lt;$F50+($G50*$I50)),"➤",""),"")</f>
        <v/>
      </c>
      <c r="LC50" s="76" t="str">
        <f aca="false">IF($I50&gt;0%,IF(AND(LC$16&gt;=$F50,LC$16&lt;$F50+($G50*$I50)),"➤",""),"")</f>
        <v/>
      </c>
      <c r="LD50" s="76" t="str">
        <f aca="false">IF($I50&gt;0%,IF(AND(LD$16&gt;=$F50,LD$16&lt;$F50+($G50*$I50)),"➤",""),"")</f>
        <v/>
      </c>
      <c r="LE50" s="76" t="str">
        <f aca="false">IF($I50&gt;0%,IF(AND(LE$16&gt;=$F50,LE$16&lt;$F50+($G50*$I50)),"➤",""),"")</f>
        <v/>
      </c>
      <c r="LF50" s="76" t="str">
        <f aca="false">IF($I50&gt;0%,IF(AND(LF$16&gt;=$F50,LF$16&lt;$F50+($G50*$I50)),"➤",""),"")</f>
        <v/>
      </c>
      <c r="LG50" s="76" t="str">
        <f aca="false">IF($I50&gt;0%,IF(AND(LG$16&gt;=$F50,LG$16&lt;$F50+($G50*$I50)),"➤",""),"")</f>
        <v/>
      </c>
      <c r="LH50" s="76" t="str">
        <f aca="false">IF($I50&gt;0%,IF(AND(LH$16&gt;=$F50,LH$16&lt;$F50+($G50*$I50)),"➤",""),"")</f>
        <v/>
      </c>
      <c r="LI50" s="76" t="str">
        <f aca="false">IF($I50&gt;0%,IF(AND(LI$16&gt;=$F50,LI$16&lt;$F50+($G50*$I50)),"➤",""),"")</f>
        <v/>
      </c>
      <c r="LJ50" s="76" t="str">
        <f aca="false">IF($I50&gt;0%,IF(AND(LJ$16&gt;=$F50,LJ$16&lt;$F50+($G50*$I50)),"➤",""),"")</f>
        <v/>
      </c>
      <c r="LK50" s="76" t="str">
        <f aca="false">IF($I50&gt;0%,IF(AND(LK$16&gt;=$F50,LK$16&lt;$F50+($G50*$I50)),"➤",""),"")</f>
        <v/>
      </c>
      <c r="LL50" s="76" t="str">
        <f aca="false">IF($I50&gt;0%,IF(AND(LL$16&gt;=$F50,LL$16&lt;$F50+($G50*$I50)),"➤",""),"")</f>
        <v/>
      </c>
      <c r="LM50" s="76" t="str">
        <f aca="false">IF($I50&gt;0%,IF(AND(LM$16&gt;=$F50,LM$16&lt;$F50+($G50*$I50)),"➤",""),"")</f>
        <v/>
      </c>
      <c r="LN50" s="76" t="str">
        <f aca="false">IF($I50&gt;0%,IF(AND(LN$16&gt;=$F50,LN$16&lt;$F50+($G50*$I50)),"➤",""),"")</f>
        <v/>
      </c>
      <c r="LO50" s="76" t="str">
        <f aca="false">IF($I50&gt;0%,IF(AND(LO$16&gt;=$F50,LO$16&lt;$F50+($G50*$I50)),"➤",""),"")</f>
        <v/>
      </c>
      <c r="LP50" s="76" t="str">
        <f aca="false">IF($I50&gt;0%,IF(AND(LP$16&gt;=$F50,LP$16&lt;$F50+($G50*$I50)),"➤",""),"")</f>
        <v/>
      </c>
      <c r="LQ50" s="76" t="str">
        <f aca="false">IF($I50&gt;0%,IF(AND(LQ$16&gt;=$F50,LQ$16&lt;$F50+($G50*$I50)),"➤",""),"")</f>
        <v/>
      </c>
      <c r="LR50" s="76" t="str">
        <f aca="false">IF($I50&gt;0%,IF(AND(LR$16&gt;=$F50,LR$16&lt;$F50+($G50*$I50)),"➤",""),"")</f>
        <v/>
      </c>
      <c r="LS50" s="76" t="str">
        <f aca="false">IF($I50&gt;0%,IF(AND(LS$16&gt;=$F50,LS$16&lt;$F50+($G50*$I50)),"➤",""),"")</f>
        <v/>
      </c>
      <c r="LT50" s="76" t="str">
        <f aca="false">IF($I50&gt;0%,IF(AND(LT$16&gt;=$F50,LT$16&lt;$F50+($G50*$I50)),"➤",""),"")</f>
        <v/>
      </c>
      <c r="LU50" s="76" t="str">
        <f aca="false">IF($I50&gt;0%,IF(AND(LU$16&gt;=$F50,LU$16&lt;$F50+($G50*$I50)),"➤",""),"")</f>
        <v/>
      </c>
      <c r="LV50" s="76" t="str">
        <f aca="false">IF($I50&gt;0%,IF(AND(LV$16&gt;=$F50,LV$16&lt;$F50+($G50*$I50)),"➤",""),"")</f>
        <v/>
      </c>
      <c r="LW50" s="76" t="str">
        <f aca="false">IF($I50&gt;0%,IF(AND(LW$16&gt;=$F50,LW$16&lt;$F50+($G50*$I50)),"➤",""),"")</f>
        <v/>
      </c>
      <c r="LX50" s="76" t="str">
        <f aca="false">IF($I50&gt;0%,IF(AND(LX$16&gt;=$F50,LX$16&lt;$F50+($G50*$I50)),"➤",""),"")</f>
        <v/>
      </c>
      <c r="LY50" s="76" t="str">
        <f aca="false">IF($I50&gt;0%,IF(AND(LY$16&gt;=$F50,LY$16&lt;$F50+($G50*$I50)),"➤",""),"")</f>
        <v/>
      </c>
      <c r="LZ50" s="76" t="str">
        <f aca="false">IF($I50&gt;0%,IF(AND(LZ$16&gt;=$F50,LZ$16&lt;$F50+($G50*$I50)),"➤",""),"")</f>
        <v/>
      </c>
      <c r="MA50" s="76" t="str">
        <f aca="false">IF($I50&gt;0%,IF(AND(MA$16&gt;=$F50,MA$16&lt;$F50+($G50*$I50)),"➤",""),"")</f>
        <v/>
      </c>
      <c r="MB50" s="76" t="str">
        <f aca="false">IF($I50&gt;0%,IF(AND(MB$16&gt;=$F50,MB$16&lt;$F50+($G50*$I50)),"➤",""),"")</f>
        <v/>
      </c>
      <c r="MC50" s="76" t="str">
        <f aca="false">IF($I50&gt;0%,IF(AND(MC$16&gt;=$F50,MC$16&lt;$F50+($G50*$I50)),"➤",""),"")</f>
        <v/>
      </c>
      <c r="MD50" s="76" t="str">
        <f aca="false">IF($I50&gt;0%,IF(AND(MD$16&gt;=$F50,MD$16&lt;$F50+($G50*$I50)),"➤",""),"")</f>
        <v/>
      </c>
      <c r="ME50" s="76" t="str">
        <f aca="false">IF($I50&gt;0%,IF(AND(ME$16&gt;=$F50,ME$16&lt;$F50+($G50*$I50)),"➤",""),"")</f>
        <v/>
      </c>
      <c r="MF50" s="76" t="str">
        <f aca="false">IF($I50&gt;0%,IF(AND(MF$16&gt;=$F50,MF$16&lt;$F50+($G50*$I50)),"➤",""),"")</f>
        <v/>
      </c>
      <c r="MG50" s="76" t="str">
        <f aca="false">IF($I50&gt;0%,IF(AND(MG$16&gt;=$F50,MG$16&lt;$F50+($G50*$I50)),"➤",""),"")</f>
        <v/>
      </c>
      <c r="MH50" s="76" t="str">
        <f aca="false">IF($I50&gt;0%,IF(AND(MH$16&gt;=$F50,MH$16&lt;$F50+($G50*$I50)),"➤",""),"")</f>
        <v/>
      </c>
      <c r="MI50" s="76" t="str">
        <f aca="false">IF($I50&gt;0%,IF(AND(MI$16&gt;=$F50,MI$16&lt;$F50+($G50*$I50)),"➤",""),"")</f>
        <v/>
      </c>
      <c r="MJ50" s="76" t="str">
        <f aca="false">IF($I50&gt;0%,IF(AND(MJ$16&gt;=$F50,MJ$16&lt;$F50+($G50*$I50)),"➤",""),"")</f>
        <v/>
      </c>
      <c r="MK50" s="76" t="str">
        <f aca="false">IF($I50&gt;0%,IF(AND(MK$16&gt;=$F50,MK$16&lt;$F50+($G50*$I50)),"➤",""),"")</f>
        <v/>
      </c>
      <c r="ML50" s="76" t="str">
        <f aca="false">IF($I50&gt;0%,IF(AND(ML$16&gt;=$F50,ML$16&lt;$F50+($G50*$I50)),"➤",""),"")</f>
        <v/>
      </c>
      <c r="MM50" s="76" t="str">
        <f aca="false">IF($I50&gt;0%,IF(AND(MM$16&gt;=$F50,MM$16&lt;$F50+($G50*$I50)),"➤",""),"")</f>
        <v/>
      </c>
      <c r="MN50" s="76" t="str">
        <f aca="false">IF($I50&gt;0%,IF(AND(MN$16&gt;=$F50,MN$16&lt;$F50+($G50*$I50)),"➤",""),"")</f>
        <v/>
      </c>
      <c r="MO50" s="76" t="str">
        <f aca="false">IF($I50&gt;0%,IF(AND(MO$16&gt;=$F50,MO$16&lt;$F50+($G50*$I50)),"➤",""),"")</f>
        <v/>
      </c>
      <c r="MP50" s="76" t="str">
        <f aca="false">IF($I50&gt;0%,IF(AND(MP$16&gt;=$F50,MP$16&lt;$F50+($G50*$I50)),"➤",""),"")</f>
        <v/>
      </c>
      <c r="MQ50" s="76" t="str">
        <f aca="false">IF($I50&gt;0%,IF(AND(MQ$16&gt;=$F50,MQ$16&lt;$F50+($G50*$I50)),"➤",""),"")</f>
        <v/>
      </c>
      <c r="MR50" s="76" t="str">
        <f aca="false">IF($I50&gt;0%,IF(AND(MR$16&gt;=$F50,MR$16&lt;$F50+($G50*$I50)),"➤",""),"")</f>
        <v/>
      </c>
      <c r="MS50" s="76" t="str">
        <f aca="false">IF($I50&gt;0%,IF(AND(MS$16&gt;=$F50,MS$16&lt;$F50+($G50*$I50)),"➤",""),"")</f>
        <v/>
      </c>
      <c r="MT50" s="76" t="str">
        <f aca="false">IF($I50&gt;0%,IF(AND(MT$16&gt;=$F50,MT$16&lt;$F50+($G50*$I50)),"➤",""),"")</f>
        <v/>
      </c>
      <c r="MU50" s="76" t="str">
        <f aca="false">IF($I50&gt;0%,IF(AND(MU$16&gt;=$F50,MU$16&lt;$F50+($G50*$I50)),"➤",""),"")</f>
        <v/>
      </c>
      <c r="MV50" s="76" t="str">
        <f aca="false">IF($I50&gt;0%,IF(AND(MV$16&gt;=$F50,MV$16&lt;$F50+($G50*$I50)),"➤",""),"")</f>
        <v/>
      </c>
      <c r="MW50" s="76" t="str">
        <f aca="false">IF($I50&gt;0%,IF(AND(MW$16&gt;=$F50,MW$16&lt;$F50+($G50*$I50)),"➤",""),"")</f>
        <v/>
      </c>
      <c r="MX50" s="76" t="str">
        <f aca="false">IF($I50&gt;0%,IF(AND(MX$16&gt;=$F50,MX$16&lt;$F50+($G50*$I50)),"➤",""),"")</f>
        <v/>
      </c>
      <c r="MY50" s="76" t="str">
        <f aca="false">IF($I50&gt;0%,IF(AND(MY$16&gt;=$F50,MY$16&lt;$F50+($G50*$I50)),"➤",""),"")</f>
        <v/>
      </c>
      <c r="MZ50" s="76" t="str">
        <f aca="false">IF($I50&gt;0%,IF(AND(MZ$16&gt;=$F50,MZ$16&lt;$F50+($G50*$I50)),"➤",""),"")</f>
        <v/>
      </c>
      <c r="NA50" s="76" t="str">
        <f aca="false">IF($I50&gt;0%,IF(AND(NA$16&gt;=$F50,NA$16&lt;$F50+($G50*$I50)),"➤",""),"")</f>
        <v/>
      </c>
      <c r="NB50" s="76" t="str">
        <f aca="false">IF($I50&gt;0%,IF(AND(NB$16&gt;=$F50,NB$16&lt;$F50+($G50*$I50)),"➤",""),"")</f>
        <v/>
      </c>
      <c r="NC50" s="76" t="str">
        <f aca="false">IF($I50&gt;0%,IF(AND(NC$16&gt;=$F50,NC$16&lt;$F50+($G50*$I50)),"➤",""),"")</f>
        <v/>
      </c>
      <c r="ND50" s="76" t="str">
        <f aca="false">IF($I50&gt;0%,IF(AND(ND$16&gt;=$F50,ND$16&lt;$F50+($G50*$I50)),"➤",""),"")</f>
        <v/>
      </c>
      <c r="NE50" s="76" t="str">
        <f aca="false">IF($I50&gt;0%,IF(AND(NE$16&gt;=$F50,NE$16&lt;$F50+($G50*$I50)),"➤",""),"")</f>
        <v/>
      </c>
      <c r="NF50" s="76" t="str">
        <f aca="false">IF($I50&gt;0%,IF(AND(NF$16&gt;=$F50,NF$16&lt;$F50+($G50*$I50)),"➤",""),"")</f>
        <v/>
      </c>
      <c r="NG50" s="76" t="str">
        <f aca="false">IF($I50&gt;0%,IF(AND(NG$16&gt;=$F50,NG$16&lt;$F50+($G50*$I50)),"➤",""),"")</f>
        <v/>
      </c>
      <c r="NH50" s="76" t="str">
        <f aca="false">IF($I50&gt;0%,IF(AND(NH$16&gt;=$F50,NH$16&lt;$F50+($G50*$I50)),"➤",""),"")</f>
        <v/>
      </c>
      <c r="NI50" s="76" t="str">
        <f aca="false">IF($I50&gt;0%,IF(AND(NI$16&gt;=$F50,NI$16&lt;$F50+($G50*$I50)),"➤",""),"")</f>
        <v/>
      </c>
      <c r="NJ50" s="76" t="str">
        <f aca="false">IF($I50&gt;0%,IF(AND(NJ$16&gt;=$F50,NJ$16&lt;$F50+($G50*$I50)),"➤",""),"")</f>
        <v/>
      </c>
      <c r="NK50" s="76" t="str">
        <f aca="false">IF($I50&gt;0%,IF(AND(NK$16&gt;=$F50,NK$16&lt;$F50+($G50*$I50)),"➤",""),"")</f>
        <v/>
      </c>
      <c r="NL50" s="76" t="str">
        <f aca="false">IF($I50&gt;0%,IF(AND(NL$16&gt;=$F50,NL$16&lt;$F50+($G50*$I50)),"➤",""),"")</f>
        <v/>
      </c>
      <c r="NM50" s="76" t="str">
        <f aca="false">IF($I50&gt;0%,IF(AND(NM$16&gt;=$F50,NM$16&lt;$F50+($G50*$I50)),"➤",""),"")</f>
        <v/>
      </c>
      <c r="NN50" s="76" t="str">
        <f aca="false">IF($I50&gt;0%,IF(AND(NN$16&gt;=$F50,NN$16&lt;$F50+($G50*$I50)),"➤",""),"")</f>
        <v/>
      </c>
      <c r="NO50" s="76" t="str">
        <f aca="false">IF($I50&gt;0%,IF(AND(NO$16&gt;=$F50,NO$16&lt;$F50+($G50*$I50)),"➤",""),"")</f>
        <v/>
      </c>
      <c r="NP50" s="76" t="str">
        <f aca="false">IF($I50&gt;0%,IF(AND(NP$16&gt;=$F50,NP$16&lt;$F50+($G50*$I50)),"➤",""),"")</f>
        <v/>
      </c>
      <c r="NQ50" s="76" t="str">
        <f aca="false">IF($I50&gt;0%,IF(AND(NQ$16&gt;=$F50,NQ$16&lt;$F50+($G50*$I50)),"➤",""),"")</f>
        <v/>
      </c>
      <c r="NR50" s="76" t="str">
        <f aca="false">IF($I50&gt;0%,IF(AND(NR$16&gt;=$F50,NR$16&lt;$F50+($G50*$I50)),"➤",""),"")</f>
        <v/>
      </c>
      <c r="NS50" s="76" t="str">
        <f aca="false">IF($I50&gt;0%,IF(AND(NS$16&gt;=$F50,NS$16&lt;$F50+($G50*$I50)),"➤",""),"")</f>
        <v/>
      </c>
      <c r="NT50" s="76" t="str">
        <f aca="false">IF($I50&gt;0%,IF(AND(NT$16&gt;=$F50,NT$16&lt;$F50+($G50*$I50)),"➤",""),"")</f>
        <v/>
      </c>
      <c r="NU50" s="76" t="str">
        <f aca="false">IF($I50&gt;0%,IF(AND(NU$16&gt;=$F50,NU$16&lt;$F50+($G50*$I50)),"➤",""),"")</f>
        <v/>
      </c>
      <c r="NV50" s="76" t="str">
        <f aca="false">IF($I50&gt;0%,IF(AND(NV$16&gt;=$F50,NV$16&lt;$F50+($G50*$I50)),"➤",""),"")</f>
        <v/>
      </c>
      <c r="NW50" s="76" t="str">
        <f aca="false">IF($I50&gt;0%,IF(AND(NW$16&gt;=$F50,NW$16&lt;$F50+($G50*$I50)),"➤",""),"")</f>
        <v/>
      </c>
      <c r="NX50" s="76" t="str">
        <f aca="false">IF($I50&gt;0%,IF(AND(NX$16&gt;=$F50,NX$16&lt;$F50+($G50*$I50)),"➤",""),"")</f>
        <v/>
      </c>
      <c r="NY50" s="76" t="str">
        <f aca="false">IF($I50&gt;0%,IF(AND(NY$16&gt;=$F50,NY$16&lt;$F50+($G50*$I50)),"➤",""),"")</f>
        <v/>
      </c>
      <c r="NZ50" s="76" t="str">
        <f aca="false">IF($I50&gt;0%,IF(AND(NZ$16&gt;=$F50,NZ$16&lt;$F50+($G50*$I50)),"➤",""),"")</f>
        <v/>
      </c>
      <c r="OA50" s="76" t="str">
        <f aca="false">IF($I50&gt;0%,IF(AND(OA$16&gt;=$F50,OA$16&lt;$F50+($G50*$I50)),"➤",""),"")</f>
        <v/>
      </c>
      <c r="OB50" s="76" t="str">
        <f aca="false">IF($I50&gt;0%,IF(AND(OB$16&gt;=$F50,OB$16&lt;$F50+($G50*$I50)),"➤",""),"")</f>
        <v/>
      </c>
      <c r="OC50" s="76" t="str">
        <f aca="false">IF($I50&gt;0%,IF(AND(OC$16&gt;=$F50,OC$16&lt;$F50+($G50*$I50)),"➤",""),"")</f>
        <v/>
      </c>
      <c r="OD50" s="76" t="str">
        <f aca="false">IF($I50&gt;0%,IF(AND(OD$16&gt;=$F50,OD$16&lt;$F50+($G50*$I50)),"➤",""),"")</f>
        <v/>
      </c>
      <c r="OE50" s="76" t="str">
        <f aca="false">IF($I50&gt;0%,IF(AND(OE$16&gt;=$F50,OE$16&lt;$F50+($G50*$I50)),"➤",""),"")</f>
        <v/>
      </c>
      <c r="OF50" s="76" t="str">
        <f aca="false">IF($I50&gt;0%,IF(AND(OF$16&gt;=$F50,OF$16&lt;$F50+($G50*$I50)),"➤",""),"")</f>
        <v/>
      </c>
      <c r="OG50" s="76" t="str">
        <f aca="false">IF($I50&gt;0%,IF(AND(OG$16&gt;=$F50,OG$16&lt;$F50+($G50*$I50)),"➤",""),"")</f>
        <v/>
      </c>
      <c r="OH50" s="76" t="str">
        <f aca="false">IF($I50&gt;0%,IF(AND(OH$16&gt;=$F50,OH$16&lt;$F50+($G50*$I50)),"➤",""),"")</f>
        <v/>
      </c>
      <c r="OI50" s="76" t="str">
        <f aca="false">IF($I50&gt;0%,IF(AND(OI$16&gt;=$F50,OI$16&lt;$F50+($G50*$I50)),"➤",""),"")</f>
        <v/>
      </c>
      <c r="OJ50" s="76" t="str">
        <f aca="false">IF($I50&gt;0%,IF(AND(OJ$16&gt;=$F50,OJ$16&lt;$F50+($G50*$I50)),"➤",""),"")</f>
        <v/>
      </c>
      <c r="OK50" s="76" t="str">
        <f aca="false">IF($I50&gt;0%,IF(AND(OK$16&gt;=$F50,OK$16&lt;$F50+($G50*$I50)),"➤",""),"")</f>
        <v/>
      </c>
      <c r="OL50" s="76" t="str">
        <f aca="false">IF($I50&gt;0%,IF(AND(OL$16&gt;=$F50,OL$16&lt;$F50+($G50*$I50)),"➤",""),"")</f>
        <v/>
      </c>
      <c r="OM50" s="76" t="str">
        <f aca="false">IF($I50&gt;0%,IF(AND(OM$16&gt;=$F50,OM$16&lt;$F50+($G50*$I50)),"➤",""),"")</f>
        <v/>
      </c>
      <c r="ON50" s="76" t="str">
        <f aca="false">IF($I50&gt;0%,IF(AND(ON$16&gt;=$F50,ON$16&lt;$F50+($G50*$I50)),"➤",""),"")</f>
        <v/>
      </c>
      <c r="OO50" s="76" t="str">
        <f aca="false">IF($I50&gt;0%,IF(AND(OO$16&gt;=$F50,OO$16&lt;$F50+($G50*$I50)),"➤",""),"")</f>
        <v/>
      </c>
      <c r="OP50" s="76" t="str">
        <f aca="false">IF($I50&gt;0%,IF(AND(OP$16&gt;=$F50,OP$16&lt;$F50+($G50*$I50)),"➤",""),"")</f>
        <v/>
      </c>
      <c r="OQ50" s="76" t="str">
        <f aca="false">IF($I50&gt;0%,IF(AND(OQ$16&gt;=$F50,OQ$16&lt;$F50+($G50*$I50)),"➤",""),"")</f>
        <v/>
      </c>
      <c r="OR50" s="76" t="str">
        <f aca="false">IF($I50&gt;0%,IF(AND(OR$16&gt;=$F50,OR$16&lt;$F50+($G50*$I50)),"➤",""),"")</f>
        <v/>
      </c>
      <c r="OS50" s="76" t="str">
        <f aca="false">IF($I50&gt;0%,IF(AND(OS$16&gt;=$F50,OS$16&lt;$F50+($G50*$I50)),"➤",""),"")</f>
        <v/>
      </c>
      <c r="OT50" s="76" t="str">
        <f aca="false">IF($I50&gt;0%,IF(AND(OT$16&gt;=$F50,OT$16&lt;$F50+($G50*$I50)),"➤",""),"")</f>
        <v/>
      </c>
      <c r="OU50" s="76" t="str">
        <f aca="false">IF($I50&gt;0%,IF(AND(OU$16&gt;=$F50,OU$16&lt;$F50+($G50*$I50)),"➤",""),"")</f>
        <v/>
      </c>
      <c r="OV50" s="76" t="str">
        <f aca="false">IF($I50&gt;0%,IF(AND(OV$16&gt;=$F50,OV$16&lt;$F50+($G50*$I50)),"➤",""),"")</f>
        <v/>
      </c>
      <c r="OW50" s="76" t="str">
        <f aca="false">IF($I50&gt;0%,IF(AND(OW$16&gt;=$F50,OW$16&lt;$F50+($G50*$I50)),"➤",""),"")</f>
        <v/>
      </c>
      <c r="OX50" s="76" t="str">
        <f aca="false">IF($I50&gt;0%,IF(AND(OX$16&gt;=$F50,OX$16&lt;$F50+($G50*$I50)),"➤",""),"")</f>
        <v/>
      </c>
      <c r="OY50" s="76" t="str">
        <f aca="false">IF($I50&gt;0%,IF(AND(OY$16&gt;=$F50,OY$16&lt;$F50+($G50*$I50)),"➤",""),"")</f>
        <v/>
      </c>
      <c r="OZ50" s="76" t="str">
        <f aca="false">IF($I50&gt;0%,IF(AND(OZ$16&gt;=$F50,OZ$16&lt;$F50+($G50*$I50)),"➤",""),"")</f>
        <v/>
      </c>
      <c r="PA50" s="76" t="str">
        <f aca="false">IF($I50&gt;0%,IF(AND(PA$16&gt;=$F50,PA$16&lt;$F50+($G50*$I50)),"➤",""),"")</f>
        <v/>
      </c>
      <c r="PB50" s="76" t="str">
        <f aca="false">IF($I50&gt;0%,IF(AND(PB$16&gt;=$F50,PB$16&lt;$F50+($G50*$I50)),"➤",""),"")</f>
        <v/>
      </c>
      <c r="PC50" s="76" t="str">
        <f aca="false">IF($I50&gt;0%,IF(AND(PC$16&gt;=$F50,PC$16&lt;$F50+($G50*$I50)),"➤",""),"")</f>
        <v/>
      </c>
      <c r="PD50" s="76" t="str">
        <f aca="false">IF($I50&gt;0%,IF(AND(PD$16&gt;=$F50,PD$16&lt;$F50+($G50*$I50)),"➤",""),"")</f>
        <v/>
      </c>
      <c r="PE50" s="76" t="str">
        <f aca="false">IF($I50&gt;0%,IF(AND(PE$16&gt;=$F50,PE$16&lt;$F50+($G50*$I50)),"➤",""),"")</f>
        <v/>
      </c>
      <c r="PF50" s="76" t="str">
        <f aca="false">IF($I50&gt;0%,IF(AND(PF$16&gt;=$F50,PF$16&lt;$F50+($G50*$I50)),"➤",""),"")</f>
        <v/>
      </c>
      <c r="PG50" s="76" t="str">
        <f aca="false">IF($I50&gt;0%,IF(AND(PG$16&gt;=$F50,PG$16&lt;$F50+($G50*$I50)),"➤",""),"")</f>
        <v/>
      </c>
      <c r="PH50" s="76" t="str">
        <f aca="false">IF($I50&gt;0%,IF(AND(PH$16&gt;=$F50,PH$16&lt;$F50+($G50*$I50)),"➤",""),"")</f>
        <v/>
      </c>
      <c r="PI50" s="76" t="str">
        <f aca="false">IF($I50&gt;0%,IF(AND(PI$16&gt;=$F50,PI$16&lt;$F50+($G50*$I50)),"➤",""),"")</f>
        <v/>
      </c>
      <c r="PJ50" s="76" t="str">
        <f aca="false">IF($I50&gt;0%,IF(AND(PJ$16&gt;=$F50,PJ$16&lt;$F50+($G50*$I50)),"➤",""),"")</f>
        <v/>
      </c>
      <c r="PK50" s="76" t="str">
        <f aca="false">IF($I50&gt;0%,IF(AND(PK$16&gt;=$F50,PK$16&lt;$F50+($G50*$I50)),"➤",""),"")</f>
        <v/>
      </c>
      <c r="PL50" s="76" t="str">
        <f aca="false">IF($I50&gt;0%,IF(AND(PL$16&gt;=$F50,PL$16&lt;$F50+($G50*$I50)),"➤",""),"")</f>
        <v/>
      </c>
      <c r="PM50" s="76" t="str">
        <f aca="false">IF($I50&gt;0%,IF(AND(PM$16&gt;=$F50,PM$16&lt;$F50+($G50*$I50)),"➤",""),"")</f>
        <v/>
      </c>
      <c r="PN50" s="76" t="str">
        <f aca="false">IF($I50&gt;0%,IF(AND(PN$16&gt;=$F50,PN$16&lt;$F50+($G50*$I50)),"➤",""),"")</f>
        <v/>
      </c>
      <c r="PO50" s="76" t="str">
        <f aca="false">IF($I50&gt;0%,IF(AND(PO$16&gt;=$F50,PO$16&lt;$F50+($G50*$I50)),"➤",""),"")</f>
        <v/>
      </c>
      <c r="PP50" s="76" t="str">
        <f aca="false">IF($I50&gt;0%,IF(AND(PP$16&gt;=$F50,PP$16&lt;$F50+($G50*$I50)),"➤",""),"")</f>
        <v/>
      </c>
      <c r="PQ50" s="76" t="str">
        <f aca="false">IF($I50&gt;0%,IF(AND(PQ$16&gt;=$F50,PQ$16&lt;$F50+($G50*$I50)),"➤",""),"")</f>
        <v/>
      </c>
      <c r="PR50" s="76" t="str">
        <f aca="false">IF($I50&gt;0%,IF(AND(PR$16&gt;=$F50,PR$16&lt;$F50+($G50*$I50)),"➤",""),"")</f>
        <v/>
      </c>
      <c r="PS50" s="76" t="str">
        <f aca="false">IF($I50&gt;0%,IF(AND(PS$16&gt;=$F50,PS$16&lt;$F50+($G50*$I50)),"➤",""),"")</f>
        <v/>
      </c>
      <c r="PT50" s="76" t="str">
        <f aca="false">IF($I50&gt;0%,IF(AND(PT$16&gt;=$F50,PT$16&lt;$F50+($G50*$I50)),"➤",""),"")</f>
        <v/>
      </c>
      <c r="PU50" s="76" t="str">
        <f aca="false">IF($I50&gt;0%,IF(AND(PU$16&gt;=$F50,PU$16&lt;$F50+($G50*$I50)),"➤",""),"")</f>
        <v/>
      </c>
      <c r="PV50" s="76" t="str">
        <f aca="false">IF($I50&gt;0%,IF(AND(PV$16&gt;=$F50,PV$16&lt;$F50+($G50*$I50)),"➤",""),"")</f>
        <v/>
      </c>
      <c r="PW50" s="76" t="str">
        <f aca="false">IF($I50&gt;0%,IF(AND(PW$16&gt;=$F50,PW$16&lt;$F50+($G50*$I50)),"➤",""),"")</f>
        <v/>
      </c>
      <c r="PX50" s="76" t="str">
        <f aca="false">IF($I50&gt;0%,IF(AND(PX$16&gt;=$F50,PX$16&lt;$F50+($G50*$I50)),"➤",""),"")</f>
        <v/>
      </c>
      <c r="PY50" s="76" t="str">
        <f aca="false">IF($I50&gt;0%,IF(AND(PY$16&gt;=$F50,PY$16&lt;$F50+($G50*$I50)),"➤",""),"")</f>
        <v/>
      </c>
      <c r="PZ50" s="76" t="str">
        <f aca="false">IF($I50&gt;0%,IF(AND(PZ$16&gt;=$F50,PZ$16&lt;$F50+($G50*$I50)),"➤",""),"")</f>
        <v/>
      </c>
      <c r="QA50" s="76" t="str">
        <f aca="false">IF($I50&gt;0%,IF(AND(QA$16&gt;=$F50,QA$16&lt;$F50+($G50*$I50)),"➤",""),"")</f>
        <v/>
      </c>
      <c r="QB50" s="76" t="str">
        <f aca="false">IF($I50&gt;0%,IF(AND(QB$16&gt;=$F50,QB$16&lt;$F50+($G50*$I50)),"➤",""),"")</f>
        <v/>
      </c>
      <c r="QC50" s="76" t="str">
        <f aca="false">IF($I50&gt;0%,IF(AND(QC$16&gt;=$F50,QC$16&lt;$F50+($G50*$I50)),"➤",""),"")</f>
        <v/>
      </c>
      <c r="QD50" s="76" t="str">
        <f aca="false">IF($I50&gt;0%,IF(AND(QD$16&gt;=$F50,QD$16&lt;$F50+($G50*$I50)),"➤",""),"")</f>
        <v/>
      </c>
      <c r="QE50" s="76" t="str">
        <f aca="false">IF($I50&gt;0%,IF(AND(QE$16&gt;=$F50,QE$16&lt;$F50+($G50*$I50)),"➤",""),"")</f>
        <v/>
      </c>
      <c r="QF50" s="76" t="str">
        <f aca="false">IF($I50&gt;0%,IF(AND(QF$16&gt;=$F50,QF$16&lt;$F50+($G50*$I50)),"➤",""),"")</f>
        <v/>
      </c>
      <c r="QG50" s="76" t="str">
        <f aca="false">IF($I50&gt;0%,IF(AND(QG$16&gt;=$F50,QG$16&lt;$F50+($G50*$I50)),"➤",""),"")</f>
        <v/>
      </c>
      <c r="QH50" s="76" t="str">
        <f aca="false">IF($I50&gt;0%,IF(AND(QH$16&gt;=$F50,QH$16&lt;$F50+($G50*$I50)),"➤",""),"")</f>
        <v/>
      </c>
      <c r="QI50" s="76" t="str">
        <f aca="false">IF($I50&gt;0%,IF(AND(QI$16&gt;=$F50,QI$16&lt;$F50+($G50*$I50)),"➤",""),"")</f>
        <v/>
      </c>
      <c r="QJ50" s="76" t="str">
        <f aca="false">IF($I50&gt;0%,IF(AND(QJ$16&gt;=$F50,QJ$16&lt;$F50+($G50*$I50)),"➤",""),"")</f>
        <v/>
      </c>
      <c r="QK50" s="76" t="str">
        <f aca="false">IF($I50&gt;0%,IF(AND(QK$16&gt;=$F50,QK$16&lt;$F50+($G50*$I50)),"➤",""),"")</f>
        <v/>
      </c>
      <c r="QL50" s="76" t="str">
        <f aca="false">IF($I50&gt;0%,IF(AND(QL$16&gt;=$F50,QL$16&lt;$F50+($G50*$I50)),"➤",""),"")</f>
        <v/>
      </c>
      <c r="QM50" s="76" t="str">
        <f aca="false">IF($I50&gt;0%,IF(AND(QM$16&gt;=$F50,QM$16&lt;$F50+($G50*$I50)),"➤",""),"")</f>
        <v/>
      </c>
      <c r="QN50" s="76" t="str">
        <f aca="false">IF($I50&gt;0%,IF(AND(QN$16&gt;=$F50,QN$16&lt;$F50+($G50*$I50)),"➤",""),"")</f>
        <v/>
      </c>
      <c r="QO50" s="76" t="str">
        <f aca="false">IF($I50&gt;0%,IF(AND(QO$16&gt;=$F50,QO$16&lt;$F50+($G50*$I50)),"➤",""),"")</f>
        <v/>
      </c>
      <c r="QP50" s="76" t="str">
        <f aca="false">IF($I50&gt;0%,IF(AND(QP$16&gt;=$F50,QP$16&lt;$F50+($G50*$I50)),"➤",""),"")</f>
        <v/>
      </c>
      <c r="QQ50" s="76" t="str">
        <f aca="false">IF($I50&gt;0%,IF(AND(QQ$16&gt;=$F50,QQ$16&lt;$F50+($G50*$I50)),"➤",""),"")</f>
        <v/>
      </c>
      <c r="QR50" s="76" t="str">
        <f aca="false">IF($I50&gt;0%,IF(AND(QR$16&gt;=$F50,QR$16&lt;$F50+($G50*$I50)),"➤",""),"")</f>
        <v/>
      </c>
      <c r="QS50" s="76" t="str">
        <f aca="false">IF($I50&gt;0%,IF(AND(QS$16&gt;=$F50,QS$16&lt;$F50+($G50*$I50)),"➤",""),"")</f>
        <v/>
      </c>
      <c r="QT50" s="76" t="str">
        <f aca="false">IF($I50&gt;0%,IF(AND(QT$16&gt;=$F50,QT$16&lt;$F50+($G50*$I50)),"➤",""),"")</f>
        <v/>
      </c>
      <c r="QU50" s="76" t="str">
        <f aca="false">IF($I50&gt;0%,IF(AND(QU$16&gt;=$F50,QU$16&lt;$F50+($G50*$I50)),"➤",""),"")</f>
        <v/>
      </c>
      <c r="QV50" s="76" t="str">
        <f aca="false">IF($I50&gt;0%,IF(AND(QV$16&gt;=$F50,QV$16&lt;$F50+($G50*$I50)),"➤",""),"")</f>
        <v/>
      </c>
      <c r="QW50" s="76" t="str">
        <f aca="false">IF($I50&gt;0%,IF(AND(QW$16&gt;=$F50,QW$16&lt;$F50+($G50*$I50)),"➤",""),"")</f>
        <v/>
      </c>
      <c r="QX50" s="76" t="str">
        <f aca="false">IF($I50&gt;0%,IF(AND(QX$16&gt;=$F50,QX$16&lt;$F50+($G50*$I50)),"➤",""),"")</f>
        <v/>
      </c>
      <c r="QY50" s="76" t="str">
        <f aca="false">IF($I50&gt;0%,IF(AND(QY$16&gt;=$F50,QY$16&lt;$F50+($G50*$I50)),"➤",""),"")</f>
        <v/>
      </c>
      <c r="QZ50" s="76" t="str">
        <f aca="false">IF($I50&gt;0%,IF(AND(QZ$16&gt;=$F50,QZ$16&lt;$F50+($G50*$I50)),"➤",""),"")</f>
        <v/>
      </c>
      <c r="RA50" s="76" t="str">
        <f aca="false">IF($I50&gt;0%,IF(AND(RA$16&gt;=$F50,RA$16&lt;$F50+($G50*$I50)),"➤",""),"")</f>
        <v/>
      </c>
      <c r="RB50" s="76" t="str">
        <f aca="false">IF($I50&gt;0%,IF(AND(RB$16&gt;=$F50,RB$16&lt;$F50+($G50*$I50)),"➤",""),"")</f>
        <v/>
      </c>
      <c r="RC50" s="76" t="str">
        <f aca="false">IF($I50&gt;0%,IF(AND(RC$16&gt;=$F50,RC$16&lt;$F50+($G50*$I50)),"➤",""),"")</f>
        <v/>
      </c>
      <c r="RD50" s="76" t="str">
        <f aca="false">IF($I50&gt;0%,IF(AND(RD$16&gt;=$F50,RD$16&lt;$F50+($G50*$I50)),"➤",""),"")</f>
        <v/>
      </c>
      <c r="RE50" s="76" t="str">
        <f aca="false">IF($I50&gt;0%,IF(AND(RE$16&gt;=$F50,RE$16&lt;$F50+($G50*$I50)),"➤",""),"")</f>
        <v/>
      </c>
      <c r="RF50" s="76" t="str">
        <f aca="false">IF($I50&gt;0%,IF(AND(RF$16&gt;=$F50,RF$16&lt;$F50+($G50*$I50)),"➤",""),"")</f>
        <v/>
      </c>
      <c r="RG50" s="76" t="str">
        <f aca="false">IF($I50&gt;0%,IF(AND(RG$16&gt;=$F50,RG$16&lt;$F50+($G50*$I50)),"➤",""),"")</f>
        <v/>
      </c>
      <c r="RH50" s="76" t="str">
        <f aca="false">IF($I50&gt;0%,IF(AND(RH$16&gt;=$F50,RH$16&lt;$F50+($G50*$I50)),"➤",""),"")</f>
        <v/>
      </c>
      <c r="RI50" s="76" t="str">
        <f aca="false">IF($I50&gt;0%,IF(AND(RI$16&gt;=$F50,RI$16&lt;$F50+($G50*$I50)),"➤",""),"")</f>
        <v/>
      </c>
      <c r="RJ50" s="76" t="str">
        <f aca="false">IF($I50&gt;0%,IF(AND(RJ$16&gt;=$F50,RJ$16&lt;$F50+($G50*$I50)),"➤",""),"")</f>
        <v/>
      </c>
      <c r="RK50" s="76" t="str">
        <f aca="false">IF($I50&gt;0%,IF(AND(RK$16&gt;=$F50,RK$16&lt;$F50+($G50*$I50)),"➤",""),"")</f>
        <v/>
      </c>
      <c r="RL50" s="76" t="str">
        <f aca="false">IF($I50&gt;0%,IF(AND(RL$16&gt;=$F50,RL$16&lt;$F50+($G50*$I50)),"➤",""),"")</f>
        <v/>
      </c>
      <c r="RM50" s="76" t="str">
        <f aca="false">IF($I50&gt;0%,IF(AND(RM$16&gt;=$F50,RM$16&lt;$F50+($G50*$I50)),"➤",""),"")</f>
        <v/>
      </c>
      <c r="RN50" s="76" t="str">
        <f aca="false">IF($I50&gt;0%,IF(AND(RN$16&gt;=$F50,RN$16&lt;$F50+($G50*$I50)),"➤",""),"")</f>
        <v/>
      </c>
      <c r="RO50" s="76" t="str">
        <f aca="false">IF($I50&gt;0%,IF(AND(RO$16&gt;=$F50,RO$16&lt;$F50+($G50*$I50)),"➤",""),"")</f>
        <v/>
      </c>
      <c r="RP50" s="76" t="str">
        <f aca="false">IF($I50&gt;0%,IF(AND(RP$16&gt;=$F50,RP$16&lt;$F50+($G50*$I50)),"➤",""),"")</f>
        <v/>
      </c>
      <c r="RQ50" s="76" t="str">
        <f aca="false">IF($I50&gt;0%,IF(AND(RQ$16&gt;=$F50,RQ$16&lt;$F50+($G50*$I50)),"➤",""),"")</f>
        <v/>
      </c>
      <c r="RR50" s="76" t="str">
        <f aca="false">IF($I50&gt;0%,IF(AND(RR$16&gt;=$F50,RR$16&lt;$F50+($G50*$I50)),"➤",""),"")</f>
        <v/>
      </c>
      <c r="RS50" s="76" t="str">
        <f aca="false">IF($I50&gt;0%,IF(AND(RS$16&gt;=$F50,RS$16&lt;$F50+($G50*$I50)),"➤",""),"")</f>
        <v/>
      </c>
      <c r="RT50" s="76" t="str">
        <f aca="false">IF($I50&gt;0%,IF(AND(RT$16&gt;=$F50,RT$16&lt;$F50+($G50*$I50)),"➤",""),"")</f>
        <v/>
      </c>
      <c r="RU50" s="76" t="str">
        <f aca="false">IF($I50&gt;0%,IF(AND(RU$16&gt;=$F50,RU$16&lt;$F50+($G50*$I50)),"➤",""),"")</f>
        <v/>
      </c>
      <c r="RV50" s="76" t="str">
        <f aca="false">IF($I50&gt;0%,IF(AND(RV$16&gt;=$F50,RV$16&lt;$F50+($G50*$I50)),"➤",""),"")</f>
        <v/>
      </c>
      <c r="RW50" s="76" t="str">
        <f aca="false">IF($I50&gt;0%,IF(AND(RW$16&gt;=$F50,RW$16&lt;$F50+($G50*$I50)),"➤",""),"")</f>
        <v/>
      </c>
      <c r="RX50" s="76" t="str">
        <f aca="false">IF($I50&gt;0%,IF(AND(RX$16&gt;=$F50,RX$16&lt;$F50+($G50*$I50)),"➤",""),"")</f>
        <v/>
      </c>
      <c r="RY50" s="76" t="str">
        <f aca="false">IF($I50&gt;0%,IF(AND(RY$16&gt;=$F50,RY$16&lt;$F50+($G50*$I50)),"➤",""),"")</f>
        <v/>
      </c>
      <c r="RZ50" s="76" t="str">
        <f aca="false">IF($I50&gt;0%,IF(AND(RZ$16&gt;=$F50,RZ$16&lt;$F50+($G50*$I50)),"➤",""),"")</f>
        <v/>
      </c>
      <c r="SA50" s="76" t="str">
        <f aca="false">IF($I50&gt;0%,IF(AND(SA$16&gt;=$F50,SA$16&lt;$F50+($G50*$I50)),"➤",""),"")</f>
        <v/>
      </c>
      <c r="SB50" s="76" t="str">
        <f aca="false">IF($I50&gt;0%,IF(AND(SB$16&gt;=$F50,SB$16&lt;$F50+($G50*$I50)),"➤",""),"")</f>
        <v/>
      </c>
      <c r="SC50" s="76" t="str">
        <f aca="false">IF($I50&gt;0%,IF(AND(SC$16&gt;=$F50,SC$16&lt;$F50+($G50*$I50)),"➤",""),"")</f>
        <v/>
      </c>
      <c r="SD50" s="76" t="str">
        <f aca="false">IF($I50&gt;0%,IF(AND(SD$16&gt;=$F50,SD$16&lt;$F50+($G50*$I50)),"➤",""),"")</f>
        <v/>
      </c>
      <c r="SE50" s="76" t="str">
        <f aca="false">IF($I50&gt;0%,IF(AND(SE$16&gt;=$F50,SE$16&lt;$F50+($G50*$I50)),"➤",""),"")</f>
        <v/>
      </c>
      <c r="SF50" s="76" t="str">
        <f aca="false">IF($I50&gt;0%,IF(AND(SF$16&gt;=$F50,SF$16&lt;$F50+($G50*$I50)),"➤",""),"")</f>
        <v/>
      </c>
      <c r="SG50" s="76" t="str">
        <f aca="false">IF($I50&gt;0%,IF(AND(SG$16&gt;=$F50,SG$16&lt;$F50+($G50*$I50)),"➤",""),"")</f>
        <v/>
      </c>
      <c r="SH50" s="76" t="str">
        <f aca="false">IF($I50&gt;0%,IF(AND(SH$16&gt;=$F50,SH$16&lt;$F50+($G50*$I50)),"➤",""),"")</f>
        <v/>
      </c>
      <c r="SI50" s="76" t="str">
        <f aca="false">IF($I50&gt;0%,IF(AND(SI$16&gt;=$F50,SI$16&lt;$F50+($G50*$I50)),"➤",""),"")</f>
        <v/>
      </c>
      <c r="SJ50" s="76" t="str">
        <f aca="false">IF($I50&gt;0%,IF(AND(SJ$16&gt;=$F50,SJ$16&lt;$F50+($G50*$I50)),"➤",""),"")</f>
        <v/>
      </c>
      <c r="SK50" s="76" t="str">
        <f aca="false">IF($I50&gt;0%,IF(AND(SK$16&gt;=$F50,SK$16&lt;$F50+($G50*$I50)),"➤",""),"")</f>
        <v/>
      </c>
      <c r="SL50" s="76" t="str">
        <f aca="false">IF($I50&gt;0%,IF(AND(SL$16&gt;=$F50,SL$16&lt;$F50+($G50*$I50)),"➤",""),"")</f>
        <v/>
      </c>
      <c r="SM50" s="76" t="str">
        <f aca="false">IF($I50&gt;0%,IF(AND(SM$16&gt;=$F50,SM$16&lt;$F50+($G50*$I50)),"➤",""),"")</f>
        <v/>
      </c>
      <c r="SN50" s="76" t="str">
        <f aca="false">IF($I50&gt;0%,IF(AND(SN$16&gt;=$F50,SN$16&lt;$F50+($G50*$I50)),"➤",""),"")</f>
        <v/>
      </c>
      <c r="SO50" s="76" t="str">
        <f aca="false">IF($I50&gt;0%,IF(AND(SO$16&gt;=$F50,SO$16&lt;$F50+($G50*$I50)),"➤",""),"")</f>
        <v/>
      </c>
      <c r="SP50" s="76" t="str">
        <f aca="false">IF($I50&gt;0%,IF(AND(SP$16&gt;=$F50,SP$16&lt;$F50+($G50*$I50)),"➤",""),"")</f>
        <v/>
      </c>
      <c r="SQ50" s="76" t="str">
        <f aca="false">IF($I50&gt;0%,IF(AND(SQ$16&gt;=$F50,SQ$16&lt;$F50+($G50*$I50)),"➤",""),"")</f>
        <v/>
      </c>
      <c r="SR50" s="76" t="str">
        <f aca="false">IF($I50&gt;0%,IF(AND(SR$16&gt;=$F50,SR$16&lt;$F50+($G50*$I50)),"➤",""),"")</f>
        <v/>
      </c>
      <c r="SS50" s="76" t="str">
        <f aca="false">IF($I50&gt;0%,IF(AND(SS$16&gt;=$F50,SS$16&lt;$F50+($G50*$I50)),"➤",""),"")</f>
        <v/>
      </c>
      <c r="ST50" s="76" t="str">
        <f aca="false">IF($I50&gt;0%,IF(AND(ST$16&gt;=$F50,ST$16&lt;$F50+($G50*$I50)),"➤",""),"")</f>
        <v/>
      </c>
      <c r="SU50" s="76" t="str">
        <f aca="false">IF($I50&gt;0%,IF(AND(SU$16&gt;=$F50,SU$16&lt;$F50+($G50*$I50)),"➤",""),"")</f>
        <v/>
      </c>
      <c r="SV50" s="76" t="str">
        <f aca="false">IF($I50&gt;0%,IF(AND(SV$16&gt;=$F50,SV$16&lt;$F50+($G50*$I50)),"➤",""),"")</f>
        <v/>
      </c>
      <c r="SW50" s="77" t="str">
        <f aca="false">IF($I50&gt;0%,IF(AND(SW$16&gt;=$F50,SW$16&lt;$F50+($G50*$I50)),"➤",""),"")</f>
        <v/>
      </c>
    </row>
    <row r="51" customFormat="false" ht="14.25" hidden="false" customHeight="false" outlineLevel="1" collapsed="false">
      <c r="C51" s="10"/>
      <c r="D51" s="78"/>
      <c r="E51" s="79"/>
      <c r="F51" s="80" t="n">
        <v>44181</v>
      </c>
      <c r="G51" s="109" t="n">
        <v>3</v>
      </c>
      <c r="H51" s="96" t="n">
        <f aca="false">(F51+G51)-1</f>
        <v>44183</v>
      </c>
      <c r="I51" s="98" t="n">
        <v>0</v>
      </c>
      <c r="J51" s="84"/>
      <c r="K51" s="85"/>
      <c r="L51" s="75" t="str">
        <f aca="false">IF($I51&gt;0%,IF(AND(L$16&gt;=$F51,L$16&lt;$F51+($G51*$I51)),"➤",""),"")</f>
        <v/>
      </c>
      <c r="M51" s="76" t="str">
        <f aca="false">IF($I51&gt;0%,IF(AND(M$16&gt;=$F51,M$16&lt;$F51+($G51*$I51)),"➤",""),"")</f>
        <v/>
      </c>
      <c r="N51" s="76" t="str">
        <f aca="false">IF($I51&gt;0%,IF(AND(N$16&gt;=$F51,N$16&lt;$F51+($G51*$I51)),"➤",""),"")</f>
        <v/>
      </c>
      <c r="O51" s="76" t="str">
        <f aca="false">IF($I51&gt;0%,IF(AND(O$16&gt;=$F51,O$16&lt;$F51+($G51*$I51)),"➤",""),"")</f>
        <v/>
      </c>
      <c r="P51" s="76" t="str">
        <f aca="false">IF($I51&gt;0%,IF(AND(P$16&gt;=$F51,P$16&lt;$F51+($G51*$I51)),"➤",""),"")</f>
        <v/>
      </c>
      <c r="Q51" s="76" t="str">
        <f aca="false">IF($I51&gt;0%,IF(AND(Q$16&gt;=$F51,Q$16&lt;$F51+($G51*$I51)),"➤",""),"")</f>
        <v/>
      </c>
      <c r="R51" s="76" t="str">
        <f aca="false">IF($I51&gt;0%,IF(AND(R$16&gt;=$F51,R$16&lt;$F51+($G51*$I51)),"➤",""),"")</f>
        <v/>
      </c>
      <c r="S51" s="76" t="str">
        <f aca="false">IF($I51&gt;0%,IF(AND(S$16&gt;=$F51,S$16&lt;$F51+($G51*$I51)),"➤",""),"")</f>
        <v/>
      </c>
      <c r="T51" s="76" t="str">
        <f aca="false">IF($I51&gt;0%,IF(AND(T$16&gt;=$F51,T$16&lt;$F51+($G51*$I51)),"➤",""),"")</f>
        <v/>
      </c>
      <c r="U51" s="76" t="str">
        <f aca="false">IF($I51&gt;0%,IF(AND(U$16&gt;=$F51,U$16&lt;$F51+($G51*$I51)),"➤",""),"")</f>
        <v/>
      </c>
      <c r="V51" s="76" t="str">
        <f aca="false">IF($I51&gt;0%,IF(AND(V$16&gt;=$F51,V$16&lt;$F51+($G51*$I51)),"➤",""),"")</f>
        <v/>
      </c>
      <c r="W51" s="76" t="str">
        <f aca="false">IF($I51&gt;0%,IF(AND(W$16&gt;=$F51,W$16&lt;$F51+($G51*$I51)),"➤",""),"")</f>
        <v/>
      </c>
      <c r="X51" s="76" t="str">
        <f aca="false">IF($I51&gt;0%,IF(AND(X$16&gt;=$F51,X$16&lt;$F51+($G51*$I51)),"➤",""),"")</f>
        <v/>
      </c>
      <c r="Y51" s="76" t="str">
        <f aca="false">IF($I51&gt;0%,IF(AND(Y$16&gt;=$F51,Y$16&lt;$F51+($G51*$I51)),"➤",""),"")</f>
        <v/>
      </c>
      <c r="Z51" s="76" t="str">
        <f aca="false">IF($I51&gt;0%,IF(AND(Z$16&gt;=$F51,Z$16&lt;$F51+($G51*$I51)),"➤",""),"")</f>
        <v/>
      </c>
      <c r="AA51" s="76" t="str">
        <f aca="false">IF($I51&gt;0%,IF(AND(AA$16&gt;=$F51,AA$16&lt;$F51+($G51*$I51)),"➤",""),"")</f>
        <v/>
      </c>
      <c r="AB51" s="76" t="str">
        <f aca="false">IF($I51&gt;0%,IF(AND(AB$16&gt;=$F51,AB$16&lt;$F51+($G51*$I51)),"➤",""),"")</f>
        <v/>
      </c>
      <c r="AC51" s="76" t="str">
        <f aca="false">IF($I51&gt;0%,IF(AND(AC$16&gt;=$F51,AC$16&lt;$F51+($G51*$I51)),"➤",""),"")</f>
        <v/>
      </c>
      <c r="AD51" s="76" t="str">
        <f aca="false">IF($I51&gt;0%,IF(AND(AD$16&gt;=$F51,AD$16&lt;$F51+($G51*$I51)),"➤",""),"")</f>
        <v/>
      </c>
      <c r="AE51" s="76" t="str">
        <f aca="false">IF($I51&gt;0%,IF(AND(AE$16&gt;=$F51,AE$16&lt;$F51+($G51*$I51)),"➤",""),"")</f>
        <v/>
      </c>
      <c r="AF51" s="76" t="str">
        <f aca="false">IF($I51&gt;0%,IF(AND(AF$16&gt;=$F51,AF$16&lt;$F51+($G51*$I51)),"➤",""),"")</f>
        <v/>
      </c>
      <c r="AG51" s="76" t="str">
        <f aca="false">IF($I51&gt;0%,IF(AND(AG$16&gt;=$F51,AG$16&lt;$F51+($G51*$I51)),"➤",""),"")</f>
        <v/>
      </c>
      <c r="AH51" s="76" t="str">
        <f aca="false">IF($I51&gt;0%,IF(AND(AH$16&gt;=$F51,AH$16&lt;$F51+($G51*$I51)),"➤",""),"")</f>
        <v/>
      </c>
      <c r="AI51" s="76" t="str">
        <f aca="false">IF($I51&gt;0%,IF(AND(AI$16&gt;=$F51,AI$16&lt;$F51+($G51*$I51)),"➤",""),"")</f>
        <v/>
      </c>
      <c r="AJ51" s="76" t="str">
        <f aca="false">IF($I51&gt;0%,IF(AND(AJ$16&gt;=$F51,AJ$16&lt;$F51+($G51*$I51)),"➤",""),"")</f>
        <v/>
      </c>
      <c r="AK51" s="76" t="str">
        <f aca="false">IF($I51&gt;0%,IF(AND(AK$16&gt;=$F51,AK$16&lt;$F51+($G51*$I51)),"➤",""),"")</f>
        <v/>
      </c>
      <c r="AL51" s="76" t="str">
        <f aca="false">IF($I51&gt;0%,IF(AND(AL$16&gt;=$F51,AL$16&lt;$F51+($G51*$I51)),"➤",""),"")</f>
        <v/>
      </c>
      <c r="AM51" s="76" t="str">
        <f aca="false">IF($I51&gt;0%,IF(AND(AM$16&gt;=$F51,AM$16&lt;$F51+($G51*$I51)),"➤",""),"")</f>
        <v/>
      </c>
      <c r="AN51" s="76" t="str">
        <f aca="false">IF($I51&gt;0%,IF(AND(AN$16&gt;=$F51,AN$16&lt;$F51+($G51*$I51)),"➤",""),"")</f>
        <v/>
      </c>
      <c r="AO51" s="76" t="str">
        <f aca="false">IF($I51&gt;0%,IF(AND(AO$16&gt;=$F51,AO$16&lt;$F51+($G51*$I51)),"➤",""),"")</f>
        <v/>
      </c>
      <c r="AP51" s="76" t="str">
        <f aca="false">IF($I51&gt;0%,IF(AND(AP$16&gt;=$F51,AP$16&lt;$F51+($G51*$I51)),"➤",""),"")</f>
        <v/>
      </c>
      <c r="AQ51" s="76" t="str">
        <f aca="false">IF($I51&gt;0%,IF(AND(AQ$16&gt;=$F51,AQ$16&lt;$F51+($G51*$I51)),"➤",""),"")</f>
        <v/>
      </c>
      <c r="AR51" s="76" t="str">
        <f aca="false">IF($I51&gt;0%,IF(AND(AR$16&gt;=$F51,AR$16&lt;$F51+($G51*$I51)),"➤",""),"")</f>
        <v/>
      </c>
      <c r="AS51" s="76" t="str">
        <f aca="false">IF($I51&gt;0%,IF(AND(AS$16&gt;=$F51,AS$16&lt;$F51+($G51*$I51)),"➤",""),"")</f>
        <v/>
      </c>
      <c r="AT51" s="76" t="str">
        <f aca="false">IF($I51&gt;0%,IF(AND(AT$16&gt;=$F51,AT$16&lt;$F51+($G51*$I51)),"➤",""),"")</f>
        <v/>
      </c>
      <c r="AU51" s="76" t="str">
        <f aca="false">IF($I51&gt;0%,IF(AND(AU$16&gt;=$F51,AU$16&lt;$F51+($G51*$I51)),"➤",""),"")</f>
        <v/>
      </c>
      <c r="AV51" s="76" t="str">
        <f aca="false">IF($I51&gt;0%,IF(AND(AV$16&gt;=$F51,AV$16&lt;$F51+($G51*$I51)),"➤",""),"")</f>
        <v/>
      </c>
      <c r="AW51" s="76" t="str">
        <f aca="false">IF($I51&gt;0%,IF(AND(AW$16&gt;=$F51,AW$16&lt;$F51+($G51*$I51)),"➤",""),"")</f>
        <v/>
      </c>
      <c r="AX51" s="76" t="str">
        <f aca="false">IF($I51&gt;0%,IF(AND(AX$16&gt;=$F51,AX$16&lt;$F51+($G51*$I51)),"➤",""),"")</f>
        <v/>
      </c>
      <c r="AY51" s="76" t="str">
        <f aca="false">IF($I51&gt;0%,IF(AND(AY$16&gt;=$F51,AY$16&lt;$F51+($G51*$I51)),"➤",""),"")</f>
        <v/>
      </c>
      <c r="AZ51" s="76" t="str">
        <f aca="false">IF($I51&gt;0%,IF(AND(AZ$16&gt;=$F51,AZ$16&lt;$F51+($G51*$I51)),"➤",""),"")</f>
        <v/>
      </c>
      <c r="BA51" s="76" t="str">
        <f aca="false">IF($I51&gt;0%,IF(AND(BA$16&gt;=$F51,BA$16&lt;$F51+($G51*$I51)),"➤",""),"")</f>
        <v/>
      </c>
      <c r="BB51" s="76" t="str">
        <f aca="false">IF($I51&gt;0%,IF(AND(BB$16&gt;=$F51,BB$16&lt;$F51+($G51*$I51)),"➤",""),"")</f>
        <v/>
      </c>
      <c r="BC51" s="76" t="str">
        <f aca="false">IF($I51&gt;0%,IF(AND(BC$16&gt;=$F51,BC$16&lt;$F51+($G51*$I51)),"➤",""),"")</f>
        <v/>
      </c>
      <c r="BD51" s="76" t="str">
        <f aca="false">IF($I51&gt;0%,IF(AND(BD$16&gt;=$F51,BD$16&lt;$F51+($G51*$I51)),"➤",""),"")</f>
        <v/>
      </c>
      <c r="BE51" s="76" t="str">
        <f aca="false">IF($I51&gt;0%,IF(AND(BE$16&gt;=$F51,BE$16&lt;$F51+($G51*$I51)),"➤",""),"")</f>
        <v/>
      </c>
      <c r="BF51" s="76" t="str">
        <f aca="false">IF($I51&gt;0%,IF(AND(BF$16&gt;=$F51,BF$16&lt;$F51+($G51*$I51)),"➤",""),"")</f>
        <v/>
      </c>
      <c r="BG51" s="76" t="str">
        <f aca="false">IF($I51&gt;0%,IF(AND(BG$16&gt;=$F51,BG$16&lt;$F51+($G51*$I51)),"➤",""),"")</f>
        <v/>
      </c>
      <c r="BH51" s="76" t="str">
        <f aca="false">IF($I51&gt;0%,IF(AND(BH$16&gt;=$F51,BH$16&lt;$F51+($G51*$I51)),"➤",""),"")</f>
        <v/>
      </c>
      <c r="BI51" s="76" t="str">
        <f aca="false">IF($I51&gt;0%,IF(AND(BI$16&gt;=$F51,BI$16&lt;$F51+($G51*$I51)),"➤",""),"")</f>
        <v/>
      </c>
      <c r="BJ51" s="76" t="str">
        <f aca="false">IF($I51&gt;0%,IF(AND(BJ$16&gt;=$F51,BJ$16&lt;$F51+($G51*$I51)),"➤",""),"")</f>
        <v/>
      </c>
      <c r="BK51" s="76" t="str">
        <f aca="false">IF($I51&gt;0%,IF(AND(BK$16&gt;=$F51,BK$16&lt;$F51+($G51*$I51)),"➤",""),"")</f>
        <v/>
      </c>
      <c r="BL51" s="76" t="str">
        <f aca="false">IF($I51&gt;0%,IF(AND(BL$16&gt;=$F51,BL$16&lt;$F51+($G51*$I51)),"➤",""),"")</f>
        <v/>
      </c>
      <c r="BM51" s="76" t="str">
        <f aca="false">IF($I51&gt;0%,IF(AND(BM$16&gt;=$F51,BM$16&lt;$F51+($G51*$I51)),"➤",""),"")</f>
        <v/>
      </c>
      <c r="BN51" s="76" t="str">
        <f aca="false">IF($I51&gt;0%,IF(AND(BN$16&gt;=$F51,BN$16&lt;$F51+($G51*$I51)),"➤",""),"")</f>
        <v/>
      </c>
      <c r="BO51" s="76" t="str">
        <f aca="false">IF($I51&gt;0%,IF(AND(BO$16&gt;=$F51,BO$16&lt;$F51+($G51*$I51)),"➤",""),"")</f>
        <v/>
      </c>
      <c r="BP51" s="76" t="str">
        <f aca="false">IF($I51&gt;0%,IF(AND(BP$16&gt;=$F51,BP$16&lt;$F51+($G51*$I51)),"➤",""),"")</f>
        <v/>
      </c>
      <c r="BQ51" s="76" t="str">
        <f aca="false">IF($I51&gt;0%,IF(AND(BQ$16&gt;=$F51,BQ$16&lt;$F51+($G51*$I51)),"➤",""),"")</f>
        <v/>
      </c>
      <c r="BR51" s="76" t="str">
        <f aca="false">IF($I51&gt;0%,IF(AND(BR$16&gt;=$F51,BR$16&lt;$F51+($G51*$I51)),"➤",""),"")</f>
        <v/>
      </c>
      <c r="BS51" s="76" t="str">
        <f aca="false">IF($I51&gt;0%,IF(AND(BS$16&gt;=$F51,BS$16&lt;$F51+($G51*$I51)),"➤",""),"")</f>
        <v/>
      </c>
      <c r="BT51" s="76" t="str">
        <f aca="false">IF($I51&gt;0%,IF(AND(BT$16&gt;=$F51,BT$16&lt;$F51+($G51*$I51)),"➤",""),"")</f>
        <v/>
      </c>
      <c r="BU51" s="76" t="str">
        <f aca="false">IF($I51&gt;0%,IF(AND(BU$16&gt;=$F51,BU$16&lt;$F51+($G51*$I51)),"➤",""),"")</f>
        <v/>
      </c>
      <c r="BV51" s="76" t="str">
        <f aca="false">IF($I51&gt;0%,IF(AND(BV$16&gt;=$F51,BV$16&lt;$F51+($G51*$I51)),"➤",""),"")</f>
        <v/>
      </c>
      <c r="BW51" s="76" t="str">
        <f aca="false">IF($I51&gt;0%,IF(AND(BW$16&gt;=$F51,BW$16&lt;$F51+($G51*$I51)),"➤",""),"")</f>
        <v/>
      </c>
      <c r="BX51" s="76" t="str">
        <f aca="false">IF($I51&gt;0%,IF(AND(BX$16&gt;=$F51,BX$16&lt;$F51+($G51*$I51)),"➤",""),"")</f>
        <v/>
      </c>
      <c r="BY51" s="76" t="str">
        <f aca="false">IF($I51&gt;0%,IF(AND(BY$16&gt;=$F51,BY$16&lt;$F51+($G51*$I51)),"➤",""),"")</f>
        <v/>
      </c>
      <c r="BZ51" s="76" t="str">
        <f aca="false">IF($I51&gt;0%,IF(AND(BZ$16&gt;=$F51,BZ$16&lt;$F51+($G51*$I51)),"➤",""),"")</f>
        <v/>
      </c>
      <c r="CA51" s="76" t="str">
        <f aca="false">IF($I51&gt;0%,IF(AND(CA$16&gt;=$F51,CA$16&lt;$F51+($G51*$I51)),"➤",""),"")</f>
        <v/>
      </c>
      <c r="CB51" s="76" t="str">
        <f aca="false">IF($I51&gt;0%,IF(AND(CB$16&gt;=$F51,CB$16&lt;$F51+($G51*$I51)),"➤",""),"")</f>
        <v/>
      </c>
      <c r="CC51" s="76" t="str">
        <f aca="false">IF($I51&gt;0%,IF(AND(CC$16&gt;=$F51,CC$16&lt;$F51+($G51*$I51)),"➤",""),"")</f>
        <v/>
      </c>
      <c r="CD51" s="76" t="str">
        <f aca="false">IF($I51&gt;0%,IF(AND(CD$16&gt;=$F51,CD$16&lt;$F51+($G51*$I51)),"➤",""),"")</f>
        <v/>
      </c>
      <c r="CE51" s="76" t="str">
        <f aca="false">IF($I51&gt;0%,IF(AND(CE$16&gt;=$F51,CE$16&lt;$F51+($G51*$I51)),"➤",""),"")</f>
        <v/>
      </c>
      <c r="CF51" s="76" t="str">
        <f aca="false">IF($I51&gt;0%,IF(AND(CF$16&gt;=$F51,CF$16&lt;$F51+($G51*$I51)),"➤",""),"")</f>
        <v/>
      </c>
      <c r="CG51" s="76" t="str">
        <f aca="false">IF($I51&gt;0%,IF(AND(CG$16&gt;=$F51,CG$16&lt;$F51+($G51*$I51)),"➤",""),"")</f>
        <v/>
      </c>
      <c r="CH51" s="76" t="str">
        <f aca="false">IF($I51&gt;0%,IF(AND(CH$16&gt;=$F51,CH$16&lt;$F51+($G51*$I51)),"➤",""),"")</f>
        <v/>
      </c>
      <c r="CI51" s="76" t="str">
        <f aca="false">IF($I51&gt;0%,IF(AND(CI$16&gt;=$F51,CI$16&lt;$F51+($G51*$I51)),"➤",""),"")</f>
        <v/>
      </c>
      <c r="CJ51" s="76" t="str">
        <f aca="false">IF($I51&gt;0%,IF(AND(CJ$16&gt;=$F51,CJ$16&lt;$F51+($G51*$I51)),"➤",""),"")</f>
        <v/>
      </c>
      <c r="CK51" s="76" t="str">
        <f aca="false">IF($I51&gt;0%,IF(AND(CK$16&gt;=$F51,CK$16&lt;$F51+($G51*$I51)),"➤",""),"")</f>
        <v/>
      </c>
      <c r="CL51" s="76" t="str">
        <f aca="false">IF($I51&gt;0%,IF(AND(CL$16&gt;=$F51,CL$16&lt;$F51+($G51*$I51)),"➤",""),"")</f>
        <v/>
      </c>
      <c r="CM51" s="76" t="str">
        <f aca="false">IF($I51&gt;0%,IF(AND(CM$16&gt;=$F51,CM$16&lt;$F51+($G51*$I51)),"➤",""),"")</f>
        <v/>
      </c>
      <c r="CN51" s="76" t="str">
        <f aca="false">IF($I51&gt;0%,IF(AND(CN$16&gt;=$F51,CN$16&lt;$F51+($G51*$I51)),"➤",""),"")</f>
        <v/>
      </c>
      <c r="CO51" s="76" t="str">
        <f aca="false">IF($I51&gt;0%,IF(AND(CO$16&gt;=$F51,CO$16&lt;$F51+($G51*$I51)),"➤",""),"")</f>
        <v/>
      </c>
      <c r="CP51" s="76" t="str">
        <f aca="false">IF($I51&gt;0%,IF(AND(CP$16&gt;=$F51,CP$16&lt;$F51+($G51*$I51)),"➤",""),"")</f>
        <v/>
      </c>
      <c r="CQ51" s="76" t="str">
        <f aca="false">IF($I51&gt;0%,IF(AND(CQ$16&gt;=$F51,CQ$16&lt;$F51+($G51*$I51)),"➤",""),"")</f>
        <v/>
      </c>
      <c r="CR51" s="76" t="str">
        <f aca="false">IF($I51&gt;0%,IF(AND(CR$16&gt;=$F51,CR$16&lt;$F51+($G51*$I51)),"➤",""),"")</f>
        <v/>
      </c>
      <c r="CS51" s="76" t="str">
        <f aca="false">IF($I51&gt;0%,IF(AND(CS$16&gt;=$F51,CS$16&lt;$F51+($G51*$I51)),"➤",""),"")</f>
        <v/>
      </c>
      <c r="CT51" s="76" t="str">
        <f aca="false">IF($I51&gt;0%,IF(AND(CT$16&gt;=$F51,CT$16&lt;$F51+($G51*$I51)),"➤",""),"")</f>
        <v/>
      </c>
      <c r="CU51" s="76" t="str">
        <f aca="false">IF($I51&gt;0%,IF(AND(CU$16&gt;=$F51,CU$16&lt;$F51+($G51*$I51)),"➤",""),"")</f>
        <v/>
      </c>
      <c r="CV51" s="76" t="str">
        <f aca="false">IF($I51&gt;0%,IF(AND(CV$16&gt;=$F51,CV$16&lt;$F51+($G51*$I51)),"➤",""),"")</f>
        <v/>
      </c>
      <c r="CW51" s="76" t="str">
        <f aca="false">IF($I51&gt;0%,IF(AND(CW$16&gt;=$F51,CW$16&lt;$F51+($G51*$I51)),"➤",""),"")</f>
        <v/>
      </c>
      <c r="CX51" s="76" t="str">
        <f aca="false">IF($I51&gt;0%,IF(AND(CX$16&gt;=$F51,CX$16&lt;$F51+($G51*$I51)),"➤",""),"")</f>
        <v/>
      </c>
      <c r="CY51" s="76" t="str">
        <f aca="false">IF($I51&gt;0%,IF(AND(CY$16&gt;=$F51,CY$16&lt;$F51+($G51*$I51)),"➤",""),"")</f>
        <v/>
      </c>
      <c r="CZ51" s="76" t="str">
        <f aca="false">IF($I51&gt;0%,IF(AND(CZ$16&gt;=$F51,CZ$16&lt;$F51+($G51*$I51)),"➤",""),"")</f>
        <v/>
      </c>
      <c r="DA51" s="76" t="str">
        <f aca="false">IF($I51&gt;0%,IF(AND(DA$16&gt;=$F51,DA$16&lt;$F51+($G51*$I51)),"➤",""),"")</f>
        <v/>
      </c>
      <c r="DB51" s="76" t="str">
        <f aca="false">IF($I51&gt;0%,IF(AND(DB$16&gt;=$F51,DB$16&lt;$F51+($G51*$I51)),"➤",""),"")</f>
        <v/>
      </c>
      <c r="DC51" s="76" t="str">
        <f aca="false">IF($I51&gt;0%,IF(AND(DC$16&gt;=$F51,DC$16&lt;$F51+($G51*$I51)),"➤",""),"")</f>
        <v/>
      </c>
      <c r="DD51" s="76" t="str">
        <f aca="false">IF($I51&gt;0%,IF(AND(DD$16&gt;=$F51,DD$16&lt;$F51+($G51*$I51)),"➤",""),"")</f>
        <v/>
      </c>
      <c r="DE51" s="76" t="str">
        <f aca="false">IF($I51&gt;0%,IF(AND(DE$16&gt;=$F51,DE$16&lt;$F51+($G51*$I51)),"➤",""),"")</f>
        <v/>
      </c>
      <c r="DF51" s="76" t="str">
        <f aca="false">IF($I51&gt;0%,IF(AND(DF$16&gt;=$F51,DF$16&lt;$F51+($G51*$I51)),"➤",""),"")</f>
        <v/>
      </c>
      <c r="DG51" s="76" t="str">
        <f aca="false">IF($I51&gt;0%,IF(AND(DG$16&gt;=$F51,DG$16&lt;$F51+($G51*$I51)),"➤",""),"")</f>
        <v/>
      </c>
      <c r="DH51" s="76" t="str">
        <f aca="false">IF($I51&gt;0%,IF(AND(DH$16&gt;=$F51,DH$16&lt;$F51+($G51*$I51)),"➤",""),"")</f>
        <v/>
      </c>
      <c r="DI51" s="76" t="str">
        <f aca="false">IF($I51&gt;0%,IF(AND(DI$16&gt;=$F51,DI$16&lt;$F51+($G51*$I51)),"➤",""),"")</f>
        <v/>
      </c>
      <c r="DJ51" s="76" t="str">
        <f aca="false">IF($I51&gt;0%,IF(AND(DJ$16&gt;=$F51,DJ$16&lt;$F51+($G51*$I51)),"➤",""),"")</f>
        <v/>
      </c>
      <c r="DK51" s="76" t="str">
        <f aca="false">IF($I51&gt;0%,IF(AND(DK$16&gt;=$F51,DK$16&lt;$F51+($G51*$I51)),"➤",""),"")</f>
        <v/>
      </c>
      <c r="DL51" s="76" t="str">
        <f aca="false">IF($I51&gt;0%,IF(AND(DL$16&gt;=$F51,DL$16&lt;$F51+($G51*$I51)),"➤",""),"")</f>
        <v/>
      </c>
      <c r="DM51" s="76" t="str">
        <f aca="false">IF($I51&gt;0%,IF(AND(DM$16&gt;=$F51,DM$16&lt;$F51+($G51*$I51)),"➤",""),"")</f>
        <v/>
      </c>
      <c r="DN51" s="76" t="str">
        <f aca="false">IF($I51&gt;0%,IF(AND(DN$16&gt;=$F51,DN$16&lt;$F51+($G51*$I51)),"➤",""),"")</f>
        <v/>
      </c>
      <c r="DO51" s="76" t="str">
        <f aca="false">IF($I51&gt;0%,IF(AND(DO$16&gt;=$F51,DO$16&lt;$F51+($G51*$I51)),"➤",""),"")</f>
        <v/>
      </c>
      <c r="DP51" s="76" t="str">
        <f aca="false">IF($I51&gt;0%,IF(AND(DP$16&gt;=$F51,DP$16&lt;$F51+($G51*$I51)),"➤",""),"")</f>
        <v/>
      </c>
      <c r="DQ51" s="76" t="str">
        <f aca="false">IF($I51&gt;0%,IF(AND(DQ$16&gt;=$F51,DQ$16&lt;$F51+($G51*$I51)),"➤",""),"")</f>
        <v/>
      </c>
      <c r="DR51" s="76" t="str">
        <f aca="false">IF($I51&gt;0%,IF(AND(DR$16&gt;=$F51,DR$16&lt;$F51+($G51*$I51)),"➤",""),"")</f>
        <v/>
      </c>
      <c r="DS51" s="76" t="str">
        <f aca="false">IF($I51&gt;0%,IF(AND(DS$16&gt;=$F51,DS$16&lt;$F51+($G51*$I51)),"➤",""),"")</f>
        <v/>
      </c>
      <c r="DT51" s="76" t="str">
        <f aca="false">IF($I51&gt;0%,IF(AND(DT$16&gt;=$F51,DT$16&lt;$F51+($G51*$I51)),"➤",""),"")</f>
        <v/>
      </c>
      <c r="DU51" s="76" t="str">
        <f aca="false">IF($I51&gt;0%,IF(AND(DU$16&gt;=$F51,DU$16&lt;$F51+($G51*$I51)),"➤",""),"")</f>
        <v/>
      </c>
      <c r="DV51" s="76" t="str">
        <f aca="false">IF($I51&gt;0%,IF(AND(DV$16&gt;=$F51,DV$16&lt;$F51+($G51*$I51)),"➤",""),"")</f>
        <v/>
      </c>
      <c r="DW51" s="76" t="str">
        <f aca="false">IF($I51&gt;0%,IF(AND(DW$16&gt;=$F51,DW$16&lt;$F51+($G51*$I51)),"➤",""),"")</f>
        <v/>
      </c>
      <c r="DX51" s="76" t="str">
        <f aca="false">IF($I51&gt;0%,IF(AND(DX$16&gt;=$F51,DX$16&lt;$F51+($G51*$I51)),"➤",""),"")</f>
        <v/>
      </c>
      <c r="DY51" s="76" t="str">
        <f aca="false">IF($I51&gt;0%,IF(AND(DY$16&gt;=$F51,DY$16&lt;$F51+($G51*$I51)),"➤",""),"")</f>
        <v/>
      </c>
      <c r="DZ51" s="76" t="str">
        <f aca="false">IF($I51&gt;0%,IF(AND(DZ$16&gt;=$F51,DZ$16&lt;$F51+($G51*$I51)),"➤",""),"")</f>
        <v/>
      </c>
      <c r="EA51" s="76" t="str">
        <f aca="false">IF($I51&gt;0%,IF(AND(EA$16&gt;=$F51,EA$16&lt;$F51+($G51*$I51)),"➤",""),"")</f>
        <v/>
      </c>
      <c r="EB51" s="76" t="str">
        <f aca="false">IF($I51&gt;0%,IF(AND(EB$16&gt;=$F51,EB$16&lt;$F51+($G51*$I51)),"➤",""),"")</f>
        <v/>
      </c>
      <c r="EC51" s="76" t="str">
        <f aca="false">IF($I51&gt;0%,IF(AND(EC$16&gt;=$F51,EC$16&lt;$F51+($G51*$I51)),"➤",""),"")</f>
        <v/>
      </c>
      <c r="ED51" s="76" t="str">
        <f aca="false">IF($I51&gt;0%,IF(AND(ED$16&gt;=$F51,ED$16&lt;$F51+($G51*$I51)),"➤",""),"")</f>
        <v/>
      </c>
      <c r="EE51" s="76" t="str">
        <f aca="false">IF($I51&gt;0%,IF(AND(EE$16&gt;=$F51,EE$16&lt;$F51+($G51*$I51)),"➤",""),"")</f>
        <v/>
      </c>
      <c r="EF51" s="76" t="str">
        <f aca="false">IF($I51&gt;0%,IF(AND(EF$16&gt;=$F51,EF$16&lt;$F51+($G51*$I51)),"➤",""),"")</f>
        <v/>
      </c>
      <c r="EG51" s="76" t="str">
        <f aca="false">IF($I51&gt;0%,IF(AND(EG$16&gt;=$F51,EG$16&lt;$F51+($G51*$I51)),"➤",""),"")</f>
        <v/>
      </c>
      <c r="EH51" s="76" t="str">
        <f aca="false">IF($I51&gt;0%,IF(AND(EH$16&gt;=$F51,EH$16&lt;$F51+($G51*$I51)),"➤",""),"")</f>
        <v/>
      </c>
      <c r="EI51" s="76" t="str">
        <f aca="false">IF($I51&gt;0%,IF(AND(EI$16&gt;=$F51,EI$16&lt;$F51+($G51*$I51)),"➤",""),"")</f>
        <v/>
      </c>
      <c r="EJ51" s="76" t="str">
        <f aca="false">IF($I51&gt;0%,IF(AND(EJ$16&gt;=$F51,EJ$16&lt;$F51+($G51*$I51)),"➤",""),"")</f>
        <v/>
      </c>
      <c r="EK51" s="76" t="str">
        <f aca="false">IF($I51&gt;0%,IF(AND(EK$16&gt;=$F51,EK$16&lt;$F51+($G51*$I51)),"➤",""),"")</f>
        <v/>
      </c>
      <c r="EL51" s="76" t="str">
        <f aca="false">IF($I51&gt;0%,IF(AND(EL$16&gt;=$F51,EL$16&lt;$F51+($G51*$I51)),"➤",""),"")</f>
        <v/>
      </c>
      <c r="EM51" s="76" t="str">
        <f aca="false">IF($I51&gt;0%,IF(AND(EM$16&gt;=$F51,EM$16&lt;$F51+($G51*$I51)),"➤",""),"")</f>
        <v/>
      </c>
      <c r="EN51" s="76" t="str">
        <f aca="false">IF($I51&gt;0%,IF(AND(EN$16&gt;=$F51,EN$16&lt;$F51+($G51*$I51)),"➤",""),"")</f>
        <v/>
      </c>
      <c r="EO51" s="76" t="str">
        <f aca="false">IF($I51&gt;0%,IF(AND(EO$16&gt;=$F51,EO$16&lt;$F51+($G51*$I51)),"➤",""),"")</f>
        <v/>
      </c>
      <c r="EP51" s="76" t="str">
        <f aca="false">IF($I51&gt;0%,IF(AND(EP$16&gt;=$F51,EP$16&lt;$F51+($G51*$I51)),"➤",""),"")</f>
        <v/>
      </c>
      <c r="EQ51" s="76" t="str">
        <f aca="false">IF($I51&gt;0%,IF(AND(EQ$16&gt;=$F51,EQ$16&lt;$F51+($G51*$I51)),"➤",""),"")</f>
        <v/>
      </c>
      <c r="ER51" s="76" t="str">
        <f aca="false">IF($I51&gt;0%,IF(AND(ER$16&gt;=$F51,ER$16&lt;$F51+($G51*$I51)),"➤",""),"")</f>
        <v/>
      </c>
      <c r="ES51" s="76" t="str">
        <f aca="false">IF($I51&gt;0%,IF(AND(ES$16&gt;=$F51,ES$16&lt;$F51+($G51*$I51)),"➤",""),"")</f>
        <v/>
      </c>
      <c r="ET51" s="76" t="str">
        <f aca="false">IF($I51&gt;0%,IF(AND(ET$16&gt;=$F51,ET$16&lt;$F51+($G51*$I51)),"➤",""),"")</f>
        <v/>
      </c>
      <c r="EU51" s="76" t="str">
        <f aca="false">IF($I51&gt;0%,IF(AND(EU$16&gt;=$F51,EU$16&lt;$F51+($G51*$I51)),"➤",""),"")</f>
        <v/>
      </c>
      <c r="EV51" s="76" t="str">
        <f aca="false">IF($I51&gt;0%,IF(AND(EV$16&gt;=$F51,EV$16&lt;$F51+($G51*$I51)),"➤",""),"")</f>
        <v/>
      </c>
      <c r="EW51" s="76" t="str">
        <f aca="false">IF($I51&gt;0%,IF(AND(EW$16&gt;=$F51,EW$16&lt;$F51+($G51*$I51)),"➤",""),"")</f>
        <v/>
      </c>
      <c r="EX51" s="76" t="str">
        <f aca="false">IF($I51&gt;0%,IF(AND(EX$16&gt;=$F51,EX$16&lt;$F51+($G51*$I51)),"➤",""),"")</f>
        <v/>
      </c>
      <c r="EY51" s="76" t="str">
        <f aca="false">IF($I51&gt;0%,IF(AND(EY$16&gt;=$F51,EY$16&lt;$F51+($G51*$I51)),"➤",""),"")</f>
        <v/>
      </c>
      <c r="EZ51" s="76" t="str">
        <f aca="false">IF($I51&gt;0%,IF(AND(EZ$16&gt;=$F51,EZ$16&lt;$F51+($G51*$I51)),"➤",""),"")</f>
        <v/>
      </c>
      <c r="FA51" s="76" t="str">
        <f aca="false">IF($I51&gt;0%,IF(AND(FA$16&gt;=$F51,FA$16&lt;$F51+($G51*$I51)),"➤",""),"")</f>
        <v/>
      </c>
      <c r="FB51" s="76" t="str">
        <f aca="false">IF($I51&gt;0%,IF(AND(FB$16&gt;=$F51,FB$16&lt;$F51+($G51*$I51)),"➤",""),"")</f>
        <v/>
      </c>
      <c r="FC51" s="76" t="str">
        <f aca="false">IF($I51&gt;0%,IF(AND(FC$16&gt;=$F51,FC$16&lt;$F51+($G51*$I51)),"➤",""),"")</f>
        <v/>
      </c>
      <c r="FD51" s="76" t="str">
        <f aca="false">IF($I51&gt;0%,IF(AND(FD$16&gt;=$F51,FD$16&lt;$F51+($G51*$I51)),"➤",""),"")</f>
        <v/>
      </c>
      <c r="FE51" s="76" t="str">
        <f aca="false">IF($I51&gt;0%,IF(AND(FE$16&gt;=$F51,FE$16&lt;$F51+($G51*$I51)),"➤",""),"")</f>
        <v/>
      </c>
      <c r="FF51" s="76" t="str">
        <f aca="false">IF($I51&gt;0%,IF(AND(FF$16&gt;=$F51,FF$16&lt;$F51+($G51*$I51)),"➤",""),"")</f>
        <v/>
      </c>
      <c r="FG51" s="76" t="str">
        <f aca="false">IF($I51&gt;0%,IF(AND(FG$16&gt;=$F51,FG$16&lt;$F51+($G51*$I51)),"➤",""),"")</f>
        <v/>
      </c>
      <c r="FH51" s="76" t="str">
        <f aca="false">IF($I51&gt;0%,IF(AND(FH$16&gt;=$F51,FH$16&lt;$F51+($G51*$I51)),"➤",""),"")</f>
        <v/>
      </c>
      <c r="FI51" s="76" t="str">
        <f aca="false">IF($I51&gt;0%,IF(AND(FI$16&gt;=$F51,FI$16&lt;$F51+($G51*$I51)),"➤",""),"")</f>
        <v/>
      </c>
      <c r="FJ51" s="76" t="str">
        <f aca="false">IF($I51&gt;0%,IF(AND(FJ$16&gt;=$F51,FJ$16&lt;$F51+($G51*$I51)),"➤",""),"")</f>
        <v/>
      </c>
      <c r="FK51" s="76" t="str">
        <f aca="false">IF($I51&gt;0%,IF(AND(FK$16&gt;=$F51,FK$16&lt;$F51+($G51*$I51)),"➤",""),"")</f>
        <v/>
      </c>
      <c r="FL51" s="76" t="str">
        <f aca="false">IF($I51&gt;0%,IF(AND(FL$16&gt;=$F51,FL$16&lt;$F51+($G51*$I51)),"➤",""),"")</f>
        <v/>
      </c>
      <c r="FM51" s="76" t="str">
        <f aca="false">IF($I51&gt;0%,IF(AND(FM$16&gt;=$F51,FM$16&lt;$F51+($G51*$I51)),"➤",""),"")</f>
        <v/>
      </c>
      <c r="FN51" s="76" t="str">
        <f aca="false">IF($I51&gt;0%,IF(AND(FN$16&gt;=$F51,FN$16&lt;$F51+($G51*$I51)),"➤",""),"")</f>
        <v/>
      </c>
      <c r="FO51" s="76" t="str">
        <f aca="false">IF($I51&gt;0%,IF(AND(FO$16&gt;=$F51,FO$16&lt;$F51+($G51*$I51)),"➤",""),"")</f>
        <v/>
      </c>
      <c r="FP51" s="76" t="str">
        <f aca="false">IF($I51&gt;0%,IF(AND(FP$16&gt;=$F51,FP$16&lt;$F51+($G51*$I51)),"➤",""),"")</f>
        <v/>
      </c>
      <c r="FQ51" s="76" t="str">
        <f aca="false">IF($I51&gt;0%,IF(AND(FQ$16&gt;=$F51,FQ$16&lt;$F51+($G51*$I51)),"➤",""),"")</f>
        <v/>
      </c>
      <c r="FR51" s="76" t="str">
        <f aca="false">IF($I51&gt;0%,IF(AND(FR$16&gt;=$F51,FR$16&lt;$F51+($G51*$I51)),"➤",""),"")</f>
        <v/>
      </c>
      <c r="FS51" s="76" t="str">
        <f aca="false">IF($I51&gt;0%,IF(AND(FS$16&gt;=$F51,FS$16&lt;$F51+($G51*$I51)),"➤",""),"")</f>
        <v/>
      </c>
      <c r="FT51" s="76" t="str">
        <f aca="false">IF($I51&gt;0%,IF(AND(FT$16&gt;=$F51,FT$16&lt;$F51+($G51*$I51)),"➤",""),"")</f>
        <v/>
      </c>
      <c r="FU51" s="76" t="str">
        <f aca="false">IF($I51&gt;0%,IF(AND(FU$16&gt;=$F51,FU$16&lt;$F51+($G51*$I51)),"➤",""),"")</f>
        <v/>
      </c>
      <c r="FV51" s="76" t="str">
        <f aca="false">IF($I51&gt;0%,IF(AND(FV$16&gt;=$F51,FV$16&lt;$F51+($G51*$I51)),"➤",""),"")</f>
        <v/>
      </c>
      <c r="FW51" s="76" t="str">
        <f aca="false">IF($I51&gt;0%,IF(AND(FW$16&gt;=$F51,FW$16&lt;$F51+($G51*$I51)),"➤",""),"")</f>
        <v/>
      </c>
      <c r="FX51" s="76" t="str">
        <f aca="false">IF($I51&gt;0%,IF(AND(FX$16&gt;=$F51,FX$16&lt;$F51+($G51*$I51)),"➤",""),"")</f>
        <v/>
      </c>
      <c r="FY51" s="76" t="str">
        <f aca="false">IF($I51&gt;0%,IF(AND(FY$16&gt;=$F51,FY$16&lt;$F51+($G51*$I51)),"➤",""),"")</f>
        <v/>
      </c>
      <c r="FZ51" s="76" t="str">
        <f aca="false">IF($I51&gt;0%,IF(AND(FZ$16&gt;=$F51,FZ$16&lt;$F51+($G51*$I51)),"➤",""),"")</f>
        <v/>
      </c>
      <c r="GA51" s="76" t="str">
        <f aca="false">IF($I51&gt;0%,IF(AND(GA$16&gt;=$F51,GA$16&lt;$F51+($G51*$I51)),"➤",""),"")</f>
        <v/>
      </c>
      <c r="GB51" s="76" t="str">
        <f aca="false">IF($I51&gt;0%,IF(AND(GB$16&gt;=$F51,GB$16&lt;$F51+($G51*$I51)),"➤",""),"")</f>
        <v/>
      </c>
      <c r="GC51" s="76" t="str">
        <f aca="false">IF($I51&gt;0%,IF(AND(GC$16&gt;=$F51,GC$16&lt;$F51+($G51*$I51)),"➤",""),"")</f>
        <v/>
      </c>
      <c r="GD51" s="76" t="str">
        <f aca="false">IF($I51&gt;0%,IF(AND(GD$16&gt;=$F51,GD$16&lt;$F51+($G51*$I51)),"➤",""),"")</f>
        <v/>
      </c>
      <c r="GE51" s="76" t="str">
        <f aca="false">IF($I51&gt;0%,IF(AND(GE$16&gt;=$F51,GE$16&lt;$F51+($G51*$I51)),"➤",""),"")</f>
        <v/>
      </c>
      <c r="GF51" s="76" t="str">
        <f aca="false">IF($I51&gt;0%,IF(AND(GF$16&gt;=$F51,GF$16&lt;$F51+($G51*$I51)),"➤",""),"")</f>
        <v/>
      </c>
      <c r="GG51" s="76" t="str">
        <f aca="false">IF($I51&gt;0%,IF(AND(GG$16&gt;=$F51,GG$16&lt;$F51+($G51*$I51)),"➤",""),"")</f>
        <v/>
      </c>
      <c r="GH51" s="76" t="str">
        <f aca="false">IF($I51&gt;0%,IF(AND(GH$16&gt;=$F51,GH$16&lt;$F51+($G51*$I51)),"➤",""),"")</f>
        <v/>
      </c>
      <c r="GI51" s="76" t="str">
        <f aca="false">IF($I51&gt;0%,IF(AND(GI$16&gt;=$F51,GI$16&lt;$F51+($G51*$I51)),"➤",""),"")</f>
        <v/>
      </c>
      <c r="GJ51" s="76" t="str">
        <f aca="false">IF($I51&gt;0%,IF(AND(GJ$16&gt;=$F51,GJ$16&lt;$F51+($G51*$I51)),"➤",""),"")</f>
        <v/>
      </c>
      <c r="GK51" s="76" t="str">
        <f aca="false">IF($I51&gt;0%,IF(AND(GK$16&gt;=$F51,GK$16&lt;$F51+($G51*$I51)),"➤",""),"")</f>
        <v/>
      </c>
      <c r="GL51" s="76" t="str">
        <f aca="false">IF($I51&gt;0%,IF(AND(GL$16&gt;=$F51,GL$16&lt;$F51+($G51*$I51)),"➤",""),"")</f>
        <v/>
      </c>
      <c r="GM51" s="76" t="str">
        <f aca="false">IF($I51&gt;0%,IF(AND(GM$16&gt;=$F51,GM$16&lt;$F51+($G51*$I51)),"➤",""),"")</f>
        <v/>
      </c>
      <c r="GN51" s="76" t="str">
        <f aca="false">IF($I51&gt;0%,IF(AND(GN$16&gt;=$F51,GN$16&lt;$F51+($G51*$I51)),"➤",""),"")</f>
        <v/>
      </c>
      <c r="GO51" s="76" t="str">
        <f aca="false">IF($I51&gt;0%,IF(AND(GO$16&gt;=$F51,GO$16&lt;$F51+($G51*$I51)),"➤",""),"")</f>
        <v/>
      </c>
      <c r="GP51" s="76" t="str">
        <f aca="false">IF($I51&gt;0%,IF(AND(GP$16&gt;=$F51,GP$16&lt;$F51+($G51*$I51)),"➤",""),"")</f>
        <v/>
      </c>
      <c r="GQ51" s="76" t="str">
        <f aca="false">IF($I51&gt;0%,IF(AND(GQ$16&gt;=$F51,GQ$16&lt;$F51+($G51*$I51)),"➤",""),"")</f>
        <v/>
      </c>
      <c r="GR51" s="76" t="str">
        <f aca="false">IF($I51&gt;0%,IF(AND(GR$16&gt;=$F51,GR$16&lt;$F51+($G51*$I51)),"➤",""),"")</f>
        <v/>
      </c>
      <c r="GS51" s="76" t="str">
        <f aca="false">IF($I51&gt;0%,IF(AND(GS$16&gt;=$F51,GS$16&lt;$F51+($G51*$I51)),"➤",""),"")</f>
        <v/>
      </c>
      <c r="GT51" s="76" t="str">
        <f aca="false">IF($I51&gt;0%,IF(AND(GT$16&gt;=$F51,GT$16&lt;$F51+($G51*$I51)),"➤",""),"")</f>
        <v/>
      </c>
      <c r="GU51" s="76" t="str">
        <f aca="false">IF($I51&gt;0%,IF(AND(GU$16&gt;=$F51,GU$16&lt;$F51+($G51*$I51)),"➤",""),"")</f>
        <v/>
      </c>
      <c r="GV51" s="76" t="str">
        <f aca="false">IF($I51&gt;0%,IF(AND(GV$16&gt;=$F51,GV$16&lt;$F51+($G51*$I51)),"➤",""),"")</f>
        <v/>
      </c>
      <c r="GW51" s="76" t="str">
        <f aca="false">IF($I51&gt;0%,IF(AND(GW$16&gt;=$F51,GW$16&lt;$F51+($G51*$I51)),"➤",""),"")</f>
        <v/>
      </c>
      <c r="GX51" s="76" t="str">
        <f aca="false">IF($I51&gt;0%,IF(AND(GX$16&gt;=$F51,GX$16&lt;$F51+($G51*$I51)),"➤",""),"")</f>
        <v/>
      </c>
      <c r="GY51" s="76" t="str">
        <f aca="false">IF($I51&gt;0%,IF(AND(GY$16&gt;=$F51,GY$16&lt;$F51+($G51*$I51)),"➤",""),"")</f>
        <v/>
      </c>
      <c r="GZ51" s="76" t="str">
        <f aca="false">IF($I51&gt;0%,IF(AND(GZ$16&gt;=$F51,GZ$16&lt;$F51+($G51*$I51)),"➤",""),"")</f>
        <v/>
      </c>
      <c r="HA51" s="76" t="str">
        <f aca="false">IF($I51&gt;0%,IF(AND(HA$16&gt;=$F51,HA$16&lt;$F51+($G51*$I51)),"➤",""),"")</f>
        <v/>
      </c>
      <c r="HB51" s="76" t="str">
        <f aca="false">IF($I51&gt;0%,IF(AND(HB$16&gt;=$F51,HB$16&lt;$F51+($G51*$I51)),"➤",""),"")</f>
        <v/>
      </c>
      <c r="HC51" s="76" t="str">
        <f aca="false">IF($I51&gt;0%,IF(AND(HC$16&gt;=$F51,HC$16&lt;$F51+($G51*$I51)),"➤",""),"")</f>
        <v/>
      </c>
      <c r="HD51" s="76" t="str">
        <f aca="false">IF($I51&gt;0%,IF(AND(HD$16&gt;=$F51,HD$16&lt;$F51+($G51*$I51)),"➤",""),"")</f>
        <v/>
      </c>
      <c r="HE51" s="76" t="str">
        <f aca="false">IF($I51&gt;0%,IF(AND(HE$16&gt;=$F51,HE$16&lt;$F51+($G51*$I51)),"➤",""),"")</f>
        <v/>
      </c>
      <c r="HF51" s="76" t="str">
        <f aca="false">IF($I51&gt;0%,IF(AND(HF$16&gt;=$F51,HF$16&lt;$F51+($G51*$I51)),"➤",""),"")</f>
        <v/>
      </c>
      <c r="HG51" s="76" t="str">
        <f aca="false">IF($I51&gt;0%,IF(AND(HG$16&gt;=$F51,HG$16&lt;$F51+($G51*$I51)),"➤",""),"")</f>
        <v/>
      </c>
      <c r="HH51" s="76" t="str">
        <f aca="false">IF($I51&gt;0%,IF(AND(HH$16&gt;=$F51,HH$16&lt;$F51+($G51*$I51)),"➤",""),"")</f>
        <v/>
      </c>
      <c r="HI51" s="76" t="str">
        <f aca="false">IF($I51&gt;0%,IF(AND(HI$16&gt;=$F51,HI$16&lt;$F51+($G51*$I51)),"➤",""),"")</f>
        <v/>
      </c>
      <c r="HJ51" s="76" t="str">
        <f aca="false">IF($I51&gt;0%,IF(AND(HJ$16&gt;=$F51,HJ$16&lt;$F51+($G51*$I51)),"➤",""),"")</f>
        <v/>
      </c>
      <c r="HK51" s="76" t="str">
        <f aca="false">IF($I51&gt;0%,IF(AND(HK$16&gt;=$F51,HK$16&lt;$F51+($G51*$I51)),"➤",""),"")</f>
        <v/>
      </c>
      <c r="HL51" s="76" t="str">
        <f aca="false">IF($I51&gt;0%,IF(AND(HL$16&gt;=$F51,HL$16&lt;$F51+($G51*$I51)),"➤",""),"")</f>
        <v/>
      </c>
      <c r="HM51" s="76" t="str">
        <f aca="false">IF($I51&gt;0%,IF(AND(HM$16&gt;=$F51,HM$16&lt;$F51+($G51*$I51)),"➤",""),"")</f>
        <v/>
      </c>
      <c r="HN51" s="76" t="str">
        <f aca="false">IF($I51&gt;0%,IF(AND(HN$16&gt;=$F51,HN$16&lt;$F51+($G51*$I51)),"➤",""),"")</f>
        <v/>
      </c>
      <c r="HO51" s="76" t="str">
        <f aca="false">IF($I51&gt;0%,IF(AND(HO$16&gt;=$F51,HO$16&lt;$F51+($G51*$I51)),"➤",""),"")</f>
        <v/>
      </c>
      <c r="HP51" s="76" t="str">
        <f aca="false">IF($I51&gt;0%,IF(AND(HP$16&gt;=$F51,HP$16&lt;$F51+($G51*$I51)),"➤",""),"")</f>
        <v/>
      </c>
      <c r="HQ51" s="76" t="str">
        <f aca="false">IF($I51&gt;0%,IF(AND(HQ$16&gt;=$F51,HQ$16&lt;$F51+($G51*$I51)),"➤",""),"")</f>
        <v/>
      </c>
      <c r="HR51" s="76" t="str">
        <f aca="false">IF($I51&gt;0%,IF(AND(HR$16&gt;=$F51,HR$16&lt;$F51+($G51*$I51)),"➤",""),"")</f>
        <v/>
      </c>
      <c r="HS51" s="76" t="str">
        <f aca="false">IF($I51&gt;0%,IF(AND(HS$16&gt;=$F51,HS$16&lt;$F51+($G51*$I51)),"➤",""),"")</f>
        <v/>
      </c>
      <c r="HT51" s="76" t="str">
        <f aca="false">IF($I51&gt;0%,IF(AND(HT$16&gt;=$F51,HT$16&lt;$F51+($G51*$I51)),"➤",""),"")</f>
        <v/>
      </c>
      <c r="HU51" s="76" t="str">
        <f aca="false">IF($I51&gt;0%,IF(AND(HU$16&gt;=$F51,HU$16&lt;$F51+($G51*$I51)),"➤",""),"")</f>
        <v/>
      </c>
      <c r="HV51" s="76" t="str">
        <f aca="false">IF($I51&gt;0%,IF(AND(HV$16&gt;=$F51,HV$16&lt;$F51+($G51*$I51)),"➤",""),"")</f>
        <v/>
      </c>
      <c r="HW51" s="76" t="str">
        <f aca="false">IF($I51&gt;0%,IF(AND(HW$16&gt;=$F51,HW$16&lt;$F51+($G51*$I51)),"➤",""),"")</f>
        <v/>
      </c>
      <c r="HX51" s="76" t="str">
        <f aca="false">IF($I51&gt;0%,IF(AND(HX$16&gt;=$F51,HX$16&lt;$F51+($G51*$I51)),"➤",""),"")</f>
        <v/>
      </c>
      <c r="HY51" s="76" t="str">
        <f aca="false">IF($I51&gt;0%,IF(AND(HY$16&gt;=$F51,HY$16&lt;$F51+($G51*$I51)),"➤",""),"")</f>
        <v/>
      </c>
      <c r="HZ51" s="76" t="str">
        <f aca="false">IF($I51&gt;0%,IF(AND(HZ$16&gt;=$F51,HZ$16&lt;$F51+($G51*$I51)),"➤",""),"")</f>
        <v/>
      </c>
      <c r="IA51" s="76" t="str">
        <f aca="false">IF($I51&gt;0%,IF(AND(IA$16&gt;=$F51,IA$16&lt;$F51+($G51*$I51)),"➤",""),"")</f>
        <v/>
      </c>
      <c r="IB51" s="76" t="str">
        <f aca="false">IF($I51&gt;0%,IF(AND(IB$16&gt;=$F51,IB$16&lt;$F51+($G51*$I51)),"➤",""),"")</f>
        <v/>
      </c>
      <c r="IC51" s="76" t="str">
        <f aca="false">IF($I51&gt;0%,IF(AND(IC$16&gt;=$F51,IC$16&lt;$F51+($G51*$I51)),"➤",""),"")</f>
        <v/>
      </c>
      <c r="ID51" s="76" t="str">
        <f aca="false">IF($I51&gt;0%,IF(AND(ID$16&gt;=$F51,ID$16&lt;$F51+($G51*$I51)),"➤",""),"")</f>
        <v/>
      </c>
      <c r="IE51" s="76" t="str">
        <f aca="false">IF($I51&gt;0%,IF(AND(IE$16&gt;=$F51,IE$16&lt;$F51+($G51*$I51)),"➤",""),"")</f>
        <v/>
      </c>
      <c r="IF51" s="76" t="str">
        <f aca="false">IF($I51&gt;0%,IF(AND(IF$16&gt;=$F51,IF$16&lt;$F51+($G51*$I51)),"➤",""),"")</f>
        <v/>
      </c>
      <c r="IG51" s="76" t="str">
        <f aca="false">IF($I51&gt;0%,IF(AND(IG$16&gt;=$F51,IG$16&lt;$F51+($G51*$I51)),"➤",""),"")</f>
        <v/>
      </c>
      <c r="IH51" s="76" t="str">
        <f aca="false">IF($I51&gt;0%,IF(AND(IH$16&gt;=$F51,IH$16&lt;$F51+($G51*$I51)),"➤",""),"")</f>
        <v/>
      </c>
      <c r="II51" s="76" t="str">
        <f aca="false">IF($I51&gt;0%,IF(AND(II$16&gt;=$F51,II$16&lt;$F51+($G51*$I51)),"➤",""),"")</f>
        <v/>
      </c>
      <c r="IJ51" s="76" t="str">
        <f aca="false">IF($I51&gt;0%,IF(AND(IJ$16&gt;=$F51,IJ$16&lt;$F51+($G51*$I51)),"➤",""),"")</f>
        <v/>
      </c>
      <c r="IK51" s="76" t="str">
        <f aca="false">IF($I51&gt;0%,IF(AND(IK$16&gt;=$F51,IK$16&lt;$F51+($G51*$I51)),"➤",""),"")</f>
        <v/>
      </c>
      <c r="IL51" s="76" t="str">
        <f aca="false">IF($I51&gt;0%,IF(AND(IL$16&gt;=$F51,IL$16&lt;$F51+($G51*$I51)),"➤",""),"")</f>
        <v/>
      </c>
      <c r="IM51" s="76" t="str">
        <f aca="false">IF($I51&gt;0%,IF(AND(IM$16&gt;=$F51,IM$16&lt;$F51+($G51*$I51)),"➤",""),"")</f>
        <v/>
      </c>
      <c r="IN51" s="76" t="str">
        <f aca="false">IF($I51&gt;0%,IF(AND(IN$16&gt;=$F51,IN$16&lt;$F51+($G51*$I51)),"➤",""),"")</f>
        <v/>
      </c>
      <c r="IO51" s="76" t="str">
        <f aca="false">IF($I51&gt;0%,IF(AND(IO$16&gt;=$F51,IO$16&lt;$F51+($G51*$I51)),"➤",""),"")</f>
        <v/>
      </c>
      <c r="IP51" s="76" t="str">
        <f aca="false">IF($I51&gt;0%,IF(AND(IP$16&gt;=$F51,IP$16&lt;$F51+($G51*$I51)),"➤",""),"")</f>
        <v/>
      </c>
      <c r="IQ51" s="76" t="str">
        <f aca="false">IF($I51&gt;0%,IF(AND(IQ$16&gt;=$F51,IQ$16&lt;$F51+($G51*$I51)),"➤",""),"")</f>
        <v/>
      </c>
      <c r="IR51" s="76" t="str">
        <f aca="false">IF($I51&gt;0%,IF(AND(IR$16&gt;=$F51,IR$16&lt;$F51+($G51*$I51)),"➤",""),"")</f>
        <v/>
      </c>
      <c r="IS51" s="76" t="str">
        <f aca="false">IF($I51&gt;0%,IF(AND(IS$16&gt;=$F51,IS$16&lt;$F51+($G51*$I51)),"➤",""),"")</f>
        <v/>
      </c>
      <c r="IT51" s="76" t="str">
        <f aca="false">IF($I51&gt;0%,IF(AND(IT$16&gt;=$F51,IT$16&lt;$F51+($G51*$I51)),"➤",""),"")</f>
        <v/>
      </c>
      <c r="IU51" s="76" t="str">
        <f aca="false">IF($I51&gt;0%,IF(AND(IU$16&gt;=$F51,IU$16&lt;$F51+($G51*$I51)),"➤",""),"")</f>
        <v/>
      </c>
      <c r="IV51" s="76" t="str">
        <f aca="false">IF($I51&gt;0%,IF(AND(IV$16&gt;=$F51,IV$16&lt;$F51+($G51*$I51)),"➤",""),"")</f>
        <v/>
      </c>
      <c r="IW51" s="76" t="str">
        <f aca="false">IF($I51&gt;0%,IF(AND(IW$16&gt;=$F51,IW$16&lt;$F51+($G51*$I51)),"➤",""),"")</f>
        <v/>
      </c>
      <c r="IX51" s="76" t="str">
        <f aca="false">IF($I51&gt;0%,IF(AND(IX$16&gt;=$F51,IX$16&lt;$F51+($G51*$I51)),"➤",""),"")</f>
        <v/>
      </c>
      <c r="IY51" s="76" t="str">
        <f aca="false">IF($I51&gt;0%,IF(AND(IY$16&gt;=$F51,IY$16&lt;$F51+($G51*$I51)),"➤",""),"")</f>
        <v/>
      </c>
      <c r="IZ51" s="76" t="str">
        <f aca="false">IF($I51&gt;0%,IF(AND(IZ$16&gt;=$F51,IZ$16&lt;$F51+($G51*$I51)),"➤",""),"")</f>
        <v/>
      </c>
      <c r="JA51" s="76" t="str">
        <f aca="false">IF($I51&gt;0%,IF(AND(JA$16&gt;=$F51,JA$16&lt;$F51+($G51*$I51)),"➤",""),"")</f>
        <v/>
      </c>
      <c r="JB51" s="76" t="str">
        <f aca="false">IF($I51&gt;0%,IF(AND(JB$16&gt;=$F51,JB$16&lt;$F51+($G51*$I51)),"➤",""),"")</f>
        <v/>
      </c>
      <c r="JC51" s="76" t="str">
        <f aca="false">IF($I51&gt;0%,IF(AND(JC$16&gt;=$F51,JC$16&lt;$F51+($G51*$I51)),"➤",""),"")</f>
        <v/>
      </c>
      <c r="JD51" s="76" t="str">
        <f aca="false">IF($I51&gt;0%,IF(AND(JD$16&gt;=$F51,JD$16&lt;$F51+($G51*$I51)),"➤",""),"")</f>
        <v/>
      </c>
      <c r="JE51" s="76" t="str">
        <f aca="false">IF($I51&gt;0%,IF(AND(JE$16&gt;=$F51,JE$16&lt;$F51+($G51*$I51)),"➤",""),"")</f>
        <v/>
      </c>
      <c r="JF51" s="76" t="str">
        <f aca="false">IF($I51&gt;0%,IF(AND(JF$16&gt;=$F51,JF$16&lt;$F51+($G51*$I51)),"➤",""),"")</f>
        <v/>
      </c>
      <c r="JG51" s="76" t="str">
        <f aca="false">IF($I51&gt;0%,IF(AND(JG$16&gt;=$F51,JG$16&lt;$F51+($G51*$I51)),"➤",""),"")</f>
        <v/>
      </c>
      <c r="JH51" s="76" t="str">
        <f aca="false">IF($I51&gt;0%,IF(AND(JH$16&gt;=$F51,JH$16&lt;$F51+($G51*$I51)),"➤",""),"")</f>
        <v/>
      </c>
      <c r="JI51" s="76" t="str">
        <f aca="false">IF($I51&gt;0%,IF(AND(JI$16&gt;=$F51,JI$16&lt;$F51+($G51*$I51)),"➤",""),"")</f>
        <v/>
      </c>
      <c r="JJ51" s="76" t="str">
        <f aca="false">IF($I51&gt;0%,IF(AND(JJ$16&gt;=$F51,JJ$16&lt;$F51+($G51*$I51)),"➤",""),"")</f>
        <v/>
      </c>
      <c r="JK51" s="76" t="str">
        <f aca="false">IF($I51&gt;0%,IF(AND(JK$16&gt;=$F51,JK$16&lt;$F51+($G51*$I51)),"➤",""),"")</f>
        <v/>
      </c>
      <c r="JL51" s="76" t="str">
        <f aca="false">IF($I51&gt;0%,IF(AND(JL$16&gt;=$F51,JL$16&lt;$F51+($G51*$I51)),"➤",""),"")</f>
        <v/>
      </c>
      <c r="JM51" s="76" t="str">
        <f aca="false">IF($I51&gt;0%,IF(AND(JM$16&gt;=$F51,JM$16&lt;$F51+($G51*$I51)),"➤",""),"")</f>
        <v/>
      </c>
      <c r="JN51" s="76" t="str">
        <f aca="false">IF($I51&gt;0%,IF(AND(JN$16&gt;=$F51,JN$16&lt;$F51+($G51*$I51)),"➤",""),"")</f>
        <v/>
      </c>
      <c r="JO51" s="76" t="str">
        <f aca="false">IF($I51&gt;0%,IF(AND(JO$16&gt;=$F51,JO$16&lt;$F51+($G51*$I51)),"➤",""),"")</f>
        <v/>
      </c>
      <c r="JP51" s="76" t="str">
        <f aca="false">IF($I51&gt;0%,IF(AND(JP$16&gt;=$F51,JP$16&lt;$F51+($G51*$I51)),"➤",""),"")</f>
        <v/>
      </c>
      <c r="JQ51" s="76" t="str">
        <f aca="false">IF($I51&gt;0%,IF(AND(JQ$16&gt;=$F51,JQ$16&lt;$F51+($G51*$I51)),"➤",""),"")</f>
        <v/>
      </c>
      <c r="JR51" s="76" t="str">
        <f aca="false">IF($I51&gt;0%,IF(AND(JR$16&gt;=$F51,JR$16&lt;$F51+($G51*$I51)),"➤",""),"")</f>
        <v/>
      </c>
      <c r="JS51" s="76" t="str">
        <f aca="false">IF($I51&gt;0%,IF(AND(JS$16&gt;=$F51,JS$16&lt;$F51+($G51*$I51)),"➤",""),"")</f>
        <v/>
      </c>
      <c r="JT51" s="76" t="str">
        <f aca="false">IF($I51&gt;0%,IF(AND(JT$16&gt;=$F51,JT$16&lt;$F51+($G51*$I51)),"➤",""),"")</f>
        <v/>
      </c>
      <c r="JU51" s="76" t="str">
        <f aca="false">IF($I51&gt;0%,IF(AND(JU$16&gt;=$F51,JU$16&lt;$F51+($G51*$I51)),"➤",""),"")</f>
        <v/>
      </c>
      <c r="JV51" s="76" t="str">
        <f aca="false">IF($I51&gt;0%,IF(AND(JV$16&gt;=$F51,JV$16&lt;$F51+($G51*$I51)),"➤",""),"")</f>
        <v/>
      </c>
      <c r="JW51" s="76" t="str">
        <f aca="false">IF($I51&gt;0%,IF(AND(JW$16&gt;=$F51,JW$16&lt;$F51+($G51*$I51)),"➤",""),"")</f>
        <v/>
      </c>
      <c r="JX51" s="76" t="str">
        <f aca="false">IF($I51&gt;0%,IF(AND(JX$16&gt;=$F51,JX$16&lt;$F51+($G51*$I51)),"➤",""),"")</f>
        <v/>
      </c>
      <c r="JY51" s="76" t="str">
        <f aca="false">IF($I51&gt;0%,IF(AND(JY$16&gt;=$F51,JY$16&lt;$F51+($G51*$I51)),"➤",""),"")</f>
        <v/>
      </c>
      <c r="JZ51" s="76" t="str">
        <f aca="false">IF($I51&gt;0%,IF(AND(JZ$16&gt;=$F51,JZ$16&lt;$F51+($G51*$I51)),"➤",""),"")</f>
        <v/>
      </c>
      <c r="KA51" s="76" t="str">
        <f aca="false">IF($I51&gt;0%,IF(AND(KA$16&gt;=$F51,KA$16&lt;$F51+($G51*$I51)),"➤",""),"")</f>
        <v/>
      </c>
      <c r="KB51" s="76" t="str">
        <f aca="false">IF($I51&gt;0%,IF(AND(KB$16&gt;=$F51,KB$16&lt;$F51+($G51*$I51)),"➤",""),"")</f>
        <v/>
      </c>
      <c r="KC51" s="76" t="str">
        <f aca="false">IF($I51&gt;0%,IF(AND(KC$16&gt;=$F51,KC$16&lt;$F51+($G51*$I51)),"➤",""),"")</f>
        <v/>
      </c>
      <c r="KD51" s="76" t="str">
        <f aca="false">IF($I51&gt;0%,IF(AND(KD$16&gt;=$F51,KD$16&lt;$F51+($G51*$I51)),"➤",""),"")</f>
        <v/>
      </c>
      <c r="KE51" s="76" t="str">
        <f aca="false">IF($I51&gt;0%,IF(AND(KE$16&gt;=$F51,KE$16&lt;$F51+($G51*$I51)),"➤",""),"")</f>
        <v/>
      </c>
      <c r="KF51" s="76" t="str">
        <f aca="false">IF($I51&gt;0%,IF(AND(KF$16&gt;=$F51,KF$16&lt;$F51+($G51*$I51)),"➤",""),"")</f>
        <v/>
      </c>
      <c r="KG51" s="76" t="str">
        <f aca="false">IF($I51&gt;0%,IF(AND(KG$16&gt;=$F51,KG$16&lt;$F51+($G51*$I51)),"➤",""),"")</f>
        <v/>
      </c>
      <c r="KH51" s="76" t="str">
        <f aca="false">IF($I51&gt;0%,IF(AND(KH$16&gt;=$F51,KH$16&lt;$F51+($G51*$I51)),"➤",""),"")</f>
        <v/>
      </c>
      <c r="KI51" s="76" t="str">
        <f aca="false">IF($I51&gt;0%,IF(AND(KI$16&gt;=$F51,KI$16&lt;$F51+($G51*$I51)),"➤",""),"")</f>
        <v/>
      </c>
      <c r="KJ51" s="76" t="str">
        <f aca="false">IF($I51&gt;0%,IF(AND(KJ$16&gt;=$F51,KJ$16&lt;$F51+($G51*$I51)),"➤",""),"")</f>
        <v/>
      </c>
      <c r="KK51" s="76" t="str">
        <f aca="false">IF($I51&gt;0%,IF(AND(KK$16&gt;=$F51,KK$16&lt;$F51+($G51*$I51)),"➤",""),"")</f>
        <v/>
      </c>
      <c r="KL51" s="76" t="str">
        <f aca="false">IF($I51&gt;0%,IF(AND(KL$16&gt;=$F51,KL$16&lt;$F51+($G51*$I51)),"➤",""),"")</f>
        <v/>
      </c>
      <c r="KM51" s="76" t="str">
        <f aca="false">IF($I51&gt;0%,IF(AND(KM$16&gt;=$F51,KM$16&lt;$F51+($G51*$I51)),"➤",""),"")</f>
        <v/>
      </c>
      <c r="KN51" s="76" t="str">
        <f aca="false">IF($I51&gt;0%,IF(AND(KN$16&gt;=$F51,KN$16&lt;$F51+($G51*$I51)),"➤",""),"")</f>
        <v/>
      </c>
      <c r="KO51" s="76" t="str">
        <f aca="false">IF($I51&gt;0%,IF(AND(KO$16&gt;=$F51,KO$16&lt;$F51+($G51*$I51)),"➤",""),"")</f>
        <v/>
      </c>
      <c r="KP51" s="76" t="str">
        <f aca="false">IF($I51&gt;0%,IF(AND(KP$16&gt;=$F51,KP$16&lt;$F51+($G51*$I51)),"➤",""),"")</f>
        <v/>
      </c>
      <c r="KQ51" s="76" t="str">
        <f aca="false">IF($I51&gt;0%,IF(AND(KQ$16&gt;=$F51,KQ$16&lt;$F51+($G51*$I51)),"➤",""),"")</f>
        <v/>
      </c>
      <c r="KR51" s="76" t="str">
        <f aca="false">IF($I51&gt;0%,IF(AND(KR$16&gt;=$F51,KR$16&lt;$F51+($G51*$I51)),"➤",""),"")</f>
        <v/>
      </c>
      <c r="KS51" s="76" t="str">
        <f aca="false">IF($I51&gt;0%,IF(AND(KS$16&gt;=$F51,KS$16&lt;$F51+($G51*$I51)),"➤",""),"")</f>
        <v/>
      </c>
      <c r="KT51" s="76" t="str">
        <f aca="false">IF($I51&gt;0%,IF(AND(KT$16&gt;=$F51,KT$16&lt;$F51+($G51*$I51)),"➤",""),"")</f>
        <v/>
      </c>
      <c r="KU51" s="76" t="str">
        <f aca="false">IF($I51&gt;0%,IF(AND(KU$16&gt;=$F51,KU$16&lt;$F51+($G51*$I51)),"➤",""),"")</f>
        <v/>
      </c>
      <c r="KV51" s="76" t="str">
        <f aca="false">IF($I51&gt;0%,IF(AND(KV$16&gt;=$F51,KV$16&lt;$F51+($G51*$I51)),"➤",""),"")</f>
        <v/>
      </c>
      <c r="KW51" s="76" t="str">
        <f aca="false">IF($I51&gt;0%,IF(AND(KW$16&gt;=$F51,KW$16&lt;$F51+($G51*$I51)),"➤",""),"")</f>
        <v/>
      </c>
      <c r="KX51" s="76" t="str">
        <f aca="false">IF($I51&gt;0%,IF(AND(KX$16&gt;=$F51,KX$16&lt;$F51+($G51*$I51)),"➤",""),"")</f>
        <v/>
      </c>
      <c r="KY51" s="76" t="str">
        <f aca="false">IF($I51&gt;0%,IF(AND(KY$16&gt;=$F51,KY$16&lt;$F51+($G51*$I51)),"➤",""),"")</f>
        <v/>
      </c>
      <c r="KZ51" s="76" t="str">
        <f aca="false">IF($I51&gt;0%,IF(AND(KZ$16&gt;=$F51,KZ$16&lt;$F51+($G51*$I51)),"➤",""),"")</f>
        <v/>
      </c>
      <c r="LA51" s="76" t="str">
        <f aca="false">IF($I51&gt;0%,IF(AND(LA$16&gt;=$F51,LA$16&lt;$F51+($G51*$I51)),"➤",""),"")</f>
        <v/>
      </c>
      <c r="LB51" s="76" t="str">
        <f aca="false">IF($I51&gt;0%,IF(AND(LB$16&gt;=$F51,LB$16&lt;$F51+($G51*$I51)),"➤",""),"")</f>
        <v/>
      </c>
      <c r="LC51" s="76" t="str">
        <f aca="false">IF($I51&gt;0%,IF(AND(LC$16&gt;=$F51,LC$16&lt;$F51+($G51*$I51)),"➤",""),"")</f>
        <v/>
      </c>
      <c r="LD51" s="76" t="str">
        <f aca="false">IF($I51&gt;0%,IF(AND(LD$16&gt;=$F51,LD$16&lt;$F51+($G51*$I51)),"➤",""),"")</f>
        <v/>
      </c>
      <c r="LE51" s="76" t="str">
        <f aca="false">IF($I51&gt;0%,IF(AND(LE$16&gt;=$F51,LE$16&lt;$F51+($G51*$I51)),"➤",""),"")</f>
        <v/>
      </c>
      <c r="LF51" s="76" t="str">
        <f aca="false">IF($I51&gt;0%,IF(AND(LF$16&gt;=$F51,LF$16&lt;$F51+($G51*$I51)),"➤",""),"")</f>
        <v/>
      </c>
      <c r="LG51" s="76" t="str">
        <f aca="false">IF($I51&gt;0%,IF(AND(LG$16&gt;=$F51,LG$16&lt;$F51+($G51*$I51)),"➤",""),"")</f>
        <v/>
      </c>
      <c r="LH51" s="76" t="str">
        <f aca="false">IF($I51&gt;0%,IF(AND(LH$16&gt;=$F51,LH$16&lt;$F51+($G51*$I51)),"➤",""),"")</f>
        <v/>
      </c>
      <c r="LI51" s="76" t="str">
        <f aca="false">IF($I51&gt;0%,IF(AND(LI$16&gt;=$F51,LI$16&lt;$F51+($G51*$I51)),"➤",""),"")</f>
        <v/>
      </c>
      <c r="LJ51" s="76" t="str">
        <f aca="false">IF($I51&gt;0%,IF(AND(LJ$16&gt;=$F51,LJ$16&lt;$F51+($G51*$I51)),"➤",""),"")</f>
        <v/>
      </c>
      <c r="LK51" s="76" t="str">
        <f aca="false">IF($I51&gt;0%,IF(AND(LK$16&gt;=$F51,LK$16&lt;$F51+($G51*$I51)),"➤",""),"")</f>
        <v/>
      </c>
      <c r="LL51" s="76" t="str">
        <f aca="false">IF($I51&gt;0%,IF(AND(LL$16&gt;=$F51,LL$16&lt;$F51+($G51*$I51)),"➤",""),"")</f>
        <v/>
      </c>
      <c r="LM51" s="76" t="str">
        <f aca="false">IF($I51&gt;0%,IF(AND(LM$16&gt;=$F51,LM$16&lt;$F51+($G51*$I51)),"➤",""),"")</f>
        <v/>
      </c>
      <c r="LN51" s="76" t="str">
        <f aca="false">IF($I51&gt;0%,IF(AND(LN$16&gt;=$F51,LN$16&lt;$F51+($G51*$I51)),"➤",""),"")</f>
        <v/>
      </c>
      <c r="LO51" s="76" t="str">
        <f aca="false">IF($I51&gt;0%,IF(AND(LO$16&gt;=$F51,LO$16&lt;$F51+($G51*$I51)),"➤",""),"")</f>
        <v/>
      </c>
      <c r="LP51" s="76" t="str">
        <f aca="false">IF($I51&gt;0%,IF(AND(LP$16&gt;=$F51,LP$16&lt;$F51+($G51*$I51)),"➤",""),"")</f>
        <v/>
      </c>
      <c r="LQ51" s="76" t="str">
        <f aca="false">IF($I51&gt;0%,IF(AND(LQ$16&gt;=$F51,LQ$16&lt;$F51+($G51*$I51)),"➤",""),"")</f>
        <v/>
      </c>
      <c r="LR51" s="76" t="str">
        <f aca="false">IF($I51&gt;0%,IF(AND(LR$16&gt;=$F51,LR$16&lt;$F51+($G51*$I51)),"➤",""),"")</f>
        <v/>
      </c>
      <c r="LS51" s="76" t="str">
        <f aca="false">IF($I51&gt;0%,IF(AND(LS$16&gt;=$F51,LS$16&lt;$F51+($G51*$I51)),"➤",""),"")</f>
        <v/>
      </c>
      <c r="LT51" s="76" t="str">
        <f aca="false">IF($I51&gt;0%,IF(AND(LT$16&gt;=$F51,LT$16&lt;$F51+($G51*$I51)),"➤",""),"")</f>
        <v/>
      </c>
      <c r="LU51" s="76" t="str">
        <f aca="false">IF($I51&gt;0%,IF(AND(LU$16&gt;=$F51,LU$16&lt;$F51+($G51*$I51)),"➤",""),"")</f>
        <v/>
      </c>
      <c r="LV51" s="76" t="str">
        <f aca="false">IF($I51&gt;0%,IF(AND(LV$16&gt;=$F51,LV$16&lt;$F51+($G51*$I51)),"➤",""),"")</f>
        <v/>
      </c>
      <c r="LW51" s="76" t="str">
        <f aca="false">IF($I51&gt;0%,IF(AND(LW$16&gt;=$F51,LW$16&lt;$F51+($G51*$I51)),"➤",""),"")</f>
        <v/>
      </c>
      <c r="LX51" s="76" t="str">
        <f aca="false">IF($I51&gt;0%,IF(AND(LX$16&gt;=$F51,LX$16&lt;$F51+($G51*$I51)),"➤",""),"")</f>
        <v/>
      </c>
      <c r="LY51" s="76" t="str">
        <f aca="false">IF($I51&gt;0%,IF(AND(LY$16&gt;=$F51,LY$16&lt;$F51+($G51*$I51)),"➤",""),"")</f>
        <v/>
      </c>
      <c r="LZ51" s="76" t="str">
        <f aca="false">IF($I51&gt;0%,IF(AND(LZ$16&gt;=$F51,LZ$16&lt;$F51+($G51*$I51)),"➤",""),"")</f>
        <v/>
      </c>
      <c r="MA51" s="76" t="str">
        <f aca="false">IF($I51&gt;0%,IF(AND(MA$16&gt;=$F51,MA$16&lt;$F51+($G51*$I51)),"➤",""),"")</f>
        <v/>
      </c>
      <c r="MB51" s="76" t="str">
        <f aca="false">IF($I51&gt;0%,IF(AND(MB$16&gt;=$F51,MB$16&lt;$F51+($G51*$I51)),"➤",""),"")</f>
        <v/>
      </c>
      <c r="MC51" s="76" t="str">
        <f aca="false">IF($I51&gt;0%,IF(AND(MC$16&gt;=$F51,MC$16&lt;$F51+($G51*$I51)),"➤",""),"")</f>
        <v/>
      </c>
      <c r="MD51" s="76" t="str">
        <f aca="false">IF($I51&gt;0%,IF(AND(MD$16&gt;=$F51,MD$16&lt;$F51+($G51*$I51)),"➤",""),"")</f>
        <v/>
      </c>
      <c r="ME51" s="76" t="str">
        <f aca="false">IF($I51&gt;0%,IF(AND(ME$16&gt;=$F51,ME$16&lt;$F51+($G51*$I51)),"➤",""),"")</f>
        <v/>
      </c>
      <c r="MF51" s="76" t="str">
        <f aca="false">IF($I51&gt;0%,IF(AND(MF$16&gt;=$F51,MF$16&lt;$F51+($G51*$I51)),"➤",""),"")</f>
        <v/>
      </c>
      <c r="MG51" s="76" t="str">
        <f aca="false">IF($I51&gt;0%,IF(AND(MG$16&gt;=$F51,MG$16&lt;$F51+($G51*$I51)),"➤",""),"")</f>
        <v/>
      </c>
      <c r="MH51" s="76" t="str">
        <f aca="false">IF($I51&gt;0%,IF(AND(MH$16&gt;=$F51,MH$16&lt;$F51+($G51*$I51)),"➤",""),"")</f>
        <v/>
      </c>
      <c r="MI51" s="76" t="str">
        <f aca="false">IF($I51&gt;0%,IF(AND(MI$16&gt;=$F51,MI$16&lt;$F51+($G51*$I51)),"➤",""),"")</f>
        <v/>
      </c>
      <c r="MJ51" s="76" t="str">
        <f aca="false">IF($I51&gt;0%,IF(AND(MJ$16&gt;=$F51,MJ$16&lt;$F51+($G51*$I51)),"➤",""),"")</f>
        <v/>
      </c>
      <c r="MK51" s="76" t="str">
        <f aca="false">IF($I51&gt;0%,IF(AND(MK$16&gt;=$F51,MK$16&lt;$F51+($G51*$I51)),"➤",""),"")</f>
        <v/>
      </c>
      <c r="ML51" s="76" t="str">
        <f aca="false">IF($I51&gt;0%,IF(AND(ML$16&gt;=$F51,ML$16&lt;$F51+($G51*$I51)),"➤",""),"")</f>
        <v/>
      </c>
      <c r="MM51" s="76" t="str">
        <f aca="false">IF($I51&gt;0%,IF(AND(MM$16&gt;=$F51,MM$16&lt;$F51+($G51*$I51)),"➤",""),"")</f>
        <v/>
      </c>
      <c r="MN51" s="76" t="str">
        <f aca="false">IF($I51&gt;0%,IF(AND(MN$16&gt;=$F51,MN$16&lt;$F51+($G51*$I51)),"➤",""),"")</f>
        <v/>
      </c>
      <c r="MO51" s="76" t="str">
        <f aca="false">IF($I51&gt;0%,IF(AND(MO$16&gt;=$F51,MO$16&lt;$F51+($G51*$I51)),"➤",""),"")</f>
        <v/>
      </c>
      <c r="MP51" s="76" t="str">
        <f aca="false">IF($I51&gt;0%,IF(AND(MP$16&gt;=$F51,MP$16&lt;$F51+($G51*$I51)),"➤",""),"")</f>
        <v/>
      </c>
      <c r="MQ51" s="76" t="str">
        <f aca="false">IF($I51&gt;0%,IF(AND(MQ$16&gt;=$F51,MQ$16&lt;$F51+($G51*$I51)),"➤",""),"")</f>
        <v/>
      </c>
      <c r="MR51" s="76" t="str">
        <f aca="false">IF($I51&gt;0%,IF(AND(MR$16&gt;=$F51,MR$16&lt;$F51+($G51*$I51)),"➤",""),"")</f>
        <v/>
      </c>
      <c r="MS51" s="76" t="str">
        <f aca="false">IF($I51&gt;0%,IF(AND(MS$16&gt;=$F51,MS$16&lt;$F51+($G51*$I51)),"➤",""),"")</f>
        <v/>
      </c>
      <c r="MT51" s="76" t="str">
        <f aca="false">IF($I51&gt;0%,IF(AND(MT$16&gt;=$F51,MT$16&lt;$F51+($G51*$I51)),"➤",""),"")</f>
        <v/>
      </c>
      <c r="MU51" s="76" t="str">
        <f aca="false">IF($I51&gt;0%,IF(AND(MU$16&gt;=$F51,MU$16&lt;$F51+($G51*$I51)),"➤",""),"")</f>
        <v/>
      </c>
      <c r="MV51" s="76" t="str">
        <f aca="false">IF($I51&gt;0%,IF(AND(MV$16&gt;=$F51,MV$16&lt;$F51+($G51*$I51)),"➤",""),"")</f>
        <v/>
      </c>
      <c r="MW51" s="76" t="str">
        <f aca="false">IF($I51&gt;0%,IF(AND(MW$16&gt;=$F51,MW$16&lt;$F51+($G51*$I51)),"➤",""),"")</f>
        <v/>
      </c>
      <c r="MX51" s="76" t="str">
        <f aca="false">IF($I51&gt;0%,IF(AND(MX$16&gt;=$F51,MX$16&lt;$F51+($G51*$I51)),"➤",""),"")</f>
        <v/>
      </c>
      <c r="MY51" s="76" t="str">
        <f aca="false">IF($I51&gt;0%,IF(AND(MY$16&gt;=$F51,MY$16&lt;$F51+($G51*$I51)),"➤",""),"")</f>
        <v/>
      </c>
      <c r="MZ51" s="76" t="str">
        <f aca="false">IF($I51&gt;0%,IF(AND(MZ$16&gt;=$F51,MZ$16&lt;$F51+($G51*$I51)),"➤",""),"")</f>
        <v/>
      </c>
      <c r="NA51" s="76" t="str">
        <f aca="false">IF($I51&gt;0%,IF(AND(NA$16&gt;=$F51,NA$16&lt;$F51+($G51*$I51)),"➤",""),"")</f>
        <v/>
      </c>
      <c r="NB51" s="76" t="str">
        <f aca="false">IF($I51&gt;0%,IF(AND(NB$16&gt;=$F51,NB$16&lt;$F51+($G51*$I51)),"➤",""),"")</f>
        <v/>
      </c>
      <c r="NC51" s="76" t="str">
        <f aca="false">IF($I51&gt;0%,IF(AND(NC$16&gt;=$F51,NC$16&lt;$F51+($G51*$I51)),"➤",""),"")</f>
        <v/>
      </c>
      <c r="ND51" s="76" t="str">
        <f aca="false">IF($I51&gt;0%,IF(AND(ND$16&gt;=$F51,ND$16&lt;$F51+($G51*$I51)),"➤",""),"")</f>
        <v/>
      </c>
      <c r="NE51" s="76" t="str">
        <f aca="false">IF($I51&gt;0%,IF(AND(NE$16&gt;=$F51,NE$16&lt;$F51+($G51*$I51)),"➤",""),"")</f>
        <v/>
      </c>
      <c r="NF51" s="76" t="str">
        <f aca="false">IF($I51&gt;0%,IF(AND(NF$16&gt;=$F51,NF$16&lt;$F51+($G51*$I51)),"➤",""),"")</f>
        <v/>
      </c>
      <c r="NG51" s="76" t="str">
        <f aca="false">IF($I51&gt;0%,IF(AND(NG$16&gt;=$F51,NG$16&lt;$F51+($G51*$I51)),"➤",""),"")</f>
        <v/>
      </c>
      <c r="NH51" s="76" t="str">
        <f aca="false">IF($I51&gt;0%,IF(AND(NH$16&gt;=$F51,NH$16&lt;$F51+($G51*$I51)),"➤",""),"")</f>
        <v/>
      </c>
      <c r="NI51" s="76" t="str">
        <f aca="false">IF($I51&gt;0%,IF(AND(NI$16&gt;=$F51,NI$16&lt;$F51+($G51*$I51)),"➤",""),"")</f>
        <v/>
      </c>
      <c r="NJ51" s="76" t="str">
        <f aca="false">IF($I51&gt;0%,IF(AND(NJ$16&gt;=$F51,NJ$16&lt;$F51+($G51*$I51)),"➤",""),"")</f>
        <v/>
      </c>
      <c r="NK51" s="76" t="str">
        <f aca="false">IF($I51&gt;0%,IF(AND(NK$16&gt;=$F51,NK$16&lt;$F51+($G51*$I51)),"➤",""),"")</f>
        <v/>
      </c>
      <c r="NL51" s="76" t="str">
        <f aca="false">IF($I51&gt;0%,IF(AND(NL$16&gt;=$F51,NL$16&lt;$F51+($G51*$I51)),"➤",""),"")</f>
        <v/>
      </c>
      <c r="NM51" s="76" t="str">
        <f aca="false">IF($I51&gt;0%,IF(AND(NM$16&gt;=$F51,NM$16&lt;$F51+($G51*$I51)),"➤",""),"")</f>
        <v/>
      </c>
      <c r="NN51" s="76" t="str">
        <f aca="false">IF($I51&gt;0%,IF(AND(NN$16&gt;=$F51,NN$16&lt;$F51+($G51*$I51)),"➤",""),"")</f>
        <v/>
      </c>
      <c r="NO51" s="76" t="str">
        <f aca="false">IF($I51&gt;0%,IF(AND(NO$16&gt;=$F51,NO$16&lt;$F51+($G51*$I51)),"➤",""),"")</f>
        <v/>
      </c>
      <c r="NP51" s="76" t="str">
        <f aca="false">IF($I51&gt;0%,IF(AND(NP$16&gt;=$F51,NP$16&lt;$F51+($G51*$I51)),"➤",""),"")</f>
        <v/>
      </c>
      <c r="NQ51" s="76" t="str">
        <f aca="false">IF($I51&gt;0%,IF(AND(NQ$16&gt;=$F51,NQ$16&lt;$F51+($G51*$I51)),"➤",""),"")</f>
        <v/>
      </c>
      <c r="NR51" s="76" t="str">
        <f aca="false">IF($I51&gt;0%,IF(AND(NR$16&gt;=$F51,NR$16&lt;$F51+($G51*$I51)),"➤",""),"")</f>
        <v/>
      </c>
      <c r="NS51" s="76" t="str">
        <f aca="false">IF($I51&gt;0%,IF(AND(NS$16&gt;=$F51,NS$16&lt;$F51+($G51*$I51)),"➤",""),"")</f>
        <v/>
      </c>
      <c r="NT51" s="76" t="str">
        <f aca="false">IF($I51&gt;0%,IF(AND(NT$16&gt;=$F51,NT$16&lt;$F51+($G51*$I51)),"➤",""),"")</f>
        <v/>
      </c>
      <c r="NU51" s="76" t="str">
        <f aca="false">IF($I51&gt;0%,IF(AND(NU$16&gt;=$F51,NU$16&lt;$F51+($G51*$I51)),"➤",""),"")</f>
        <v/>
      </c>
      <c r="NV51" s="76" t="str">
        <f aca="false">IF($I51&gt;0%,IF(AND(NV$16&gt;=$F51,NV$16&lt;$F51+($G51*$I51)),"➤",""),"")</f>
        <v/>
      </c>
      <c r="NW51" s="76" t="str">
        <f aca="false">IF($I51&gt;0%,IF(AND(NW$16&gt;=$F51,NW$16&lt;$F51+($G51*$I51)),"➤",""),"")</f>
        <v/>
      </c>
      <c r="NX51" s="76" t="str">
        <f aca="false">IF($I51&gt;0%,IF(AND(NX$16&gt;=$F51,NX$16&lt;$F51+($G51*$I51)),"➤",""),"")</f>
        <v/>
      </c>
      <c r="NY51" s="76" t="str">
        <f aca="false">IF($I51&gt;0%,IF(AND(NY$16&gt;=$F51,NY$16&lt;$F51+($G51*$I51)),"➤",""),"")</f>
        <v/>
      </c>
      <c r="NZ51" s="76" t="str">
        <f aca="false">IF($I51&gt;0%,IF(AND(NZ$16&gt;=$F51,NZ$16&lt;$F51+($G51*$I51)),"➤",""),"")</f>
        <v/>
      </c>
      <c r="OA51" s="76" t="str">
        <f aca="false">IF($I51&gt;0%,IF(AND(OA$16&gt;=$F51,OA$16&lt;$F51+($G51*$I51)),"➤",""),"")</f>
        <v/>
      </c>
      <c r="OB51" s="76" t="str">
        <f aca="false">IF($I51&gt;0%,IF(AND(OB$16&gt;=$F51,OB$16&lt;$F51+($G51*$I51)),"➤",""),"")</f>
        <v/>
      </c>
      <c r="OC51" s="76" t="str">
        <f aca="false">IF($I51&gt;0%,IF(AND(OC$16&gt;=$F51,OC$16&lt;$F51+($G51*$I51)),"➤",""),"")</f>
        <v/>
      </c>
      <c r="OD51" s="76" t="str">
        <f aca="false">IF($I51&gt;0%,IF(AND(OD$16&gt;=$F51,OD$16&lt;$F51+($G51*$I51)),"➤",""),"")</f>
        <v/>
      </c>
      <c r="OE51" s="76" t="str">
        <f aca="false">IF($I51&gt;0%,IF(AND(OE$16&gt;=$F51,OE$16&lt;$F51+($G51*$I51)),"➤",""),"")</f>
        <v/>
      </c>
      <c r="OF51" s="76" t="str">
        <f aca="false">IF($I51&gt;0%,IF(AND(OF$16&gt;=$F51,OF$16&lt;$F51+($G51*$I51)),"➤",""),"")</f>
        <v/>
      </c>
      <c r="OG51" s="76" t="str">
        <f aca="false">IF($I51&gt;0%,IF(AND(OG$16&gt;=$F51,OG$16&lt;$F51+($G51*$I51)),"➤",""),"")</f>
        <v/>
      </c>
      <c r="OH51" s="76" t="str">
        <f aca="false">IF($I51&gt;0%,IF(AND(OH$16&gt;=$F51,OH$16&lt;$F51+($G51*$I51)),"➤",""),"")</f>
        <v/>
      </c>
      <c r="OI51" s="76" t="str">
        <f aca="false">IF($I51&gt;0%,IF(AND(OI$16&gt;=$F51,OI$16&lt;$F51+($G51*$I51)),"➤",""),"")</f>
        <v/>
      </c>
      <c r="OJ51" s="76" t="str">
        <f aca="false">IF($I51&gt;0%,IF(AND(OJ$16&gt;=$F51,OJ$16&lt;$F51+($G51*$I51)),"➤",""),"")</f>
        <v/>
      </c>
      <c r="OK51" s="76" t="str">
        <f aca="false">IF($I51&gt;0%,IF(AND(OK$16&gt;=$F51,OK$16&lt;$F51+($G51*$I51)),"➤",""),"")</f>
        <v/>
      </c>
      <c r="OL51" s="76" t="str">
        <f aca="false">IF($I51&gt;0%,IF(AND(OL$16&gt;=$F51,OL$16&lt;$F51+($G51*$I51)),"➤",""),"")</f>
        <v/>
      </c>
      <c r="OM51" s="76" t="str">
        <f aca="false">IF($I51&gt;0%,IF(AND(OM$16&gt;=$F51,OM$16&lt;$F51+($G51*$I51)),"➤",""),"")</f>
        <v/>
      </c>
      <c r="ON51" s="76" t="str">
        <f aca="false">IF($I51&gt;0%,IF(AND(ON$16&gt;=$F51,ON$16&lt;$F51+($G51*$I51)),"➤",""),"")</f>
        <v/>
      </c>
      <c r="OO51" s="76" t="str">
        <f aca="false">IF($I51&gt;0%,IF(AND(OO$16&gt;=$F51,OO$16&lt;$F51+($G51*$I51)),"➤",""),"")</f>
        <v/>
      </c>
      <c r="OP51" s="76" t="str">
        <f aca="false">IF($I51&gt;0%,IF(AND(OP$16&gt;=$F51,OP$16&lt;$F51+($G51*$I51)),"➤",""),"")</f>
        <v/>
      </c>
      <c r="OQ51" s="76" t="str">
        <f aca="false">IF($I51&gt;0%,IF(AND(OQ$16&gt;=$F51,OQ$16&lt;$F51+($G51*$I51)),"➤",""),"")</f>
        <v/>
      </c>
      <c r="OR51" s="76" t="str">
        <f aca="false">IF($I51&gt;0%,IF(AND(OR$16&gt;=$F51,OR$16&lt;$F51+($G51*$I51)),"➤",""),"")</f>
        <v/>
      </c>
      <c r="OS51" s="76" t="str">
        <f aca="false">IF($I51&gt;0%,IF(AND(OS$16&gt;=$F51,OS$16&lt;$F51+($G51*$I51)),"➤",""),"")</f>
        <v/>
      </c>
      <c r="OT51" s="76" t="str">
        <f aca="false">IF($I51&gt;0%,IF(AND(OT$16&gt;=$F51,OT$16&lt;$F51+($G51*$I51)),"➤",""),"")</f>
        <v/>
      </c>
      <c r="OU51" s="76" t="str">
        <f aca="false">IF($I51&gt;0%,IF(AND(OU$16&gt;=$F51,OU$16&lt;$F51+($G51*$I51)),"➤",""),"")</f>
        <v/>
      </c>
      <c r="OV51" s="76" t="str">
        <f aca="false">IF($I51&gt;0%,IF(AND(OV$16&gt;=$F51,OV$16&lt;$F51+($G51*$I51)),"➤",""),"")</f>
        <v/>
      </c>
      <c r="OW51" s="76" t="str">
        <f aca="false">IF($I51&gt;0%,IF(AND(OW$16&gt;=$F51,OW$16&lt;$F51+($G51*$I51)),"➤",""),"")</f>
        <v/>
      </c>
      <c r="OX51" s="76" t="str">
        <f aca="false">IF($I51&gt;0%,IF(AND(OX$16&gt;=$F51,OX$16&lt;$F51+($G51*$I51)),"➤",""),"")</f>
        <v/>
      </c>
      <c r="OY51" s="76" t="str">
        <f aca="false">IF($I51&gt;0%,IF(AND(OY$16&gt;=$F51,OY$16&lt;$F51+($G51*$I51)),"➤",""),"")</f>
        <v/>
      </c>
      <c r="OZ51" s="76" t="str">
        <f aca="false">IF($I51&gt;0%,IF(AND(OZ$16&gt;=$F51,OZ$16&lt;$F51+($G51*$I51)),"➤",""),"")</f>
        <v/>
      </c>
      <c r="PA51" s="76" t="str">
        <f aca="false">IF($I51&gt;0%,IF(AND(PA$16&gt;=$F51,PA$16&lt;$F51+($G51*$I51)),"➤",""),"")</f>
        <v/>
      </c>
      <c r="PB51" s="76" t="str">
        <f aca="false">IF($I51&gt;0%,IF(AND(PB$16&gt;=$F51,PB$16&lt;$F51+($G51*$I51)),"➤",""),"")</f>
        <v/>
      </c>
      <c r="PC51" s="76" t="str">
        <f aca="false">IF($I51&gt;0%,IF(AND(PC$16&gt;=$F51,PC$16&lt;$F51+($G51*$I51)),"➤",""),"")</f>
        <v/>
      </c>
      <c r="PD51" s="76" t="str">
        <f aca="false">IF($I51&gt;0%,IF(AND(PD$16&gt;=$F51,PD$16&lt;$F51+($G51*$I51)),"➤",""),"")</f>
        <v/>
      </c>
      <c r="PE51" s="76" t="str">
        <f aca="false">IF($I51&gt;0%,IF(AND(PE$16&gt;=$F51,PE$16&lt;$F51+($G51*$I51)),"➤",""),"")</f>
        <v/>
      </c>
      <c r="PF51" s="76" t="str">
        <f aca="false">IF($I51&gt;0%,IF(AND(PF$16&gt;=$F51,PF$16&lt;$F51+($G51*$I51)),"➤",""),"")</f>
        <v/>
      </c>
      <c r="PG51" s="76" t="str">
        <f aca="false">IF($I51&gt;0%,IF(AND(PG$16&gt;=$F51,PG$16&lt;$F51+($G51*$I51)),"➤",""),"")</f>
        <v/>
      </c>
      <c r="PH51" s="76" t="str">
        <f aca="false">IF($I51&gt;0%,IF(AND(PH$16&gt;=$F51,PH$16&lt;$F51+($G51*$I51)),"➤",""),"")</f>
        <v/>
      </c>
      <c r="PI51" s="76" t="str">
        <f aca="false">IF($I51&gt;0%,IF(AND(PI$16&gt;=$F51,PI$16&lt;$F51+($G51*$I51)),"➤",""),"")</f>
        <v/>
      </c>
      <c r="PJ51" s="76" t="str">
        <f aca="false">IF($I51&gt;0%,IF(AND(PJ$16&gt;=$F51,PJ$16&lt;$F51+($G51*$I51)),"➤",""),"")</f>
        <v/>
      </c>
      <c r="PK51" s="76" t="str">
        <f aca="false">IF($I51&gt;0%,IF(AND(PK$16&gt;=$F51,PK$16&lt;$F51+($G51*$I51)),"➤",""),"")</f>
        <v/>
      </c>
      <c r="PL51" s="76" t="str">
        <f aca="false">IF($I51&gt;0%,IF(AND(PL$16&gt;=$F51,PL$16&lt;$F51+($G51*$I51)),"➤",""),"")</f>
        <v/>
      </c>
      <c r="PM51" s="76" t="str">
        <f aca="false">IF($I51&gt;0%,IF(AND(PM$16&gt;=$F51,PM$16&lt;$F51+($G51*$I51)),"➤",""),"")</f>
        <v/>
      </c>
      <c r="PN51" s="76" t="str">
        <f aca="false">IF($I51&gt;0%,IF(AND(PN$16&gt;=$F51,PN$16&lt;$F51+($G51*$I51)),"➤",""),"")</f>
        <v/>
      </c>
      <c r="PO51" s="76" t="str">
        <f aca="false">IF($I51&gt;0%,IF(AND(PO$16&gt;=$F51,PO$16&lt;$F51+($G51*$I51)),"➤",""),"")</f>
        <v/>
      </c>
      <c r="PP51" s="76" t="str">
        <f aca="false">IF($I51&gt;0%,IF(AND(PP$16&gt;=$F51,PP$16&lt;$F51+($G51*$I51)),"➤",""),"")</f>
        <v/>
      </c>
      <c r="PQ51" s="76" t="str">
        <f aca="false">IF($I51&gt;0%,IF(AND(PQ$16&gt;=$F51,PQ$16&lt;$F51+($G51*$I51)),"➤",""),"")</f>
        <v/>
      </c>
      <c r="PR51" s="76" t="str">
        <f aca="false">IF($I51&gt;0%,IF(AND(PR$16&gt;=$F51,PR$16&lt;$F51+($G51*$I51)),"➤",""),"")</f>
        <v/>
      </c>
      <c r="PS51" s="76" t="str">
        <f aca="false">IF($I51&gt;0%,IF(AND(PS$16&gt;=$F51,PS$16&lt;$F51+($G51*$I51)),"➤",""),"")</f>
        <v/>
      </c>
      <c r="PT51" s="76" t="str">
        <f aca="false">IF($I51&gt;0%,IF(AND(PT$16&gt;=$F51,PT$16&lt;$F51+($G51*$I51)),"➤",""),"")</f>
        <v/>
      </c>
      <c r="PU51" s="76" t="str">
        <f aca="false">IF($I51&gt;0%,IF(AND(PU$16&gt;=$F51,PU$16&lt;$F51+($G51*$I51)),"➤",""),"")</f>
        <v/>
      </c>
      <c r="PV51" s="76" t="str">
        <f aca="false">IF($I51&gt;0%,IF(AND(PV$16&gt;=$F51,PV$16&lt;$F51+($G51*$I51)),"➤",""),"")</f>
        <v/>
      </c>
      <c r="PW51" s="76" t="str">
        <f aca="false">IF($I51&gt;0%,IF(AND(PW$16&gt;=$F51,PW$16&lt;$F51+($G51*$I51)),"➤",""),"")</f>
        <v/>
      </c>
      <c r="PX51" s="76" t="str">
        <f aca="false">IF($I51&gt;0%,IF(AND(PX$16&gt;=$F51,PX$16&lt;$F51+($G51*$I51)),"➤",""),"")</f>
        <v/>
      </c>
      <c r="PY51" s="76" t="str">
        <f aca="false">IF($I51&gt;0%,IF(AND(PY$16&gt;=$F51,PY$16&lt;$F51+($G51*$I51)),"➤",""),"")</f>
        <v/>
      </c>
      <c r="PZ51" s="76" t="str">
        <f aca="false">IF($I51&gt;0%,IF(AND(PZ$16&gt;=$F51,PZ$16&lt;$F51+($G51*$I51)),"➤",""),"")</f>
        <v/>
      </c>
      <c r="QA51" s="76" t="str">
        <f aca="false">IF($I51&gt;0%,IF(AND(QA$16&gt;=$F51,QA$16&lt;$F51+($G51*$I51)),"➤",""),"")</f>
        <v/>
      </c>
      <c r="QB51" s="76" t="str">
        <f aca="false">IF($I51&gt;0%,IF(AND(QB$16&gt;=$F51,QB$16&lt;$F51+($G51*$I51)),"➤",""),"")</f>
        <v/>
      </c>
      <c r="QC51" s="76" t="str">
        <f aca="false">IF($I51&gt;0%,IF(AND(QC$16&gt;=$F51,QC$16&lt;$F51+($G51*$I51)),"➤",""),"")</f>
        <v/>
      </c>
      <c r="QD51" s="76" t="str">
        <f aca="false">IF($I51&gt;0%,IF(AND(QD$16&gt;=$F51,QD$16&lt;$F51+($G51*$I51)),"➤",""),"")</f>
        <v/>
      </c>
      <c r="QE51" s="76" t="str">
        <f aca="false">IF($I51&gt;0%,IF(AND(QE$16&gt;=$F51,QE$16&lt;$F51+($G51*$I51)),"➤",""),"")</f>
        <v/>
      </c>
      <c r="QF51" s="76" t="str">
        <f aca="false">IF($I51&gt;0%,IF(AND(QF$16&gt;=$F51,QF$16&lt;$F51+($G51*$I51)),"➤",""),"")</f>
        <v/>
      </c>
      <c r="QG51" s="76" t="str">
        <f aca="false">IF($I51&gt;0%,IF(AND(QG$16&gt;=$F51,QG$16&lt;$F51+($G51*$I51)),"➤",""),"")</f>
        <v/>
      </c>
      <c r="QH51" s="76" t="str">
        <f aca="false">IF($I51&gt;0%,IF(AND(QH$16&gt;=$F51,QH$16&lt;$F51+($G51*$I51)),"➤",""),"")</f>
        <v/>
      </c>
      <c r="QI51" s="76" t="str">
        <f aca="false">IF($I51&gt;0%,IF(AND(QI$16&gt;=$F51,QI$16&lt;$F51+($G51*$I51)),"➤",""),"")</f>
        <v/>
      </c>
      <c r="QJ51" s="76" t="str">
        <f aca="false">IF($I51&gt;0%,IF(AND(QJ$16&gt;=$F51,QJ$16&lt;$F51+($G51*$I51)),"➤",""),"")</f>
        <v/>
      </c>
      <c r="QK51" s="76" t="str">
        <f aca="false">IF($I51&gt;0%,IF(AND(QK$16&gt;=$F51,QK$16&lt;$F51+($G51*$I51)),"➤",""),"")</f>
        <v/>
      </c>
      <c r="QL51" s="76" t="str">
        <f aca="false">IF($I51&gt;0%,IF(AND(QL$16&gt;=$F51,QL$16&lt;$F51+($G51*$I51)),"➤",""),"")</f>
        <v/>
      </c>
      <c r="QM51" s="76" t="str">
        <f aca="false">IF($I51&gt;0%,IF(AND(QM$16&gt;=$F51,QM$16&lt;$F51+($G51*$I51)),"➤",""),"")</f>
        <v/>
      </c>
      <c r="QN51" s="76" t="str">
        <f aca="false">IF($I51&gt;0%,IF(AND(QN$16&gt;=$F51,QN$16&lt;$F51+($G51*$I51)),"➤",""),"")</f>
        <v/>
      </c>
      <c r="QO51" s="76" t="str">
        <f aca="false">IF($I51&gt;0%,IF(AND(QO$16&gt;=$F51,QO$16&lt;$F51+($G51*$I51)),"➤",""),"")</f>
        <v/>
      </c>
      <c r="QP51" s="76" t="str">
        <f aca="false">IF($I51&gt;0%,IF(AND(QP$16&gt;=$F51,QP$16&lt;$F51+($G51*$I51)),"➤",""),"")</f>
        <v/>
      </c>
      <c r="QQ51" s="76" t="str">
        <f aca="false">IF($I51&gt;0%,IF(AND(QQ$16&gt;=$F51,QQ$16&lt;$F51+($G51*$I51)),"➤",""),"")</f>
        <v/>
      </c>
      <c r="QR51" s="76" t="str">
        <f aca="false">IF($I51&gt;0%,IF(AND(QR$16&gt;=$F51,QR$16&lt;$F51+($G51*$I51)),"➤",""),"")</f>
        <v/>
      </c>
      <c r="QS51" s="76" t="str">
        <f aca="false">IF($I51&gt;0%,IF(AND(QS$16&gt;=$F51,QS$16&lt;$F51+($G51*$I51)),"➤",""),"")</f>
        <v/>
      </c>
      <c r="QT51" s="76" t="str">
        <f aca="false">IF($I51&gt;0%,IF(AND(QT$16&gt;=$F51,QT$16&lt;$F51+($G51*$I51)),"➤",""),"")</f>
        <v/>
      </c>
      <c r="QU51" s="76" t="str">
        <f aca="false">IF($I51&gt;0%,IF(AND(QU$16&gt;=$F51,QU$16&lt;$F51+($G51*$I51)),"➤",""),"")</f>
        <v/>
      </c>
      <c r="QV51" s="76" t="str">
        <f aca="false">IF($I51&gt;0%,IF(AND(QV$16&gt;=$F51,QV$16&lt;$F51+($G51*$I51)),"➤",""),"")</f>
        <v/>
      </c>
      <c r="QW51" s="76" t="str">
        <f aca="false">IF($I51&gt;0%,IF(AND(QW$16&gt;=$F51,QW$16&lt;$F51+($G51*$I51)),"➤",""),"")</f>
        <v/>
      </c>
      <c r="QX51" s="76" t="str">
        <f aca="false">IF($I51&gt;0%,IF(AND(QX$16&gt;=$F51,QX$16&lt;$F51+($G51*$I51)),"➤",""),"")</f>
        <v/>
      </c>
      <c r="QY51" s="76" t="str">
        <f aca="false">IF($I51&gt;0%,IF(AND(QY$16&gt;=$F51,QY$16&lt;$F51+($G51*$I51)),"➤",""),"")</f>
        <v/>
      </c>
      <c r="QZ51" s="76" t="str">
        <f aca="false">IF($I51&gt;0%,IF(AND(QZ$16&gt;=$F51,QZ$16&lt;$F51+($G51*$I51)),"➤",""),"")</f>
        <v/>
      </c>
      <c r="RA51" s="76" t="str">
        <f aca="false">IF($I51&gt;0%,IF(AND(RA$16&gt;=$F51,RA$16&lt;$F51+($G51*$I51)),"➤",""),"")</f>
        <v/>
      </c>
      <c r="RB51" s="76" t="str">
        <f aca="false">IF($I51&gt;0%,IF(AND(RB$16&gt;=$F51,RB$16&lt;$F51+($G51*$I51)),"➤",""),"")</f>
        <v/>
      </c>
      <c r="RC51" s="76" t="str">
        <f aca="false">IF($I51&gt;0%,IF(AND(RC$16&gt;=$F51,RC$16&lt;$F51+($G51*$I51)),"➤",""),"")</f>
        <v/>
      </c>
      <c r="RD51" s="76" t="str">
        <f aca="false">IF($I51&gt;0%,IF(AND(RD$16&gt;=$F51,RD$16&lt;$F51+($G51*$I51)),"➤",""),"")</f>
        <v/>
      </c>
      <c r="RE51" s="76" t="str">
        <f aca="false">IF($I51&gt;0%,IF(AND(RE$16&gt;=$F51,RE$16&lt;$F51+($G51*$I51)),"➤",""),"")</f>
        <v/>
      </c>
      <c r="RF51" s="76" t="str">
        <f aca="false">IF($I51&gt;0%,IF(AND(RF$16&gt;=$F51,RF$16&lt;$F51+($G51*$I51)),"➤",""),"")</f>
        <v/>
      </c>
      <c r="RG51" s="76" t="str">
        <f aca="false">IF($I51&gt;0%,IF(AND(RG$16&gt;=$F51,RG$16&lt;$F51+($G51*$I51)),"➤",""),"")</f>
        <v/>
      </c>
      <c r="RH51" s="76" t="str">
        <f aca="false">IF($I51&gt;0%,IF(AND(RH$16&gt;=$F51,RH$16&lt;$F51+($G51*$I51)),"➤",""),"")</f>
        <v/>
      </c>
      <c r="RI51" s="76" t="str">
        <f aca="false">IF($I51&gt;0%,IF(AND(RI$16&gt;=$F51,RI$16&lt;$F51+($G51*$I51)),"➤",""),"")</f>
        <v/>
      </c>
      <c r="RJ51" s="76" t="str">
        <f aca="false">IF($I51&gt;0%,IF(AND(RJ$16&gt;=$F51,RJ$16&lt;$F51+($G51*$I51)),"➤",""),"")</f>
        <v/>
      </c>
      <c r="RK51" s="76" t="str">
        <f aca="false">IF($I51&gt;0%,IF(AND(RK$16&gt;=$F51,RK$16&lt;$F51+($G51*$I51)),"➤",""),"")</f>
        <v/>
      </c>
      <c r="RL51" s="76" t="str">
        <f aca="false">IF($I51&gt;0%,IF(AND(RL$16&gt;=$F51,RL$16&lt;$F51+($G51*$I51)),"➤",""),"")</f>
        <v/>
      </c>
      <c r="RM51" s="76" t="str">
        <f aca="false">IF($I51&gt;0%,IF(AND(RM$16&gt;=$F51,RM$16&lt;$F51+($G51*$I51)),"➤",""),"")</f>
        <v/>
      </c>
      <c r="RN51" s="76" t="str">
        <f aca="false">IF($I51&gt;0%,IF(AND(RN$16&gt;=$F51,RN$16&lt;$F51+($G51*$I51)),"➤",""),"")</f>
        <v/>
      </c>
      <c r="RO51" s="76" t="str">
        <f aca="false">IF($I51&gt;0%,IF(AND(RO$16&gt;=$F51,RO$16&lt;$F51+($G51*$I51)),"➤",""),"")</f>
        <v/>
      </c>
      <c r="RP51" s="76" t="str">
        <f aca="false">IF($I51&gt;0%,IF(AND(RP$16&gt;=$F51,RP$16&lt;$F51+($G51*$I51)),"➤",""),"")</f>
        <v/>
      </c>
      <c r="RQ51" s="76" t="str">
        <f aca="false">IF($I51&gt;0%,IF(AND(RQ$16&gt;=$F51,RQ$16&lt;$F51+($G51*$I51)),"➤",""),"")</f>
        <v/>
      </c>
      <c r="RR51" s="76" t="str">
        <f aca="false">IF($I51&gt;0%,IF(AND(RR$16&gt;=$F51,RR$16&lt;$F51+($G51*$I51)),"➤",""),"")</f>
        <v/>
      </c>
      <c r="RS51" s="76" t="str">
        <f aca="false">IF($I51&gt;0%,IF(AND(RS$16&gt;=$F51,RS$16&lt;$F51+($G51*$I51)),"➤",""),"")</f>
        <v/>
      </c>
      <c r="RT51" s="76" t="str">
        <f aca="false">IF($I51&gt;0%,IF(AND(RT$16&gt;=$F51,RT$16&lt;$F51+($G51*$I51)),"➤",""),"")</f>
        <v/>
      </c>
      <c r="RU51" s="76" t="str">
        <f aca="false">IF($I51&gt;0%,IF(AND(RU$16&gt;=$F51,RU$16&lt;$F51+($G51*$I51)),"➤",""),"")</f>
        <v/>
      </c>
      <c r="RV51" s="76" t="str">
        <f aca="false">IF($I51&gt;0%,IF(AND(RV$16&gt;=$F51,RV$16&lt;$F51+($G51*$I51)),"➤",""),"")</f>
        <v/>
      </c>
      <c r="RW51" s="76" t="str">
        <f aca="false">IF($I51&gt;0%,IF(AND(RW$16&gt;=$F51,RW$16&lt;$F51+($G51*$I51)),"➤",""),"")</f>
        <v/>
      </c>
      <c r="RX51" s="76" t="str">
        <f aca="false">IF($I51&gt;0%,IF(AND(RX$16&gt;=$F51,RX$16&lt;$F51+($G51*$I51)),"➤",""),"")</f>
        <v/>
      </c>
      <c r="RY51" s="76" t="str">
        <f aca="false">IF($I51&gt;0%,IF(AND(RY$16&gt;=$F51,RY$16&lt;$F51+($G51*$I51)),"➤",""),"")</f>
        <v/>
      </c>
      <c r="RZ51" s="76" t="str">
        <f aca="false">IF($I51&gt;0%,IF(AND(RZ$16&gt;=$F51,RZ$16&lt;$F51+($G51*$I51)),"➤",""),"")</f>
        <v/>
      </c>
      <c r="SA51" s="76" t="str">
        <f aca="false">IF($I51&gt;0%,IF(AND(SA$16&gt;=$F51,SA$16&lt;$F51+($G51*$I51)),"➤",""),"")</f>
        <v/>
      </c>
      <c r="SB51" s="76" t="str">
        <f aca="false">IF($I51&gt;0%,IF(AND(SB$16&gt;=$F51,SB$16&lt;$F51+($G51*$I51)),"➤",""),"")</f>
        <v/>
      </c>
      <c r="SC51" s="76" t="str">
        <f aca="false">IF($I51&gt;0%,IF(AND(SC$16&gt;=$F51,SC$16&lt;$F51+($G51*$I51)),"➤",""),"")</f>
        <v/>
      </c>
      <c r="SD51" s="76" t="str">
        <f aca="false">IF($I51&gt;0%,IF(AND(SD$16&gt;=$F51,SD$16&lt;$F51+($G51*$I51)),"➤",""),"")</f>
        <v/>
      </c>
      <c r="SE51" s="76" t="str">
        <f aca="false">IF($I51&gt;0%,IF(AND(SE$16&gt;=$F51,SE$16&lt;$F51+($G51*$I51)),"➤",""),"")</f>
        <v/>
      </c>
      <c r="SF51" s="76" t="str">
        <f aca="false">IF($I51&gt;0%,IF(AND(SF$16&gt;=$F51,SF$16&lt;$F51+($G51*$I51)),"➤",""),"")</f>
        <v/>
      </c>
      <c r="SG51" s="76" t="str">
        <f aca="false">IF($I51&gt;0%,IF(AND(SG$16&gt;=$F51,SG$16&lt;$F51+($G51*$I51)),"➤",""),"")</f>
        <v/>
      </c>
      <c r="SH51" s="76" t="str">
        <f aca="false">IF($I51&gt;0%,IF(AND(SH$16&gt;=$F51,SH$16&lt;$F51+($G51*$I51)),"➤",""),"")</f>
        <v/>
      </c>
      <c r="SI51" s="76" t="str">
        <f aca="false">IF($I51&gt;0%,IF(AND(SI$16&gt;=$F51,SI$16&lt;$F51+($G51*$I51)),"➤",""),"")</f>
        <v/>
      </c>
      <c r="SJ51" s="76" t="str">
        <f aca="false">IF($I51&gt;0%,IF(AND(SJ$16&gt;=$F51,SJ$16&lt;$F51+($G51*$I51)),"➤",""),"")</f>
        <v/>
      </c>
      <c r="SK51" s="76" t="str">
        <f aca="false">IF($I51&gt;0%,IF(AND(SK$16&gt;=$F51,SK$16&lt;$F51+($G51*$I51)),"➤",""),"")</f>
        <v/>
      </c>
      <c r="SL51" s="76" t="str">
        <f aca="false">IF($I51&gt;0%,IF(AND(SL$16&gt;=$F51,SL$16&lt;$F51+($G51*$I51)),"➤",""),"")</f>
        <v/>
      </c>
      <c r="SM51" s="76" t="str">
        <f aca="false">IF($I51&gt;0%,IF(AND(SM$16&gt;=$F51,SM$16&lt;$F51+($G51*$I51)),"➤",""),"")</f>
        <v/>
      </c>
      <c r="SN51" s="76" t="str">
        <f aca="false">IF($I51&gt;0%,IF(AND(SN$16&gt;=$F51,SN$16&lt;$F51+($G51*$I51)),"➤",""),"")</f>
        <v/>
      </c>
      <c r="SO51" s="76" t="str">
        <f aca="false">IF($I51&gt;0%,IF(AND(SO$16&gt;=$F51,SO$16&lt;$F51+($G51*$I51)),"➤",""),"")</f>
        <v/>
      </c>
      <c r="SP51" s="76" t="str">
        <f aca="false">IF($I51&gt;0%,IF(AND(SP$16&gt;=$F51,SP$16&lt;$F51+($G51*$I51)),"➤",""),"")</f>
        <v/>
      </c>
      <c r="SQ51" s="76" t="str">
        <f aca="false">IF($I51&gt;0%,IF(AND(SQ$16&gt;=$F51,SQ$16&lt;$F51+($G51*$I51)),"➤",""),"")</f>
        <v/>
      </c>
      <c r="SR51" s="76" t="str">
        <f aca="false">IF($I51&gt;0%,IF(AND(SR$16&gt;=$F51,SR$16&lt;$F51+($G51*$I51)),"➤",""),"")</f>
        <v/>
      </c>
      <c r="SS51" s="76" t="str">
        <f aca="false">IF($I51&gt;0%,IF(AND(SS$16&gt;=$F51,SS$16&lt;$F51+($G51*$I51)),"➤",""),"")</f>
        <v/>
      </c>
      <c r="ST51" s="76" t="str">
        <f aca="false">IF($I51&gt;0%,IF(AND(ST$16&gt;=$F51,ST$16&lt;$F51+($G51*$I51)),"➤",""),"")</f>
        <v/>
      </c>
      <c r="SU51" s="76" t="str">
        <f aca="false">IF($I51&gt;0%,IF(AND(SU$16&gt;=$F51,SU$16&lt;$F51+($G51*$I51)),"➤",""),"")</f>
        <v/>
      </c>
      <c r="SV51" s="76" t="str">
        <f aca="false">IF($I51&gt;0%,IF(AND(SV$16&gt;=$F51,SV$16&lt;$F51+($G51*$I51)),"➤",""),"")</f>
        <v/>
      </c>
      <c r="SW51" s="77" t="str">
        <f aca="false">IF($I51&gt;0%,IF(AND(SW$16&gt;=$F51,SW$16&lt;$F51+($G51*$I51)),"➤",""),"")</f>
        <v/>
      </c>
    </row>
    <row r="52" customFormat="false" ht="14.25" hidden="false" customHeight="false" outlineLevel="1" collapsed="false">
      <c r="C52" s="10"/>
      <c r="D52" s="99"/>
      <c r="E52" s="100"/>
      <c r="F52" s="101" t="n">
        <v>44183</v>
      </c>
      <c r="G52" s="102" t="n">
        <v>8</v>
      </c>
      <c r="H52" s="103" t="n">
        <f aca="false">(F52+G52)-1</f>
        <v>44190</v>
      </c>
      <c r="I52" s="110" t="n">
        <v>0</v>
      </c>
      <c r="J52" s="105"/>
      <c r="K52" s="106"/>
      <c r="L52" s="75" t="str">
        <f aca="false">IF($I52&gt;0%,IF(AND(L$16&gt;=$F52,L$16&lt;$F52+($G52*$I52)),"➤",""),"")</f>
        <v/>
      </c>
      <c r="M52" s="76" t="str">
        <f aca="false">IF($I52&gt;0%,IF(AND(M$16&gt;=$F52,M$16&lt;$F52+($G52*$I52)),"➤",""),"")</f>
        <v/>
      </c>
      <c r="N52" s="76" t="str">
        <f aca="false">IF($I52&gt;0%,IF(AND(N$16&gt;=$F52,N$16&lt;$F52+($G52*$I52)),"➤",""),"")</f>
        <v/>
      </c>
      <c r="O52" s="76" t="str">
        <f aca="false">IF($I52&gt;0%,IF(AND(O$16&gt;=$F52,O$16&lt;$F52+($G52*$I52)),"➤",""),"")</f>
        <v/>
      </c>
      <c r="P52" s="76" t="str">
        <f aca="false">IF($I52&gt;0%,IF(AND(P$16&gt;=$F52,P$16&lt;$F52+($G52*$I52)),"➤",""),"")</f>
        <v/>
      </c>
      <c r="Q52" s="76" t="str">
        <f aca="false">IF($I52&gt;0%,IF(AND(Q$16&gt;=$F52,Q$16&lt;$F52+($G52*$I52)),"➤",""),"")</f>
        <v/>
      </c>
      <c r="R52" s="76" t="str">
        <f aca="false">IF($I52&gt;0%,IF(AND(R$16&gt;=$F52,R$16&lt;$F52+($G52*$I52)),"➤",""),"")</f>
        <v/>
      </c>
      <c r="S52" s="76" t="str">
        <f aca="false">IF($I52&gt;0%,IF(AND(S$16&gt;=$F52,S$16&lt;$F52+($G52*$I52)),"➤",""),"")</f>
        <v/>
      </c>
      <c r="T52" s="76" t="str">
        <f aca="false">IF($I52&gt;0%,IF(AND(T$16&gt;=$F52,T$16&lt;$F52+($G52*$I52)),"➤",""),"")</f>
        <v/>
      </c>
      <c r="U52" s="76" t="str">
        <f aca="false">IF($I52&gt;0%,IF(AND(U$16&gt;=$F52,U$16&lt;$F52+($G52*$I52)),"➤",""),"")</f>
        <v/>
      </c>
      <c r="V52" s="76" t="str">
        <f aca="false">IF($I52&gt;0%,IF(AND(V$16&gt;=$F52,V$16&lt;$F52+($G52*$I52)),"➤",""),"")</f>
        <v/>
      </c>
      <c r="W52" s="76" t="str">
        <f aca="false">IF($I52&gt;0%,IF(AND(W$16&gt;=$F52,W$16&lt;$F52+($G52*$I52)),"➤",""),"")</f>
        <v/>
      </c>
      <c r="X52" s="76" t="str">
        <f aca="false">IF($I52&gt;0%,IF(AND(X$16&gt;=$F52,X$16&lt;$F52+($G52*$I52)),"➤",""),"")</f>
        <v/>
      </c>
      <c r="Y52" s="76" t="str">
        <f aca="false">IF($I52&gt;0%,IF(AND(Y$16&gt;=$F52,Y$16&lt;$F52+($G52*$I52)),"➤",""),"")</f>
        <v/>
      </c>
      <c r="Z52" s="76" t="str">
        <f aca="false">IF($I52&gt;0%,IF(AND(Z$16&gt;=$F52,Z$16&lt;$F52+($G52*$I52)),"➤",""),"")</f>
        <v/>
      </c>
      <c r="AA52" s="76" t="str">
        <f aca="false">IF($I52&gt;0%,IF(AND(AA$16&gt;=$F52,AA$16&lt;$F52+($G52*$I52)),"➤",""),"")</f>
        <v/>
      </c>
      <c r="AB52" s="76" t="str">
        <f aca="false">IF($I52&gt;0%,IF(AND(AB$16&gt;=$F52,AB$16&lt;$F52+($G52*$I52)),"➤",""),"")</f>
        <v/>
      </c>
      <c r="AC52" s="76" t="str">
        <f aca="false">IF($I52&gt;0%,IF(AND(AC$16&gt;=$F52,AC$16&lt;$F52+($G52*$I52)),"➤",""),"")</f>
        <v/>
      </c>
      <c r="AD52" s="76" t="str">
        <f aca="false">IF($I52&gt;0%,IF(AND(AD$16&gt;=$F52,AD$16&lt;$F52+($G52*$I52)),"➤",""),"")</f>
        <v/>
      </c>
      <c r="AE52" s="76" t="str">
        <f aca="false">IF($I52&gt;0%,IF(AND(AE$16&gt;=$F52,AE$16&lt;$F52+($G52*$I52)),"➤",""),"")</f>
        <v/>
      </c>
      <c r="AF52" s="76" t="str">
        <f aca="false">IF($I52&gt;0%,IF(AND(AF$16&gt;=$F52,AF$16&lt;$F52+($G52*$I52)),"➤",""),"")</f>
        <v/>
      </c>
      <c r="AG52" s="76" t="str">
        <f aca="false">IF($I52&gt;0%,IF(AND(AG$16&gt;=$F52,AG$16&lt;$F52+($G52*$I52)),"➤",""),"")</f>
        <v/>
      </c>
      <c r="AH52" s="76" t="str">
        <f aca="false">IF($I52&gt;0%,IF(AND(AH$16&gt;=$F52,AH$16&lt;$F52+($G52*$I52)),"➤",""),"")</f>
        <v/>
      </c>
      <c r="AI52" s="76" t="str">
        <f aca="false">IF($I52&gt;0%,IF(AND(AI$16&gt;=$F52,AI$16&lt;$F52+($G52*$I52)),"➤",""),"")</f>
        <v/>
      </c>
      <c r="AJ52" s="76" t="str">
        <f aca="false">IF($I52&gt;0%,IF(AND(AJ$16&gt;=$F52,AJ$16&lt;$F52+($G52*$I52)),"➤",""),"")</f>
        <v/>
      </c>
      <c r="AK52" s="76" t="str">
        <f aca="false">IF($I52&gt;0%,IF(AND(AK$16&gt;=$F52,AK$16&lt;$F52+($G52*$I52)),"➤",""),"")</f>
        <v/>
      </c>
      <c r="AL52" s="76" t="str">
        <f aca="false">IF($I52&gt;0%,IF(AND(AL$16&gt;=$F52,AL$16&lt;$F52+($G52*$I52)),"➤",""),"")</f>
        <v/>
      </c>
      <c r="AM52" s="76" t="str">
        <f aca="false">IF($I52&gt;0%,IF(AND(AM$16&gt;=$F52,AM$16&lt;$F52+($G52*$I52)),"➤",""),"")</f>
        <v/>
      </c>
      <c r="AN52" s="76" t="str">
        <f aca="false">IF($I52&gt;0%,IF(AND(AN$16&gt;=$F52,AN$16&lt;$F52+($G52*$I52)),"➤",""),"")</f>
        <v/>
      </c>
      <c r="AO52" s="76" t="str">
        <f aca="false">IF($I52&gt;0%,IF(AND(AO$16&gt;=$F52,AO$16&lt;$F52+($G52*$I52)),"➤",""),"")</f>
        <v/>
      </c>
      <c r="AP52" s="76" t="str">
        <f aca="false">IF($I52&gt;0%,IF(AND(AP$16&gt;=$F52,AP$16&lt;$F52+($G52*$I52)),"➤",""),"")</f>
        <v/>
      </c>
      <c r="AQ52" s="76" t="str">
        <f aca="false">IF($I52&gt;0%,IF(AND(AQ$16&gt;=$F52,AQ$16&lt;$F52+($G52*$I52)),"➤",""),"")</f>
        <v/>
      </c>
      <c r="AR52" s="76" t="str">
        <f aca="false">IF($I52&gt;0%,IF(AND(AR$16&gt;=$F52,AR$16&lt;$F52+($G52*$I52)),"➤",""),"")</f>
        <v/>
      </c>
      <c r="AS52" s="76" t="str">
        <f aca="false">IF($I52&gt;0%,IF(AND(AS$16&gt;=$F52,AS$16&lt;$F52+($G52*$I52)),"➤",""),"")</f>
        <v/>
      </c>
      <c r="AT52" s="76" t="str">
        <f aca="false">IF($I52&gt;0%,IF(AND(AT$16&gt;=$F52,AT$16&lt;$F52+($G52*$I52)),"➤",""),"")</f>
        <v/>
      </c>
      <c r="AU52" s="76" t="str">
        <f aca="false">IF($I52&gt;0%,IF(AND(AU$16&gt;=$F52,AU$16&lt;$F52+($G52*$I52)),"➤",""),"")</f>
        <v/>
      </c>
      <c r="AV52" s="76" t="str">
        <f aca="false">IF($I52&gt;0%,IF(AND(AV$16&gt;=$F52,AV$16&lt;$F52+($G52*$I52)),"➤",""),"")</f>
        <v/>
      </c>
      <c r="AW52" s="76" t="str">
        <f aca="false">IF($I52&gt;0%,IF(AND(AW$16&gt;=$F52,AW$16&lt;$F52+($G52*$I52)),"➤",""),"")</f>
        <v/>
      </c>
      <c r="AX52" s="76" t="str">
        <f aca="false">IF($I52&gt;0%,IF(AND(AX$16&gt;=$F52,AX$16&lt;$F52+($G52*$I52)),"➤",""),"")</f>
        <v/>
      </c>
      <c r="AY52" s="76" t="str">
        <f aca="false">IF($I52&gt;0%,IF(AND(AY$16&gt;=$F52,AY$16&lt;$F52+($G52*$I52)),"➤",""),"")</f>
        <v/>
      </c>
      <c r="AZ52" s="76" t="str">
        <f aca="false">IF($I52&gt;0%,IF(AND(AZ$16&gt;=$F52,AZ$16&lt;$F52+($G52*$I52)),"➤",""),"")</f>
        <v/>
      </c>
      <c r="BA52" s="76" t="str">
        <f aca="false">IF($I52&gt;0%,IF(AND(BA$16&gt;=$F52,BA$16&lt;$F52+($G52*$I52)),"➤",""),"")</f>
        <v/>
      </c>
      <c r="BB52" s="76" t="str">
        <f aca="false">IF($I52&gt;0%,IF(AND(BB$16&gt;=$F52,BB$16&lt;$F52+($G52*$I52)),"➤",""),"")</f>
        <v/>
      </c>
      <c r="BC52" s="76" t="str">
        <f aca="false">IF($I52&gt;0%,IF(AND(BC$16&gt;=$F52,BC$16&lt;$F52+($G52*$I52)),"➤",""),"")</f>
        <v/>
      </c>
      <c r="BD52" s="76" t="str">
        <f aca="false">IF($I52&gt;0%,IF(AND(BD$16&gt;=$F52,BD$16&lt;$F52+($G52*$I52)),"➤",""),"")</f>
        <v/>
      </c>
      <c r="BE52" s="76" t="str">
        <f aca="false">IF($I52&gt;0%,IF(AND(BE$16&gt;=$F52,BE$16&lt;$F52+($G52*$I52)),"➤",""),"")</f>
        <v/>
      </c>
      <c r="BF52" s="76" t="str">
        <f aca="false">IF($I52&gt;0%,IF(AND(BF$16&gt;=$F52,BF$16&lt;$F52+($G52*$I52)),"➤",""),"")</f>
        <v/>
      </c>
      <c r="BG52" s="76" t="str">
        <f aca="false">IF($I52&gt;0%,IF(AND(BG$16&gt;=$F52,BG$16&lt;$F52+($G52*$I52)),"➤",""),"")</f>
        <v/>
      </c>
      <c r="BH52" s="76" t="str">
        <f aca="false">IF($I52&gt;0%,IF(AND(BH$16&gt;=$F52,BH$16&lt;$F52+($G52*$I52)),"➤",""),"")</f>
        <v/>
      </c>
      <c r="BI52" s="76" t="str">
        <f aca="false">IF($I52&gt;0%,IF(AND(BI$16&gt;=$F52,BI$16&lt;$F52+($G52*$I52)),"➤",""),"")</f>
        <v/>
      </c>
      <c r="BJ52" s="76" t="str">
        <f aca="false">IF($I52&gt;0%,IF(AND(BJ$16&gt;=$F52,BJ$16&lt;$F52+($G52*$I52)),"➤",""),"")</f>
        <v/>
      </c>
      <c r="BK52" s="76" t="str">
        <f aca="false">IF($I52&gt;0%,IF(AND(BK$16&gt;=$F52,BK$16&lt;$F52+($G52*$I52)),"➤",""),"")</f>
        <v/>
      </c>
      <c r="BL52" s="76" t="str">
        <f aca="false">IF($I52&gt;0%,IF(AND(BL$16&gt;=$F52,BL$16&lt;$F52+($G52*$I52)),"➤",""),"")</f>
        <v/>
      </c>
      <c r="BM52" s="76" t="str">
        <f aca="false">IF($I52&gt;0%,IF(AND(BM$16&gt;=$F52,BM$16&lt;$F52+($G52*$I52)),"➤",""),"")</f>
        <v/>
      </c>
      <c r="BN52" s="76" t="str">
        <f aca="false">IF($I52&gt;0%,IF(AND(BN$16&gt;=$F52,BN$16&lt;$F52+($G52*$I52)),"➤",""),"")</f>
        <v/>
      </c>
      <c r="BO52" s="76" t="str">
        <f aca="false">IF($I52&gt;0%,IF(AND(BO$16&gt;=$F52,BO$16&lt;$F52+($G52*$I52)),"➤",""),"")</f>
        <v/>
      </c>
      <c r="BP52" s="76" t="str">
        <f aca="false">IF($I52&gt;0%,IF(AND(BP$16&gt;=$F52,BP$16&lt;$F52+($G52*$I52)),"➤",""),"")</f>
        <v/>
      </c>
      <c r="BQ52" s="76" t="str">
        <f aca="false">IF($I52&gt;0%,IF(AND(BQ$16&gt;=$F52,BQ$16&lt;$F52+($G52*$I52)),"➤",""),"")</f>
        <v/>
      </c>
      <c r="BR52" s="76" t="str">
        <f aca="false">IF($I52&gt;0%,IF(AND(BR$16&gt;=$F52,BR$16&lt;$F52+($G52*$I52)),"➤",""),"")</f>
        <v/>
      </c>
      <c r="BS52" s="76" t="str">
        <f aca="false">IF($I52&gt;0%,IF(AND(BS$16&gt;=$F52,BS$16&lt;$F52+($G52*$I52)),"➤",""),"")</f>
        <v/>
      </c>
      <c r="BT52" s="76" t="str">
        <f aca="false">IF($I52&gt;0%,IF(AND(BT$16&gt;=$F52,BT$16&lt;$F52+($G52*$I52)),"➤",""),"")</f>
        <v/>
      </c>
      <c r="BU52" s="76" t="str">
        <f aca="false">IF($I52&gt;0%,IF(AND(BU$16&gt;=$F52,BU$16&lt;$F52+($G52*$I52)),"➤",""),"")</f>
        <v/>
      </c>
      <c r="BV52" s="76" t="str">
        <f aca="false">IF($I52&gt;0%,IF(AND(BV$16&gt;=$F52,BV$16&lt;$F52+($G52*$I52)),"➤",""),"")</f>
        <v/>
      </c>
      <c r="BW52" s="76" t="str">
        <f aca="false">IF($I52&gt;0%,IF(AND(BW$16&gt;=$F52,BW$16&lt;$F52+($G52*$I52)),"➤",""),"")</f>
        <v/>
      </c>
      <c r="BX52" s="76" t="str">
        <f aca="false">IF($I52&gt;0%,IF(AND(BX$16&gt;=$F52,BX$16&lt;$F52+($G52*$I52)),"➤",""),"")</f>
        <v/>
      </c>
      <c r="BY52" s="76" t="str">
        <f aca="false">IF($I52&gt;0%,IF(AND(BY$16&gt;=$F52,BY$16&lt;$F52+($G52*$I52)),"➤",""),"")</f>
        <v/>
      </c>
      <c r="BZ52" s="76" t="str">
        <f aca="false">IF($I52&gt;0%,IF(AND(BZ$16&gt;=$F52,BZ$16&lt;$F52+($G52*$I52)),"➤",""),"")</f>
        <v/>
      </c>
      <c r="CA52" s="76" t="str">
        <f aca="false">IF($I52&gt;0%,IF(AND(CA$16&gt;=$F52,CA$16&lt;$F52+($G52*$I52)),"➤",""),"")</f>
        <v/>
      </c>
      <c r="CB52" s="76" t="str">
        <f aca="false">IF($I52&gt;0%,IF(AND(CB$16&gt;=$F52,CB$16&lt;$F52+($G52*$I52)),"➤",""),"")</f>
        <v/>
      </c>
      <c r="CC52" s="76" t="str">
        <f aca="false">IF($I52&gt;0%,IF(AND(CC$16&gt;=$F52,CC$16&lt;$F52+($G52*$I52)),"➤",""),"")</f>
        <v/>
      </c>
      <c r="CD52" s="76" t="str">
        <f aca="false">IF($I52&gt;0%,IF(AND(CD$16&gt;=$F52,CD$16&lt;$F52+($G52*$I52)),"➤",""),"")</f>
        <v/>
      </c>
      <c r="CE52" s="76" t="str">
        <f aca="false">IF($I52&gt;0%,IF(AND(CE$16&gt;=$F52,CE$16&lt;$F52+($G52*$I52)),"➤",""),"")</f>
        <v/>
      </c>
      <c r="CF52" s="76" t="str">
        <f aca="false">IF($I52&gt;0%,IF(AND(CF$16&gt;=$F52,CF$16&lt;$F52+($G52*$I52)),"➤",""),"")</f>
        <v/>
      </c>
      <c r="CG52" s="76" t="str">
        <f aca="false">IF($I52&gt;0%,IF(AND(CG$16&gt;=$F52,CG$16&lt;$F52+($G52*$I52)),"➤",""),"")</f>
        <v/>
      </c>
      <c r="CH52" s="76" t="str">
        <f aca="false">IF($I52&gt;0%,IF(AND(CH$16&gt;=$F52,CH$16&lt;$F52+($G52*$I52)),"➤",""),"")</f>
        <v/>
      </c>
      <c r="CI52" s="76" t="str">
        <f aca="false">IF($I52&gt;0%,IF(AND(CI$16&gt;=$F52,CI$16&lt;$F52+($G52*$I52)),"➤",""),"")</f>
        <v/>
      </c>
      <c r="CJ52" s="76" t="str">
        <f aca="false">IF($I52&gt;0%,IF(AND(CJ$16&gt;=$F52,CJ$16&lt;$F52+($G52*$I52)),"➤",""),"")</f>
        <v/>
      </c>
      <c r="CK52" s="76" t="str">
        <f aca="false">IF($I52&gt;0%,IF(AND(CK$16&gt;=$F52,CK$16&lt;$F52+($G52*$I52)),"➤",""),"")</f>
        <v/>
      </c>
      <c r="CL52" s="76" t="str">
        <f aca="false">IF($I52&gt;0%,IF(AND(CL$16&gt;=$F52,CL$16&lt;$F52+($G52*$I52)),"➤",""),"")</f>
        <v/>
      </c>
      <c r="CM52" s="76" t="str">
        <f aca="false">IF($I52&gt;0%,IF(AND(CM$16&gt;=$F52,CM$16&lt;$F52+($G52*$I52)),"➤",""),"")</f>
        <v/>
      </c>
      <c r="CN52" s="76" t="str">
        <f aca="false">IF($I52&gt;0%,IF(AND(CN$16&gt;=$F52,CN$16&lt;$F52+($G52*$I52)),"➤",""),"")</f>
        <v/>
      </c>
      <c r="CO52" s="76" t="str">
        <f aca="false">IF($I52&gt;0%,IF(AND(CO$16&gt;=$F52,CO$16&lt;$F52+($G52*$I52)),"➤",""),"")</f>
        <v/>
      </c>
      <c r="CP52" s="76" t="str">
        <f aca="false">IF($I52&gt;0%,IF(AND(CP$16&gt;=$F52,CP$16&lt;$F52+($G52*$I52)),"➤",""),"")</f>
        <v/>
      </c>
      <c r="CQ52" s="76" t="str">
        <f aca="false">IF($I52&gt;0%,IF(AND(CQ$16&gt;=$F52,CQ$16&lt;$F52+($G52*$I52)),"➤",""),"")</f>
        <v/>
      </c>
      <c r="CR52" s="76" t="str">
        <f aca="false">IF($I52&gt;0%,IF(AND(CR$16&gt;=$F52,CR$16&lt;$F52+($G52*$I52)),"➤",""),"")</f>
        <v/>
      </c>
      <c r="CS52" s="76" t="str">
        <f aca="false">IF($I52&gt;0%,IF(AND(CS$16&gt;=$F52,CS$16&lt;$F52+($G52*$I52)),"➤",""),"")</f>
        <v/>
      </c>
      <c r="CT52" s="76" t="str">
        <f aca="false">IF($I52&gt;0%,IF(AND(CT$16&gt;=$F52,CT$16&lt;$F52+($G52*$I52)),"➤",""),"")</f>
        <v/>
      </c>
      <c r="CU52" s="76" t="str">
        <f aca="false">IF($I52&gt;0%,IF(AND(CU$16&gt;=$F52,CU$16&lt;$F52+($G52*$I52)),"➤",""),"")</f>
        <v/>
      </c>
      <c r="CV52" s="76" t="str">
        <f aca="false">IF($I52&gt;0%,IF(AND(CV$16&gt;=$F52,CV$16&lt;$F52+($G52*$I52)),"➤",""),"")</f>
        <v/>
      </c>
      <c r="CW52" s="76" t="str">
        <f aca="false">IF($I52&gt;0%,IF(AND(CW$16&gt;=$F52,CW$16&lt;$F52+($G52*$I52)),"➤",""),"")</f>
        <v/>
      </c>
      <c r="CX52" s="76" t="str">
        <f aca="false">IF($I52&gt;0%,IF(AND(CX$16&gt;=$F52,CX$16&lt;$F52+($G52*$I52)),"➤",""),"")</f>
        <v/>
      </c>
      <c r="CY52" s="76" t="str">
        <f aca="false">IF($I52&gt;0%,IF(AND(CY$16&gt;=$F52,CY$16&lt;$F52+($G52*$I52)),"➤",""),"")</f>
        <v/>
      </c>
      <c r="CZ52" s="76" t="str">
        <f aca="false">IF($I52&gt;0%,IF(AND(CZ$16&gt;=$F52,CZ$16&lt;$F52+($G52*$I52)),"➤",""),"")</f>
        <v/>
      </c>
      <c r="DA52" s="76" t="str">
        <f aca="false">IF($I52&gt;0%,IF(AND(DA$16&gt;=$F52,DA$16&lt;$F52+($G52*$I52)),"➤",""),"")</f>
        <v/>
      </c>
      <c r="DB52" s="76" t="str">
        <f aca="false">IF($I52&gt;0%,IF(AND(DB$16&gt;=$F52,DB$16&lt;$F52+($G52*$I52)),"➤",""),"")</f>
        <v/>
      </c>
      <c r="DC52" s="76" t="str">
        <f aca="false">IF($I52&gt;0%,IF(AND(DC$16&gt;=$F52,DC$16&lt;$F52+($G52*$I52)),"➤",""),"")</f>
        <v/>
      </c>
      <c r="DD52" s="76" t="str">
        <f aca="false">IF($I52&gt;0%,IF(AND(DD$16&gt;=$F52,DD$16&lt;$F52+($G52*$I52)),"➤",""),"")</f>
        <v/>
      </c>
      <c r="DE52" s="76" t="str">
        <f aca="false">IF($I52&gt;0%,IF(AND(DE$16&gt;=$F52,DE$16&lt;$F52+($G52*$I52)),"➤",""),"")</f>
        <v/>
      </c>
      <c r="DF52" s="76" t="str">
        <f aca="false">IF($I52&gt;0%,IF(AND(DF$16&gt;=$F52,DF$16&lt;$F52+($G52*$I52)),"➤",""),"")</f>
        <v/>
      </c>
      <c r="DG52" s="76" t="str">
        <f aca="false">IF($I52&gt;0%,IF(AND(DG$16&gt;=$F52,DG$16&lt;$F52+($G52*$I52)),"➤",""),"")</f>
        <v/>
      </c>
      <c r="DH52" s="76" t="str">
        <f aca="false">IF($I52&gt;0%,IF(AND(DH$16&gt;=$F52,DH$16&lt;$F52+($G52*$I52)),"➤",""),"")</f>
        <v/>
      </c>
      <c r="DI52" s="76" t="str">
        <f aca="false">IF($I52&gt;0%,IF(AND(DI$16&gt;=$F52,DI$16&lt;$F52+($G52*$I52)),"➤",""),"")</f>
        <v/>
      </c>
      <c r="DJ52" s="76" t="str">
        <f aca="false">IF($I52&gt;0%,IF(AND(DJ$16&gt;=$F52,DJ$16&lt;$F52+($G52*$I52)),"➤",""),"")</f>
        <v/>
      </c>
      <c r="DK52" s="76" t="str">
        <f aca="false">IF($I52&gt;0%,IF(AND(DK$16&gt;=$F52,DK$16&lt;$F52+($G52*$I52)),"➤",""),"")</f>
        <v/>
      </c>
      <c r="DL52" s="76" t="str">
        <f aca="false">IF($I52&gt;0%,IF(AND(DL$16&gt;=$F52,DL$16&lt;$F52+($G52*$I52)),"➤",""),"")</f>
        <v/>
      </c>
      <c r="DM52" s="76" t="str">
        <f aca="false">IF($I52&gt;0%,IF(AND(DM$16&gt;=$F52,DM$16&lt;$F52+($G52*$I52)),"➤",""),"")</f>
        <v/>
      </c>
      <c r="DN52" s="76" t="str">
        <f aca="false">IF($I52&gt;0%,IF(AND(DN$16&gt;=$F52,DN$16&lt;$F52+($G52*$I52)),"➤",""),"")</f>
        <v/>
      </c>
      <c r="DO52" s="76" t="str">
        <f aca="false">IF($I52&gt;0%,IF(AND(DO$16&gt;=$F52,DO$16&lt;$F52+($G52*$I52)),"➤",""),"")</f>
        <v/>
      </c>
      <c r="DP52" s="76" t="str">
        <f aca="false">IF($I52&gt;0%,IF(AND(DP$16&gt;=$F52,DP$16&lt;$F52+($G52*$I52)),"➤",""),"")</f>
        <v/>
      </c>
      <c r="DQ52" s="76" t="str">
        <f aca="false">IF($I52&gt;0%,IF(AND(DQ$16&gt;=$F52,DQ$16&lt;$F52+($G52*$I52)),"➤",""),"")</f>
        <v/>
      </c>
      <c r="DR52" s="76" t="str">
        <f aca="false">IF($I52&gt;0%,IF(AND(DR$16&gt;=$F52,DR$16&lt;$F52+($G52*$I52)),"➤",""),"")</f>
        <v/>
      </c>
      <c r="DS52" s="76" t="str">
        <f aca="false">IF($I52&gt;0%,IF(AND(DS$16&gt;=$F52,DS$16&lt;$F52+($G52*$I52)),"➤",""),"")</f>
        <v/>
      </c>
      <c r="DT52" s="76" t="str">
        <f aca="false">IF($I52&gt;0%,IF(AND(DT$16&gt;=$F52,DT$16&lt;$F52+($G52*$I52)),"➤",""),"")</f>
        <v/>
      </c>
      <c r="DU52" s="76" t="str">
        <f aca="false">IF($I52&gt;0%,IF(AND(DU$16&gt;=$F52,DU$16&lt;$F52+($G52*$I52)),"➤",""),"")</f>
        <v/>
      </c>
      <c r="DV52" s="76" t="str">
        <f aca="false">IF($I52&gt;0%,IF(AND(DV$16&gt;=$F52,DV$16&lt;$F52+($G52*$I52)),"➤",""),"")</f>
        <v/>
      </c>
      <c r="DW52" s="76" t="str">
        <f aca="false">IF($I52&gt;0%,IF(AND(DW$16&gt;=$F52,DW$16&lt;$F52+($G52*$I52)),"➤",""),"")</f>
        <v/>
      </c>
      <c r="DX52" s="76" t="str">
        <f aca="false">IF($I52&gt;0%,IF(AND(DX$16&gt;=$F52,DX$16&lt;$F52+($G52*$I52)),"➤",""),"")</f>
        <v/>
      </c>
      <c r="DY52" s="76" t="str">
        <f aca="false">IF($I52&gt;0%,IF(AND(DY$16&gt;=$F52,DY$16&lt;$F52+($G52*$I52)),"➤",""),"")</f>
        <v/>
      </c>
      <c r="DZ52" s="76" t="str">
        <f aca="false">IF($I52&gt;0%,IF(AND(DZ$16&gt;=$F52,DZ$16&lt;$F52+($G52*$I52)),"➤",""),"")</f>
        <v/>
      </c>
      <c r="EA52" s="76" t="str">
        <f aca="false">IF($I52&gt;0%,IF(AND(EA$16&gt;=$F52,EA$16&lt;$F52+($G52*$I52)),"➤",""),"")</f>
        <v/>
      </c>
      <c r="EB52" s="76" t="str">
        <f aca="false">IF($I52&gt;0%,IF(AND(EB$16&gt;=$F52,EB$16&lt;$F52+($G52*$I52)),"➤",""),"")</f>
        <v/>
      </c>
      <c r="EC52" s="76" t="str">
        <f aca="false">IF($I52&gt;0%,IF(AND(EC$16&gt;=$F52,EC$16&lt;$F52+($G52*$I52)),"➤",""),"")</f>
        <v/>
      </c>
      <c r="ED52" s="76" t="str">
        <f aca="false">IF($I52&gt;0%,IF(AND(ED$16&gt;=$F52,ED$16&lt;$F52+($G52*$I52)),"➤",""),"")</f>
        <v/>
      </c>
      <c r="EE52" s="76" t="str">
        <f aca="false">IF($I52&gt;0%,IF(AND(EE$16&gt;=$F52,EE$16&lt;$F52+($G52*$I52)),"➤",""),"")</f>
        <v/>
      </c>
      <c r="EF52" s="76" t="str">
        <f aca="false">IF($I52&gt;0%,IF(AND(EF$16&gt;=$F52,EF$16&lt;$F52+($G52*$I52)),"➤",""),"")</f>
        <v/>
      </c>
      <c r="EG52" s="76" t="str">
        <f aca="false">IF($I52&gt;0%,IF(AND(EG$16&gt;=$F52,EG$16&lt;$F52+($G52*$I52)),"➤",""),"")</f>
        <v/>
      </c>
      <c r="EH52" s="76" t="str">
        <f aca="false">IF($I52&gt;0%,IF(AND(EH$16&gt;=$F52,EH$16&lt;$F52+($G52*$I52)),"➤",""),"")</f>
        <v/>
      </c>
      <c r="EI52" s="76" t="str">
        <f aca="false">IF($I52&gt;0%,IF(AND(EI$16&gt;=$F52,EI$16&lt;$F52+($G52*$I52)),"➤",""),"")</f>
        <v/>
      </c>
      <c r="EJ52" s="76" t="str">
        <f aca="false">IF($I52&gt;0%,IF(AND(EJ$16&gt;=$F52,EJ$16&lt;$F52+($G52*$I52)),"➤",""),"")</f>
        <v/>
      </c>
      <c r="EK52" s="76" t="str">
        <f aca="false">IF($I52&gt;0%,IF(AND(EK$16&gt;=$F52,EK$16&lt;$F52+($G52*$I52)),"➤",""),"")</f>
        <v/>
      </c>
      <c r="EL52" s="76" t="str">
        <f aca="false">IF($I52&gt;0%,IF(AND(EL$16&gt;=$F52,EL$16&lt;$F52+($G52*$I52)),"➤",""),"")</f>
        <v/>
      </c>
      <c r="EM52" s="76" t="str">
        <f aca="false">IF($I52&gt;0%,IF(AND(EM$16&gt;=$F52,EM$16&lt;$F52+($G52*$I52)),"➤",""),"")</f>
        <v/>
      </c>
      <c r="EN52" s="76" t="str">
        <f aca="false">IF($I52&gt;0%,IF(AND(EN$16&gt;=$F52,EN$16&lt;$F52+($G52*$I52)),"➤",""),"")</f>
        <v/>
      </c>
      <c r="EO52" s="76" t="str">
        <f aca="false">IF($I52&gt;0%,IF(AND(EO$16&gt;=$F52,EO$16&lt;$F52+($G52*$I52)),"➤",""),"")</f>
        <v/>
      </c>
      <c r="EP52" s="76" t="str">
        <f aca="false">IF($I52&gt;0%,IF(AND(EP$16&gt;=$F52,EP$16&lt;$F52+($G52*$I52)),"➤",""),"")</f>
        <v/>
      </c>
      <c r="EQ52" s="76" t="str">
        <f aca="false">IF($I52&gt;0%,IF(AND(EQ$16&gt;=$F52,EQ$16&lt;$F52+($G52*$I52)),"➤",""),"")</f>
        <v/>
      </c>
      <c r="ER52" s="76" t="str">
        <f aca="false">IF($I52&gt;0%,IF(AND(ER$16&gt;=$F52,ER$16&lt;$F52+($G52*$I52)),"➤",""),"")</f>
        <v/>
      </c>
      <c r="ES52" s="76" t="str">
        <f aca="false">IF($I52&gt;0%,IF(AND(ES$16&gt;=$F52,ES$16&lt;$F52+($G52*$I52)),"➤",""),"")</f>
        <v/>
      </c>
      <c r="ET52" s="76" t="str">
        <f aca="false">IF($I52&gt;0%,IF(AND(ET$16&gt;=$F52,ET$16&lt;$F52+($G52*$I52)),"➤",""),"")</f>
        <v/>
      </c>
      <c r="EU52" s="76" t="str">
        <f aca="false">IF($I52&gt;0%,IF(AND(EU$16&gt;=$F52,EU$16&lt;$F52+($G52*$I52)),"➤",""),"")</f>
        <v/>
      </c>
      <c r="EV52" s="76" t="str">
        <f aca="false">IF($I52&gt;0%,IF(AND(EV$16&gt;=$F52,EV$16&lt;$F52+($G52*$I52)),"➤",""),"")</f>
        <v/>
      </c>
      <c r="EW52" s="76" t="str">
        <f aca="false">IF($I52&gt;0%,IF(AND(EW$16&gt;=$F52,EW$16&lt;$F52+($G52*$I52)),"➤",""),"")</f>
        <v/>
      </c>
      <c r="EX52" s="76" t="str">
        <f aca="false">IF($I52&gt;0%,IF(AND(EX$16&gt;=$F52,EX$16&lt;$F52+($G52*$I52)),"➤",""),"")</f>
        <v/>
      </c>
      <c r="EY52" s="76" t="str">
        <f aca="false">IF($I52&gt;0%,IF(AND(EY$16&gt;=$F52,EY$16&lt;$F52+($G52*$I52)),"➤",""),"")</f>
        <v/>
      </c>
      <c r="EZ52" s="76" t="str">
        <f aca="false">IF($I52&gt;0%,IF(AND(EZ$16&gt;=$F52,EZ$16&lt;$F52+($G52*$I52)),"➤",""),"")</f>
        <v/>
      </c>
      <c r="FA52" s="76" t="str">
        <f aca="false">IF($I52&gt;0%,IF(AND(FA$16&gt;=$F52,FA$16&lt;$F52+($G52*$I52)),"➤",""),"")</f>
        <v/>
      </c>
      <c r="FB52" s="76" t="str">
        <f aca="false">IF($I52&gt;0%,IF(AND(FB$16&gt;=$F52,FB$16&lt;$F52+($G52*$I52)),"➤",""),"")</f>
        <v/>
      </c>
      <c r="FC52" s="76" t="str">
        <f aca="false">IF($I52&gt;0%,IF(AND(FC$16&gt;=$F52,FC$16&lt;$F52+($G52*$I52)),"➤",""),"")</f>
        <v/>
      </c>
      <c r="FD52" s="76" t="str">
        <f aca="false">IF($I52&gt;0%,IF(AND(FD$16&gt;=$F52,FD$16&lt;$F52+($G52*$I52)),"➤",""),"")</f>
        <v/>
      </c>
      <c r="FE52" s="76" t="str">
        <f aca="false">IF($I52&gt;0%,IF(AND(FE$16&gt;=$F52,FE$16&lt;$F52+($G52*$I52)),"➤",""),"")</f>
        <v/>
      </c>
      <c r="FF52" s="76" t="str">
        <f aca="false">IF($I52&gt;0%,IF(AND(FF$16&gt;=$F52,FF$16&lt;$F52+($G52*$I52)),"➤",""),"")</f>
        <v/>
      </c>
      <c r="FG52" s="76" t="str">
        <f aca="false">IF($I52&gt;0%,IF(AND(FG$16&gt;=$F52,FG$16&lt;$F52+($G52*$I52)),"➤",""),"")</f>
        <v/>
      </c>
      <c r="FH52" s="76" t="str">
        <f aca="false">IF($I52&gt;0%,IF(AND(FH$16&gt;=$F52,FH$16&lt;$F52+($G52*$I52)),"➤",""),"")</f>
        <v/>
      </c>
      <c r="FI52" s="76" t="str">
        <f aca="false">IF($I52&gt;0%,IF(AND(FI$16&gt;=$F52,FI$16&lt;$F52+($G52*$I52)),"➤",""),"")</f>
        <v/>
      </c>
      <c r="FJ52" s="76" t="str">
        <f aca="false">IF($I52&gt;0%,IF(AND(FJ$16&gt;=$F52,FJ$16&lt;$F52+($G52*$I52)),"➤",""),"")</f>
        <v/>
      </c>
      <c r="FK52" s="76" t="str">
        <f aca="false">IF($I52&gt;0%,IF(AND(FK$16&gt;=$F52,FK$16&lt;$F52+($G52*$I52)),"➤",""),"")</f>
        <v/>
      </c>
      <c r="FL52" s="76" t="str">
        <f aca="false">IF($I52&gt;0%,IF(AND(FL$16&gt;=$F52,FL$16&lt;$F52+($G52*$I52)),"➤",""),"")</f>
        <v/>
      </c>
      <c r="FM52" s="76" t="str">
        <f aca="false">IF($I52&gt;0%,IF(AND(FM$16&gt;=$F52,FM$16&lt;$F52+($G52*$I52)),"➤",""),"")</f>
        <v/>
      </c>
      <c r="FN52" s="76" t="str">
        <f aca="false">IF($I52&gt;0%,IF(AND(FN$16&gt;=$F52,FN$16&lt;$F52+($G52*$I52)),"➤",""),"")</f>
        <v/>
      </c>
      <c r="FO52" s="76" t="str">
        <f aca="false">IF($I52&gt;0%,IF(AND(FO$16&gt;=$F52,FO$16&lt;$F52+($G52*$I52)),"➤",""),"")</f>
        <v/>
      </c>
      <c r="FP52" s="76" t="str">
        <f aca="false">IF($I52&gt;0%,IF(AND(FP$16&gt;=$F52,FP$16&lt;$F52+($G52*$I52)),"➤",""),"")</f>
        <v/>
      </c>
      <c r="FQ52" s="76" t="str">
        <f aca="false">IF($I52&gt;0%,IF(AND(FQ$16&gt;=$F52,FQ$16&lt;$F52+($G52*$I52)),"➤",""),"")</f>
        <v/>
      </c>
      <c r="FR52" s="76" t="str">
        <f aca="false">IF($I52&gt;0%,IF(AND(FR$16&gt;=$F52,FR$16&lt;$F52+($G52*$I52)),"➤",""),"")</f>
        <v/>
      </c>
      <c r="FS52" s="76" t="str">
        <f aca="false">IF($I52&gt;0%,IF(AND(FS$16&gt;=$F52,FS$16&lt;$F52+($G52*$I52)),"➤",""),"")</f>
        <v/>
      </c>
      <c r="FT52" s="76" t="str">
        <f aca="false">IF($I52&gt;0%,IF(AND(FT$16&gt;=$F52,FT$16&lt;$F52+($G52*$I52)),"➤",""),"")</f>
        <v/>
      </c>
      <c r="FU52" s="76" t="str">
        <f aca="false">IF($I52&gt;0%,IF(AND(FU$16&gt;=$F52,FU$16&lt;$F52+($G52*$I52)),"➤",""),"")</f>
        <v/>
      </c>
      <c r="FV52" s="76" t="str">
        <f aca="false">IF($I52&gt;0%,IF(AND(FV$16&gt;=$F52,FV$16&lt;$F52+($G52*$I52)),"➤",""),"")</f>
        <v/>
      </c>
      <c r="FW52" s="76" t="str">
        <f aca="false">IF($I52&gt;0%,IF(AND(FW$16&gt;=$F52,FW$16&lt;$F52+($G52*$I52)),"➤",""),"")</f>
        <v/>
      </c>
      <c r="FX52" s="76" t="str">
        <f aca="false">IF($I52&gt;0%,IF(AND(FX$16&gt;=$F52,FX$16&lt;$F52+($G52*$I52)),"➤",""),"")</f>
        <v/>
      </c>
      <c r="FY52" s="76" t="str">
        <f aca="false">IF($I52&gt;0%,IF(AND(FY$16&gt;=$F52,FY$16&lt;$F52+($G52*$I52)),"➤",""),"")</f>
        <v/>
      </c>
      <c r="FZ52" s="76" t="str">
        <f aca="false">IF($I52&gt;0%,IF(AND(FZ$16&gt;=$F52,FZ$16&lt;$F52+($G52*$I52)),"➤",""),"")</f>
        <v/>
      </c>
      <c r="GA52" s="76" t="str">
        <f aca="false">IF($I52&gt;0%,IF(AND(GA$16&gt;=$F52,GA$16&lt;$F52+($G52*$I52)),"➤",""),"")</f>
        <v/>
      </c>
      <c r="GB52" s="76" t="str">
        <f aca="false">IF($I52&gt;0%,IF(AND(GB$16&gt;=$F52,GB$16&lt;$F52+($G52*$I52)),"➤",""),"")</f>
        <v/>
      </c>
      <c r="GC52" s="76" t="str">
        <f aca="false">IF($I52&gt;0%,IF(AND(GC$16&gt;=$F52,GC$16&lt;$F52+($G52*$I52)),"➤",""),"")</f>
        <v/>
      </c>
      <c r="GD52" s="76" t="str">
        <f aca="false">IF($I52&gt;0%,IF(AND(GD$16&gt;=$F52,GD$16&lt;$F52+($G52*$I52)),"➤",""),"")</f>
        <v/>
      </c>
      <c r="GE52" s="76" t="str">
        <f aca="false">IF($I52&gt;0%,IF(AND(GE$16&gt;=$F52,GE$16&lt;$F52+($G52*$I52)),"➤",""),"")</f>
        <v/>
      </c>
      <c r="GF52" s="76" t="str">
        <f aca="false">IF($I52&gt;0%,IF(AND(GF$16&gt;=$F52,GF$16&lt;$F52+($G52*$I52)),"➤",""),"")</f>
        <v/>
      </c>
      <c r="GG52" s="76" t="str">
        <f aca="false">IF($I52&gt;0%,IF(AND(GG$16&gt;=$F52,GG$16&lt;$F52+($G52*$I52)),"➤",""),"")</f>
        <v/>
      </c>
      <c r="GH52" s="76" t="str">
        <f aca="false">IF($I52&gt;0%,IF(AND(GH$16&gt;=$F52,GH$16&lt;$F52+($G52*$I52)),"➤",""),"")</f>
        <v/>
      </c>
      <c r="GI52" s="76" t="str">
        <f aca="false">IF($I52&gt;0%,IF(AND(GI$16&gt;=$F52,GI$16&lt;$F52+($G52*$I52)),"➤",""),"")</f>
        <v/>
      </c>
      <c r="GJ52" s="76" t="str">
        <f aca="false">IF($I52&gt;0%,IF(AND(GJ$16&gt;=$F52,GJ$16&lt;$F52+($G52*$I52)),"➤",""),"")</f>
        <v/>
      </c>
      <c r="GK52" s="76" t="str">
        <f aca="false">IF($I52&gt;0%,IF(AND(GK$16&gt;=$F52,GK$16&lt;$F52+($G52*$I52)),"➤",""),"")</f>
        <v/>
      </c>
      <c r="GL52" s="76" t="str">
        <f aca="false">IF($I52&gt;0%,IF(AND(GL$16&gt;=$F52,GL$16&lt;$F52+($G52*$I52)),"➤",""),"")</f>
        <v/>
      </c>
      <c r="GM52" s="76" t="str">
        <f aca="false">IF($I52&gt;0%,IF(AND(GM$16&gt;=$F52,GM$16&lt;$F52+($G52*$I52)),"➤",""),"")</f>
        <v/>
      </c>
      <c r="GN52" s="76" t="str">
        <f aca="false">IF($I52&gt;0%,IF(AND(GN$16&gt;=$F52,GN$16&lt;$F52+($G52*$I52)),"➤",""),"")</f>
        <v/>
      </c>
      <c r="GO52" s="76" t="str">
        <f aca="false">IF($I52&gt;0%,IF(AND(GO$16&gt;=$F52,GO$16&lt;$F52+($G52*$I52)),"➤",""),"")</f>
        <v/>
      </c>
      <c r="GP52" s="76" t="str">
        <f aca="false">IF($I52&gt;0%,IF(AND(GP$16&gt;=$F52,GP$16&lt;$F52+($G52*$I52)),"➤",""),"")</f>
        <v/>
      </c>
      <c r="GQ52" s="76" t="str">
        <f aca="false">IF($I52&gt;0%,IF(AND(GQ$16&gt;=$F52,GQ$16&lt;$F52+($G52*$I52)),"➤",""),"")</f>
        <v/>
      </c>
      <c r="GR52" s="76" t="str">
        <f aca="false">IF($I52&gt;0%,IF(AND(GR$16&gt;=$F52,GR$16&lt;$F52+($G52*$I52)),"➤",""),"")</f>
        <v/>
      </c>
      <c r="GS52" s="76" t="str">
        <f aca="false">IF($I52&gt;0%,IF(AND(GS$16&gt;=$F52,GS$16&lt;$F52+($G52*$I52)),"➤",""),"")</f>
        <v/>
      </c>
      <c r="GT52" s="76" t="str">
        <f aca="false">IF($I52&gt;0%,IF(AND(GT$16&gt;=$F52,GT$16&lt;$F52+($G52*$I52)),"➤",""),"")</f>
        <v/>
      </c>
      <c r="GU52" s="76" t="str">
        <f aca="false">IF($I52&gt;0%,IF(AND(GU$16&gt;=$F52,GU$16&lt;$F52+($G52*$I52)),"➤",""),"")</f>
        <v/>
      </c>
      <c r="GV52" s="76" t="str">
        <f aca="false">IF($I52&gt;0%,IF(AND(GV$16&gt;=$F52,GV$16&lt;$F52+($G52*$I52)),"➤",""),"")</f>
        <v/>
      </c>
      <c r="GW52" s="76" t="str">
        <f aca="false">IF($I52&gt;0%,IF(AND(GW$16&gt;=$F52,GW$16&lt;$F52+($G52*$I52)),"➤",""),"")</f>
        <v/>
      </c>
      <c r="GX52" s="76" t="str">
        <f aca="false">IF($I52&gt;0%,IF(AND(GX$16&gt;=$F52,GX$16&lt;$F52+($G52*$I52)),"➤",""),"")</f>
        <v/>
      </c>
      <c r="GY52" s="76" t="str">
        <f aca="false">IF($I52&gt;0%,IF(AND(GY$16&gt;=$F52,GY$16&lt;$F52+($G52*$I52)),"➤",""),"")</f>
        <v/>
      </c>
      <c r="GZ52" s="76" t="str">
        <f aca="false">IF($I52&gt;0%,IF(AND(GZ$16&gt;=$F52,GZ$16&lt;$F52+($G52*$I52)),"➤",""),"")</f>
        <v/>
      </c>
      <c r="HA52" s="76" t="str">
        <f aca="false">IF($I52&gt;0%,IF(AND(HA$16&gt;=$F52,HA$16&lt;$F52+($G52*$I52)),"➤",""),"")</f>
        <v/>
      </c>
      <c r="HB52" s="76" t="str">
        <f aca="false">IF($I52&gt;0%,IF(AND(HB$16&gt;=$F52,HB$16&lt;$F52+($G52*$I52)),"➤",""),"")</f>
        <v/>
      </c>
      <c r="HC52" s="76" t="str">
        <f aca="false">IF($I52&gt;0%,IF(AND(HC$16&gt;=$F52,HC$16&lt;$F52+($G52*$I52)),"➤",""),"")</f>
        <v/>
      </c>
      <c r="HD52" s="76" t="str">
        <f aca="false">IF($I52&gt;0%,IF(AND(HD$16&gt;=$F52,HD$16&lt;$F52+($G52*$I52)),"➤",""),"")</f>
        <v/>
      </c>
      <c r="HE52" s="76" t="str">
        <f aca="false">IF($I52&gt;0%,IF(AND(HE$16&gt;=$F52,HE$16&lt;$F52+($G52*$I52)),"➤",""),"")</f>
        <v/>
      </c>
      <c r="HF52" s="76" t="str">
        <f aca="false">IF($I52&gt;0%,IF(AND(HF$16&gt;=$F52,HF$16&lt;$F52+($G52*$I52)),"➤",""),"")</f>
        <v/>
      </c>
      <c r="HG52" s="76" t="str">
        <f aca="false">IF($I52&gt;0%,IF(AND(HG$16&gt;=$F52,HG$16&lt;$F52+($G52*$I52)),"➤",""),"")</f>
        <v/>
      </c>
      <c r="HH52" s="76" t="str">
        <f aca="false">IF($I52&gt;0%,IF(AND(HH$16&gt;=$F52,HH$16&lt;$F52+($G52*$I52)),"➤",""),"")</f>
        <v/>
      </c>
      <c r="HI52" s="76" t="str">
        <f aca="false">IF($I52&gt;0%,IF(AND(HI$16&gt;=$F52,HI$16&lt;$F52+($G52*$I52)),"➤",""),"")</f>
        <v/>
      </c>
      <c r="HJ52" s="76" t="str">
        <f aca="false">IF($I52&gt;0%,IF(AND(HJ$16&gt;=$F52,HJ$16&lt;$F52+($G52*$I52)),"➤",""),"")</f>
        <v/>
      </c>
      <c r="HK52" s="76" t="str">
        <f aca="false">IF($I52&gt;0%,IF(AND(HK$16&gt;=$F52,HK$16&lt;$F52+($G52*$I52)),"➤",""),"")</f>
        <v/>
      </c>
      <c r="HL52" s="76" t="str">
        <f aca="false">IF($I52&gt;0%,IF(AND(HL$16&gt;=$F52,HL$16&lt;$F52+($G52*$I52)),"➤",""),"")</f>
        <v/>
      </c>
      <c r="HM52" s="76" t="str">
        <f aca="false">IF($I52&gt;0%,IF(AND(HM$16&gt;=$F52,HM$16&lt;$F52+($G52*$I52)),"➤",""),"")</f>
        <v/>
      </c>
      <c r="HN52" s="76" t="str">
        <f aca="false">IF($I52&gt;0%,IF(AND(HN$16&gt;=$F52,HN$16&lt;$F52+($G52*$I52)),"➤",""),"")</f>
        <v/>
      </c>
      <c r="HO52" s="76" t="str">
        <f aca="false">IF($I52&gt;0%,IF(AND(HO$16&gt;=$F52,HO$16&lt;$F52+($G52*$I52)),"➤",""),"")</f>
        <v/>
      </c>
      <c r="HP52" s="76" t="str">
        <f aca="false">IF($I52&gt;0%,IF(AND(HP$16&gt;=$F52,HP$16&lt;$F52+($G52*$I52)),"➤",""),"")</f>
        <v/>
      </c>
      <c r="HQ52" s="76" t="str">
        <f aca="false">IF($I52&gt;0%,IF(AND(HQ$16&gt;=$F52,HQ$16&lt;$F52+($G52*$I52)),"➤",""),"")</f>
        <v/>
      </c>
      <c r="HR52" s="76" t="str">
        <f aca="false">IF($I52&gt;0%,IF(AND(HR$16&gt;=$F52,HR$16&lt;$F52+($G52*$I52)),"➤",""),"")</f>
        <v/>
      </c>
      <c r="HS52" s="76" t="str">
        <f aca="false">IF($I52&gt;0%,IF(AND(HS$16&gt;=$F52,HS$16&lt;$F52+($G52*$I52)),"➤",""),"")</f>
        <v/>
      </c>
      <c r="HT52" s="76" t="str">
        <f aca="false">IF($I52&gt;0%,IF(AND(HT$16&gt;=$F52,HT$16&lt;$F52+($G52*$I52)),"➤",""),"")</f>
        <v/>
      </c>
      <c r="HU52" s="76" t="str">
        <f aca="false">IF($I52&gt;0%,IF(AND(HU$16&gt;=$F52,HU$16&lt;$F52+($G52*$I52)),"➤",""),"")</f>
        <v/>
      </c>
      <c r="HV52" s="76" t="str">
        <f aca="false">IF($I52&gt;0%,IF(AND(HV$16&gt;=$F52,HV$16&lt;$F52+($G52*$I52)),"➤",""),"")</f>
        <v/>
      </c>
      <c r="HW52" s="76" t="str">
        <f aca="false">IF($I52&gt;0%,IF(AND(HW$16&gt;=$F52,HW$16&lt;$F52+($G52*$I52)),"➤",""),"")</f>
        <v/>
      </c>
      <c r="HX52" s="76" t="str">
        <f aca="false">IF($I52&gt;0%,IF(AND(HX$16&gt;=$F52,HX$16&lt;$F52+($G52*$I52)),"➤",""),"")</f>
        <v/>
      </c>
      <c r="HY52" s="76" t="str">
        <f aca="false">IF($I52&gt;0%,IF(AND(HY$16&gt;=$F52,HY$16&lt;$F52+($G52*$I52)),"➤",""),"")</f>
        <v/>
      </c>
      <c r="HZ52" s="76" t="str">
        <f aca="false">IF($I52&gt;0%,IF(AND(HZ$16&gt;=$F52,HZ$16&lt;$F52+($G52*$I52)),"➤",""),"")</f>
        <v/>
      </c>
      <c r="IA52" s="76" t="str">
        <f aca="false">IF($I52&gt;0%,IF(AND(IA$16&gt;=$F52,IA$16&lt;$F52+($G52*$I52)),"➤",""),"")</f>
        <v/>
      </c>
      <c r="IB52" s="76" t="str">
        <f aca="false">IF($I52&gt;0%,IF(AND(IB$16&gt;=$F52,IB$16&lt;$F52+($G52*$I52)),"➤",""),"")</f>
        <v/>
      </c>
      <c r="IC52" s="76" t="str">
        <f aca="false">IF($I52&gt;0%,IF(AND(IC$16&gt;=$F52,IC$16&lt;$F52+($G52*$I52)),"➤",""),"")</f>
        <v/>
      </c>
      <c r="ID52" s="76" t="str">
        <f aca="false">IF($I52&gt;0%,IF(AND(ID$16&gt;=$F52,ID$16&lt;$F52+($G52*$I52)),"➤",""),"")</f>
        <v/>
      </c>
      <c r="IE52" s="76" t="str">
        <f aca="false">IF($I52&gt;0%,IF(AND(IE$16&gt;=$F52,IE$16&lt;$F52+($G52*$I52)),"➤",""),"")</f>
        <v/>
      </c>
      <c r="IF52" s="76" t="str">
        <f aca="false">IF($I52&gt;0%,IF(AND(IF$16&gt;=$F52,IF$16&lt;$F52+($G52*$I52)),"➤",""),"")</f>
        <v/>
      </c>
      <c r="IG52" s="76" t="str">
        <f aca="false">IF($I52&gt;0%,IF(AND(IG$16&gt;=$F52,IG$16&lt;$F52+($G52*$I52)),"➤",""),"")</f>
        <v/>
      </c>
      <c r="IH52" s="76" t="str">
        <f aca="false">IF($I52&gt;0%,IF(AND(IH$16&gt;=$F52,IH$16&lt;$F52+($G52*$I52)),"➤",""),"")</f>
        <v/>
      </c>
      <c r="II52" s="76" t="str">
        <f aca="false">IF($I52&gt;0%,IF(AND(II$16&gt;=$F52,II$16&lt;$F52+($G52*$I52)),"➤",""),"")</f>
        <v/>
      </c>
      <c r="IJ52" s="76" t="str">
        <f aca="false">IF($I52&gt;0%,IF(AND(IJ$16&gt;=$F52,IJ$16&lt;$F52+($G52*$I52)),"➤",""),"")</f>
        <v/>
      </c>
      <c r="IK52" s="76" t="str">
        <f aca="false">IF($I52&gt;0%,IF(AND(IK$16&gt;=$F52,IK$16&lt;$F52+($G52*$I52)),"➤",""),"")</f>
        <v/>
      </c>
      <c r="IL52" s="76" t="str">
        <f aca="false">IF($I52&gt;0%,IF(AND(IL$16&gt;=$F52,IL$16&lt;$F52+($G52*$I52)),"➤",""),"")</f>
        <v/>
      </c>
      <c r="IM52" s="76" t="str">
        <f aca="false">IF($I52&gt;0%,IF(AND(IM$16&gt;=$F52,IM$16&lt;$F52+($G52*$I52)),"➤",""),"")</f>
        <v/>
      </c>
      <c r="IN52" s="76" t="str">
        <f aca="false">IF($I52&gt;0%,IF(AND(IN$16&gt;=$F52,IN$16&lt;$F52+($G52*$I52)),"➤",""),"")</f>
        <v/>
      </c>
      <c r="IO52" s="76" t="str">
        <f aca="false">IF($I52&gt;0%,IF(AND(IO$16&gt;=$F52,IO$16&lt;$F52+($G52*$I52)),"➤",""),"")</f>
        <v/>
      </c>
      <c r="IP52" s="76" t="str">
        <f aca="false">IF($I52&gt;0%,IF(AND(IP$16&gt;=$F52,IP$16&lt;$F52+($G52*$I52)),"➤",""),"")</f>
        <v/>
      </c>
      <c r="IQ52" s="76" t="str">
        <f aca="false">IF($I52&gt;0%,IF(AND(IQ$16&gt;=$F52,IQ$16&lt;$F52+($G52*$I52)),"➤",""),"")</f>
        <v/>
      </c>
      <c r="IR52" s="76" t="str">
        <f aca="false">IF($I52&gt;0%,IF(AND(IR$16&gt;=$F52,IR$16&lt;$F52+($G52*$I52)),"➤",""),"")</f>
        <v/>
      </c>
      <c r="IS52" s="76" t="str">
        <f aca="false">IF($I52&gt;0%,IF(AND(IS$16&gt;=$F52,IS$16&lt;$F52+($G52*$I52)),"➤",""),"")</f>
        <v/>
      </c>
      <c r="IT52" s="76" t="str">
        <f aca="false">IF($I52&gt;0%,IF(AND(IT$16&gt;=$F52,IT$16&lt;$F52+($G52*$I52)),"➤",""),"")</f>
        <v/>
      </c>
      <c r="IU52" s="76" t="str">
        <f aca="false">IF($I52&gt;0%,IF(AND(IU$16&gt;=$F52,IU$16&lt;$F52+($G52*$I52)),"➤",""),"")</f>
        <v/>
      </c>
      <c r="IV52" s="76" t="str">
        <f aca="false">IF($I52&gt;0%,IF(AND(IV$16&gt;=$F52,IV$16&lt;$F52+($G52*$I52)),"➤",""),"")</f>
        <v/>
      </c>
      <c r="IW52" s="76" t="str">
        <f aca="false">IF($I52&gt;0%,IF(AND(IW$16&gt;=$F52,IW$16&lt;$F52+($G52*$I52)),"➤",""),"")</f>
        <v/>
      </c>
      <c r="IX52" s="76" t="str">
        <f aca="false">IF($I52&gt;0%,IF(AND(IX$16&gt;=$F52,IX$16&lt;$F52+($G52*$I52)),"➤",""),"")</f>
        <v/>
      </c>
      <c r="IY52" s="76" t="str">
        <f aca="false">IF($I52&gt;0%,IF(AND(IY$16&gt;=$F52,IY$16&lt;$F52+($G52*$I52)),"➤",""),"")</f>
        <v/>
      </c>
      <c r="IZ52" s="76" t="str">
        <f aca="false">IF($I52&gt;0%,IF(AND(IZ$16&gt;=$F52,IZ$16&lt;$F52+($G52*$I52)),"➤",""),"")</f>
        <v/>
      </c>
      <c r="JA52" s="76" t="str">
        <f aca="false">IF($I52&gt;0%,IF(AND(JA$16&gt;=$F52,JA$16&lt;$F52+($G52*$I52)),"➤",""),"")</f>
        <v/>
      </c>
      <c r="JB52" s="76" t="str">
        <f aca="false">IF($I52&gt;0%,IF(AND(JB$16&gt;=$F52,JB$16&lt;$F52+($G52*$I52)),"➤",""),"")</f>
        <v/>
      </c>
      <c r="JC52" s="76" t="str">
        <f aca="false">IF($I52&gt;0%,IF(AND(JC$16&gt;=$F52,JC$16&lt;$F52+($G52*$I52)),"➤",""),"")</f>
        <v/>
      </c>
      <c r="JD52" s="76" t="str">
        <f aca="false">IF($I52&gt;0%,IF(AND(JD$16&gt;=$F52,JD$16&lt;$F52+($G52*$I52)),"➤",""),"")</f>
        <v/>
      </c>
      <c r="JE52" s="76" t="str">
        <f aca="false">IF($I52&gt;0%,IF(AND(JE$16&gt;=$F52,JE$16&lt;$F52+($G52*$I52)),"➤",""),"")</f>
        <v/>
      </c>
      <c r="JF52" s="76" t="str">
        <f aca="false">IF($I52&gt;0%,IF(AND(JF$16&gt;=$F52,JF$16&lt;$F52+($G52*$I52)),"➤",""),"")</f>
        <v/>
      </c>
      <c r="JG52" s="76" t="str">
        <f aca="false">IF($I52&gt;0%,IF(AND(JG$16&gt;=$F52,JG$16&lt;$F52+($G52*$I52)),"➤",""),"")</f>
        <v/>
      </c>
      <c r="JH52" s="76" t="str">
        <f aca="false">IF($I52&gt;0%,IF(AND(JH$16&gt;=$F52,JH$16&lt;$F52+($G52*$I52)),"➤",""),"")</f>
        <v/>
      </c>
      <c r="JI52" s="76" t="str">
        <f aca="false">IF($I52&gt;0%,IF(AND(JI$16&gt;=$F52,JI$16&lt;$F52+($G52*$I52)),"➤",""),"")</f>
        <v/>
      </c>
      <c r="JJ52" s="76" t="str">
        <f aca="false">IF($I52&gt;0%,IF(AND(JJ$16&gt;=$F52,JJ$16&lt;$F52+($G52*$I52)),"➤",""),"")</f>
        <v/>
      </c>
      <c r="JK52" s="76" t="str">
        <f aca="false">IF($I52&gt;0%,IF(AND(JK$16&gt;=$F52,JK$16&lt;$F52+($G52*$I52)),"➤",""),"")</f>
        <v/>
      </c>
      <c r="JL52" s="76" t="str">
        <f aca="false">IF($I52&gt;0%,IF(AND(JL$16&gt;=$F52,JL$16&lt;$F52+($G52*$I52)),"➤",""),"")</f>
        <v/>
      </c>
      <c r="JM52" s="76" t="str">
        <f aca="false">IF($I52&gt;0%,IF(AND(JM$16&gt;=$F52,JM$16&lt;$F52+($G52*$I52)),"➤",""),"")</f>
        <v/>
      </c>
      <c r="JN52" s="76" t="str">
        <f aca="false">IF($I52&gt;0%,IF(AND(JN$16&gt;=$F52,JN$16&lt;$F52+($G52*$I52)),"➤",""),"")</f>
        <v/>
      </c>
      <c r="JO52" s="76" t="str">
        <f aca="false">IF($I52&gt;0%,IF(AND(JO$16&gt;=$F52,JO$16&lt;$F52+($G52*$I52)),"➤",""),"")</f>
        <v/>
      </c>
      <c r="JP52" s="76" t="str">
        <f aca="false">IF($I52&gt;0%,IF(AND(JP$16&gt;=$F52,JP$16&lt;$F52+($G52*$I52)),"➤",""),"")</f>
        <v/>
      </c>
      <c r="JQ52" s="76" t="str">
        <f aca="false">IF($I52&gt;0%,IF(AND(JQ$16&gt;=$F52,JQ$16&lt;$F52+($G52*$I52)),"➤",""),"")</f>
        <v/>
      </c>
      <c r="JR52" s="76" t="str">
        <f aca="false">IF($I52&gt;0%,IF(AND(JR$16&gt;=$F52,JR$16&lt;$F52+($G52*$I52)),"➤",""),"")</f>
        <v/>
      </c>
      <c r="JS52" s="76" t="str">
        <f aca="false">IF($I52&gt;0%,IF(AND(JS$16&gt;=$F52,JS$16&lt;$F52+($G52*$I52)),"➤",""),"")</f>
        <v/>
      </c>
      <c r="JT52" s="76" t="str">
        <f aca="false">IF($I52&gt;0%,IF(AND(JT$16&gt;=$F52,JT$16&lt;$F52+($G52*$I52)),"➤",""),"")</f>
        <v/>
      </c>
      <c r="JU52" s="76" t="str">
        <f aca="false">IF($I52&gt;0%,IF(AND(JU$16&gt;=$F52,JU$16&lt;$F52+($G52*$I52)),"➤",""),"")</f>
        <v/>
      </c>
      <c r="JV52" s="76" t="str">
        <f aca="false">IF($I52&gt;0%,IF(AND(JV$16&gt;=$F52,JV$16&lt;$F52+($G52*$I52)),"➤",""),"")</f>
        <v/>
      </c>
      <c r="JW52" s="76" t="str">
        <f aca="false">IF($I52&gt;0%,IF(AND(JW$16&gt;=$F52,JW$16&lt;$F52+($G52*$I52)),"➤",""),"")</f>
        <v/>
      </c>
      <c r="JX52" s="76" t="str">
        <f aca="false">IF($I52&gt;0%,IF(AND(JX$16&gt;=$F52,JX$16&lt;$F52+($G52*$I52)),"➤",""),"")</f>
        <v/>
      </c>
      <c r="JY52" s="76" t="str">
        <f aca="false">IF($I52&gt;0%,IF(AND(JY$16&gt;=$F52,JY$16&lt;$F52+($G52*$I52)),"➤",""),"")</f>
        <v/>
      </c>
      <c r="JZ52" s="76" t="str">
        <f aca="false">IF($I52&gt;0%,IF(AND(JZ$16&gt;=$F52,JZ$16&lt;$F52+($G52*$I52)),"➤",""),"")</f>
        <v/>
      </c>
      <c r="KA52" s="76" t="str">
        <f aca="false">IF($I52&gt;0%,IF(AND(KA$16&gt;=$F52,KA$16&lt;$F52+($G52*$I52)),"➤",""),"")</f>
        <v/>
      </c>
      <c r="KB52" s="76" t="str">
        <f aca="false">IF($I52&gt;0%,IF(AND(KB$16&gt;=$F52,KB$16&lt;$F52+($G52*$I52)),"➤",""),"")</f>
        <v/>
      </c>
      <c r="KC52" s="76" t="str">
        <f aca="false">IF($I52&gt;0%,IF(AND(KC$16&gt;=$F52,KC$16&lt;$F52+($G52*$I52)),"➤",""),"")</f>
        <v/>
      </c>
      <c r="KD52" s="76" t="str">
        <f aca="false">IF($I52&gt;0%,IF(AND(KD$16&gt;=$F52,KD$16&lt;$F52+($G52*$I52)),"➤",""),"")</f>
        <v/>
      </c>
      <c r="KE52" s="76" t="str">
        <f aca="false">IF($I52&gt;0%,IF(AND(KE$16&gt;=$F52,KE$16&lt;$F52+($G52*$I52)),"➤",""),"")</f>
        <v/>
      </c>
      <c r="KF52" s="76" t="str">
        <f aca="false">IF($I52&gt;0%,IF(AND(KF$16&gt;=$F52,KF$16&lt;$F52+($G52*$I52)),"➤",""),"")</f>
        <v/>
      </c>
      <c r="KG52" s="76" t="str">
        <f aca="false">IF($I52&gt;0%,IF(AND(KG$16&gt;=$F52,KG$16&lt;$F52+($G52*$I52)),"➤",""),"")</f>
        <v/>
      </c>
      <c r="KH52" s="76" t="str">
        <f aca="false">IF($I52&gt;0%,IF(AND(KH$16&gt;=$F52,KH$16&lt;$F52+($G52*$I52)),"➤",""),"")</f>
        <v/>
      </c>
      <c r="KI52" s="76" t="str">
        <f aca="false">IF($I52&gt;0%,IF(AND(KI$16&gt;=$F52,KI$16&lt;$F52+($G52*$I52)),"➤",""),"")</f>
        <v/>
      </c>
      <c r="KJ52" s="76" t="str">
        <f aca="false">IF($I52&gt;0%,IF(AND(KJ$16&gt;=$F52,KJ$16&lt;$F52+($G52*$I52)),"➤",""),"")</f>
        <v/>
      </c>
      <c r="KK52" s="76" t="str">
        <f aca="false">IF($I52&gt;0%,IF(AND(KK$16&gt;=$F52,KK$16&lt;$F52+($G52*$I52)),"➤",""),"")</f>
        <v/>
      </c>
      <c r="KL52" s="76" t="str">
        <f aca="false">IF($I52&gt;0%,IF(AND(KL$16&gt;=$F52,KL$16&lt;$F52+($G52*$I52)),"➤",""),"")</f>
        <v/>
      </c>
      <c r="KM52" s="76" t="str">
        <f aca="false">IF($I52&gt;0%,IF(AND(KM$16&gt;=$F52,KM$16&lt;$F52+($G52*$I52)),"➤",""),"")</f>
        <v/>
      </c>
      <c r="KN52" s="76" t="str">
        <f aca="false">IF($I52&gt;0%,IF(AND(KN$16&gt;=$F52,KN$16&lt;$F52+($G52*$I52)),"➤",""),"")</f>
        <v/>
      </c>
      <c r="KO52" s="76" t="str">
        <f aca="false">IF($I52&gt;0%,IF(AND(KO$16&gt;=$F52,KO$16&lt;$F52+($G52*$I52)),"➤",""),"")</f>
        <v/>
      </c>
      <c r="KP52" s="76" t="str">
        <f aca="false">IF($I52&gt;0%,IF(AND(KP$16&gt;=$F52,KP$16&lt;$F52+($G52*$I52)),"➤",""),"")</f>
        <v/>
      </c>
      <c r="KQ52" s="76" t="str">
        <f aca="false">IF($I52&gt;0%,IF(AND(KQ$16&gt;=$F52,KQ$16&lt;$F52+($G52*$I52)),"➤",""),"")</f>
        <v/>
      </c>
      <c r="KR52" s="76" t="str">
        <f aca="false">IF($I52&gt;0%,IF(AND(KR$16&gt;=$F52,KR$16&lt;$F52+($G52*$I52)),"➤",""),"")</f>
        <v/>
      </c>
      <c r="KS52" s="76" t="str">
        <f aca="false">IF($I52&gt;0%,IF(AND(KS$16&gt;=$F52,KS$16&lt;$F52+($G52*$I52)),"➤",""),"")</f>
        <v/>
      </c>
      <c r="KT52" s="76" t="str">
        <f aca="false">IF($I52&gt;0%,IF(AND(KT$16&gt;=$F52,KT$16&lt;$F52+($G52*$I52)),"➤",""),"")</f>
        <v/>
      </c>
      <c r="KU52" s="76" t="str">
        <f aca="false">IF($I52&gt;0%,IF(AND(KU$16&gt;=$F52,KU$16&lt;$F52+($G52*$I52)),"➤",""),"")</f>
        <v/>
      </c>
      <c r="KV52" s="76" t="str">
        <f aca="false">IF($I52&gt;0%,IF(AND(KV$16&gt;=$F52,KV$16&lt;$F52+($G52*$I52)),"➤",""),"")</f>
        <v/>
      </c>
      <c r="KW52" s="76" t="str">
        <f aca="false">IF($I52&gt;0%,IF(AND(KW$16&gt;=$F52,KW$16&lt;$F52+($G52*$I52)),"➤",""),"")</f>
        <v/>
      </c>
      <c r="KX52" s="76" t="str">
        <f aca="false">IF($I52&gt;0%,IF(AND(KX$16&gt;=$F52,KX$16&lt;$F52+($G52*$I52)),"➤",""),"")</f>
        <v/>
      </c>
      <c r="KY52" s="76" t="str">
        <f aca="false">IF($I52&gt;0%,IF(AND(KY$16&gt;=$F52,KY$16&lt;$F52+($G52*$I52)),"➤",""),"")</f>
        <v/>
      </c>
      <c r="KZ52" s="76" t="str">
        <f aca="false">IF($I52&gt;0%,IF(AND(KZ$16&gt;=$F52,KZ$16&lt;$F52+($G52*$I52)),"➤",""),"")</f>
        <v/>
      </c>
      <c r="LA52" s="76" t="str">
        <f aca="false">IF($I52&gt;0%,IF(AND(LA$16&gt;=$F52,LA$16&lt;$F52+($G52*$I52)),"➤",""),"")</f>
        <v/>
      </c>
      <c r="LB52" s="76" t="str">
        <f aca="false">IF($I52&gt;0%,IF(AND(LB$16&gt;=$F52,LB$16&lt;$F52+($G52*$I52)),"➤",""),"")</f>
        <v/>
      </c>
      <c r="LC52" s="76" t="str">
        <f aca="false">IF($I52&gt;0%,IF(AND(LC$16&gt;=$F52,LC$16&lt;$F52+($G52*$I52)),"➤",""),"")</f>
        <v/>
      </c>
      <c r="LD52" s="76" t="str">
        <f aca="false">IF($I52&gt;0%,IF(AND(LD$16&gt;=$F52,LD$16&lt;$F52+($G52*$I52)),"➤",""),"")</f>
        <v/>
      </c>
      <c r="LE52" s="76" t="str">
        <f aca="false">IF($I52&gt;0%,IF(AND(LE$16&gt;=$F52,LE$16&lt;$F52+($G52*$I52)),"➤",""),"")</f>
        <v/>
      </c>
      <c r="LF52" s="76" t="str">
        <f aca="false">IF($I52&gt;0%,IF(AND(LF$16&gt;=$F52,LF$16&lt;$F52+($G52*$I52)),"➤",""),"")</f>
        <v/>
      </c>
      <c r="LG52" s="76" t="str">
        <f aca="false">IF($I52&gt;0%,IF(AND(LG$16&gt;=$F52,LG$16&lt;$F52+($G52*$I52)),"➤",""),"")</f>
        <v/>
      </c>
      <c r="LH52" s="76" t="str">
        <f aca="false">IF($I52&gt;0%,IF(AND(LH$16&gt;=$F52,LH$16&lt;$F52+($G52*$I52)),"➤",""),"")</f>
        <v/>
      </c>
      <c r="LI52" s="76" t="str">
        <f aca="false">IF($I52&gt;0%,IF(AND(LI$16&gt;=$F52,LI$16&lt;$F52+($G52*$I52)),"➤",""),"")</f>
        <v/>
      </c>
      <c r="LJ52" s="76" t="str">
        <f aca="false">IF($I52&gt;0%,IF(AND(LJ$16&gt;=$F52,LJ$16&lt;$F52+($G52*$I52)),"➤",""),"")</f>
        <v/>
      </c>
      <c r="LK52" s="76" t="str">
        <f aca="false">IF($I52&gt;0%,IF(AND(LK$16&gt;=$F52,LK$16&lt;$F52+($G52*$I52)),"➤",""),"")</f>
        <v/>
      </c>
      <c r="LL52" s="76" t="str">
        <f aca="false">IF($I52&gt;0%,IF(AND(LL$16&gt;=$F52,LL$16&lt;$F52+($G52*$I52)),"➤",""),"")</f>
        <v/>
      </c>
      <c r="LM52" s="76" t="str">
        <f aca="false">IF($I52&gt;0%,IF(AND(LM$16&gt;=$F52,LM$16&lt;$F52+($G52*$I52)),"➤",""),"")</f>
        <v/>
      </c>
      <c r="LN52" s="76" t="str">
        <f aca="false">IF($I52&gt;0%,IF(AND(LN$16&gt;=$F52,LN$16&lt;$F52+($G52*$I52)),"➤",""),"")</f>
        <v/>
      </c>
      <c r="LO52" s="76" t="str">
        <f aca="false">IF($I52&gt;0%,IF(AND(LO$16&gt;=$F52,LO$16&lt;$F52+($G52*$I52)),"➤",""),"")</f>
        <v/>
      </c>
      <c r="LP52" s="76" t="str">
        <f aca="false">IF($I52&gt;0%,IF(AND(LP$16&gt;=$F52,LP$16&lt;$F52+($G52*$I52)),"➤",""),"")</f>
        <v/>
      </c>
      <c r="LQ52" s="76" t="str">
        <f aca="false">IF($I52&gt;0%,IF(AND(LQ$16&gt;=$F52,LQ$16&lt;$F52+($G52*$I52)),"➤",""),"")</f>
        <v/>
      </c>
      <c r="LR52" s="76" t="str">
        <f aca="false">IF($I52&gt;0%,IF(AND(LR$16&gt;=$F52,LR$16&lt;$F52+($G52*$I52)),"➤",""),"")</f>
        <v/>
      </c>
      <c r="LS52" s="76" t="str">
        <f aca="false">IF($I52&gt;0%,IF(AND(LS$16&gt;=$F52,LS$16&lt;$F52+($G52*$I52)),"➤",""),"")</f>
        <v/>
      </c>
      <c r="LT52" s="76" t="str">
        <f aca="false">IF($I52&gt;0%,IF(AND(LT$16&gt;=$F52,LT$16&lt;$F52+($G52*$I52)),"➤",""),"")</f>
        <v/>
      </c>
      <c r="LU52" s="76" t="str">
        <f aca="false">IF($I52&gt;0%,IF(AND(LU$16&gt;=$F52,LU$16&lt;$F52+($G52*$I52)),"➤",""),"")</f>
        <v/>
      </c>
      <c r="LV52" s="76" t="str">
        <f aca="false">IF($I52&gt;0%,IF(AND(LV$16&gt;=$F52,LV$16&lt;$F52+($G52*$I52)),"➤",""),"")</f>
        <v/>
      </c>
      <c r="LW52" s="76" t="str">
        <f aca="false">IF($I52&gt;0%,IF(AND(LW$16&gt;=$F52,LW$16&lt;$F52+($G52*$I52)),"➤",""),"")</f>
        <v/>
      </c>
      <c r="LX52" s="76" t="str">
        <f aca="false">IF($I52&gt;0%,IF(AND(LX$16&gt;=$F52,LX$16&lt;$F52+($G52*$I52)),"➤",""),"")</f>
        <v/>
      </c>
      <c r="LY52" s="76" t="str">
        <f aca="false">IF($I52&gt;0%,IF(AND(LY$16&gt;=$F52,LY$16&lt;$F52+($G52*$I52)),"➤",""),"")</f>
        <v/>
      </c>
      <c r="LZ52" s="76" t="str">
        <f aca="false">IF($I52&gt;0%,IF(AND(LZ$16&gt;=$F52,LZ$16&lt;$F52+($G52*$I52)),"➤",""),"")</f>
        <v/>
      </c>
      <c r="MA52" s="76" t="str">
        <f aca="false">IF($I52&gt;0%,IF(AND(MA$16&gt;=$F52,MA$16&lt;$F52+($G52*$I52)),"➤",""),"")</f>
        <v/>
      </c>
      <c r="MB52" s="76" t="str">
        <f aca="false">IF($I52&gt;0%,IF(AND(MB$16&gt;=$F52,MB$16&lt;$F52+($G52*$I52)),"➤",""),"")</f>
        <v/>
      </c>
      <c r="MC52" s="76" t="str">
        <f aca="false">IF($I52&gt;0%,IF(AND(MC$16&gt;=$F52,MC$16&lt;$F52+($G52*$I52)),"➤",""),"")</f>
        <v/>
      </c>
      <c r="MD52" s="76" t="str">
        <f aca="false">IF($I52&gt;0%,IF(AND(MD$16&gt;=$F52,MD$16&lt;$F52+($G52*$I52)),"➤",""),"")</f>
        <v/>
      </c>
      <c r="ME52" s="76" t="str">
        <f aca="false">IF($I52&gt;0%,IF(AND(ME$16&gt;=$F52,ME$16&lt;$F52+($G52*$I52)),"➤",""),"")</f>
        <v/>
      </c>
      <c r="MF52" s="76" t="str">
        <f aca="false">IF($I52&gt;0%,IF(AND(MF$16&gt;=$F52,MF$16&lt;$F52+($G52*$I52)),"➤",""),"")</f>
        <v/>
      </c>
      <c r="MG52" s="76" t="str">
        <f aca="false">IF($I52&gt;0%,IF(AND(MG$16&gt;=$F52,MG$16&lt;$F52+($G52*$I52)),"➤",""),"")</f>
        <v/>
      </c>
      <c r="MH52" s="76" t="str">
        <f aca="false">IF($I52&gt;0%,IF(AND(MH$16&gt;=$F52,MH$16&lt;$F52+($G52*$I52)),"➤",""),"")</f>
        <v/>
      </c>
      <c r="MI52" s="76" t="str">
        <f aca="false">IF($I52&gt;0%,IF(AND(MI$16&gt;=$F52,MI$16&lt;$F52+($G52*$I52)),"➤",""),"")</f>
        <v/>
      </c>
      <c r="MJ52" s="76" t="str">
        <f aca="false">IF($I52&gt;0%,IF(AND(MJ$16&gt;=$F52,MJ$16&lt;$F52+($G52*$I52)),"➤",""),"")</f>
        <v/>
      </c>
      <c r="MK52" s="76" t="str">
        <f aca="false">IF($I52&gt;0%,IF(AND(MK$16&gt;=$F52,MK$16&lt;$F52+($G52*$I52)),"➤",""),"")</f>
        <v/>
      </c>
      <c r="ML52" s="76" t="str">
        <f aca="false">IF($I52&gt;0%,IF(AND(ML$16&gt;=$F52,ML$16&lt;$F52+($G52*$I52)),"➤",""),"")</f>
        <v/>
      </c>
      <c r="MM52" s="76" t="str">
        <f aca="false">IF($I52&gt;0%,IF(AND(MM$16&gt;=$F52,MM$16&lt;$F52+($G52*$I52)),"➤",""),"")</f>
        <v/>
      </c>
      <c r="MN52" s="76" t="str">
        <f aca="false">IF($I52&gt;0%,IF(AND(MN$16&gt;=$F52,MN$16&lt;$F52+($G52*$I52)),"➤",""),"")</f>
        <v/>
      </c>
      <c r="MO52" s="76" t="str">
        <f aca="false">IF($I52&gt;0%,IF(AND(MO$16&gt;=$F52,MO$16&lt;$F52+($G52*$I52)),"➤",""),"")</f>
        <v/>
      </c>
      <c r="MP52" s="76" t="str">
        <f aca="false">IF($I52&gt;0%,IF(AND(MP$16&gt;=$F52,MP$16&lt;$F52+($G52*$I52)),"➤",""),"")</f>
        <v/>
      </c>
      <c r="MQ52" s="76" t="str">
        <f aca="false">IF($I52&gt;0%,IF(AND(MQ$16&gt;=$F52,MQ$16&lt;$F52+($G52*$I52)),"➤",""),"")</f>
        <v/>
      </c>
      <c r="MR52" s="76" t="str">
        <f aca="false">IF($I52&gt;0%,IF(AND(MR$16&gt;=$F52,MR$16&lt;$F52+($G52*$I52)),"➤",""),"")</f>
        <v/>
      </c>
      <c r="MS52" s="76" t="str">
        <f aca="false">IF($I52&gt;0%,IF(AND(MS$16&gt;=$F52,MS$16&lt;$F52+($G52*$I52)),"➤",""),"")</f>
        <v/>
      </c>
      <c r="MT52" s="76" t="str">
        <f aca="false">IF($I52&gt;0%,IF(AND(MT$16&gt;=$F52,MT$16&lt;$F52+($G52*$I52)),"➤",""),"")</f>
        <v/>
      </c>
      <c r="MU52" s="76" t="str">
        <f aca="false">IF($I52&gt;0%,IF(AND(MU$16&gt;=$F52,MU$16&lt;$F52+($G52*$I52)),"➤",""),"")</f>
        <v/>
      </c>
      <c r="MV52" s="76" t="str">
        <f aca="false">IF($I52&gt;0%,IF(AND(MV$16&gt;=$F52,MV$16&lt;$F52+($G52*$I52)),"➤",""),"")</f>
        <v/>
      </c>
      <c r="MW52" s="76" t="str">
        <f aca="false">IF($I52&gt;0%,IF(AND(MW$16&gt;=$F52,MW$16&lt;$F52+($G52*$I52)),"➤",""),"")</f>
        <v/>
      </c>
      <c r="MX52" s="76" t="str">
        <f aca="false">IF($I52&gt;0%,IF(AND(MX$16&gt;=$F52,MX$16&lt;$F52+($G52*$I52)),"➤",""),"")</f>
        <v/>
      </c>
      <c r="MY52" s="76" t="str">
        <f aca="false">IF($I52&gt;0%,IF(AND(MY$16&gt;=$F52,MY$16&lt;$F52+($G52*$I52)),"➤",""),"")</f>
        <v/>
      </c>
      <c r="MZ52" s="76" t="str">
        <f aca="false">IF($I52&gt;0%,IF(AND(MZ$16&gt;=$F52,MZ$16&lt;$F52+($G52*$I52)),"➤",""),"")</f>
        <v/>
      </c>
      <c r="NA52" s="76" t="str">
        <f aca="false">IF($I52&gt;0%,IF(AND(NA$16&gt;=$F52,NA$16&lt;$F52+($G52*$I52)),"➤",""),"")</f>
        <v/>
      </c>
      <c r="NB52" s="76" t="str">
        <f aca="false">IF($I52&gt;0%,IF(AND(NB$16&gt;=$F52,NB$16&lt;$F52+($G52*$I52)),"➤",""),"")</f>
        <v/>
      </c>
      <c r="NC52" s="76" t="str">
        <f aca="false">IF($I52&gt;0%,IF(AND(NC$16&gt;=$F52,NC$16&lt;$F52+($G52*$I52)),"➤",""),"")</f>
        <v/>
      </c>
      <c r="ND52" s="76" t="str">
        <f aca="false">IF($I52&gt;0%,IF(AND(ND$16&gt;=$F52,ND$16&lt;$F52+($G52*$I52)),"➤",""),"")</f>
        <v/>
      </c>
      <c r="NE52" s="76" t="str">
        <f aca="false">IF($I52&gt;0%,IF(AND(NE$16&gt;=$F52,NE$16&lt;$F52+($G52*$I52)),"➤",""),"")</f>
        <v/>
      </c>
      <c r="NF52" s="76" t="str">
        <f aca="false">IF($I52&gt;0%,IF(AND(NF$16&gt;=$F52,NF$16&lt;$F52+($G52*$I52)),"➤",""),"")</f>
        <v/>
      </c>
      <c r="NG52" s="76" t="str">
        <f aca="false">IF($I52&gt;0%,IF(AND(NG$16&gt;=$F52,NG$16&lt;$F52+($G52*$I52)),"➤",""),"")</f>
        <v/>
      </c>
      <c r="NH52" s="76" t="str">
        <f aca="false">IF($I52&gt;0%,IF(AND(NH$16&gt;=$F52,NH$16&lt;$F52+($G52*$I52)),"➤",""),"")</f>
        <v/>
      </c>
      <c r="NI52" s="76" t="str">
        <f aca="false">IF($I52&gt;0%,IF(AND(NI$16&gt;=$F52,NI$16&lt;$F52+($G52*$I52)),"➤",""),"")</f>
        <v/>
      </c>
      <c r="NJ52" s="76" t="str">
        <f aca="false">IF($I52&gt;0%,IF(AND(NJ$16&gt;=$F52,NJ$16&lt;$F52+($G52*$I52)),"➤",""),"")</f>
        <v/>
      </c>
      <c r="NK52" s="76" t="str">
        <f aca="false">IF($I52&gt;0%,IF(AND(NK$16&gt;=$F52,NK$16&lt;$F52+($G52*$I52)),"➤",""),"")</f>
        <v/>
      </c>
      <c r="NL52" s="76" t="str">
        <f aca="false">IF($I52&gt;0%,IF(AND(NL$16&gt;=$F52,NL$16&lt;$F52+($G52*$I52)),"➤",""),"")</f>
        <v/>
      </c>
      <c r="NM52" s="76" t="str">
        <f aca="false">IF($I52&gt;0%,IF(AND(NM$16&gt;=$F52,NM$16&lt;$F52+($G52*$I52)),"➤",""),"")</f>
        <v/>
      </c>
      <c r="NN52" s="76" t="str">
        <f aca="false">IF($I52&gt;0%,IF(AND(NN$16&gt;=$F52,NN$16&lt;$F52+($G52*$I52)),"➤",""),"")</f>
        <v/>
      </c>
      <c r="NO52" s="76" t="str">
        <f aca="false">IF($I52&gt;0%,IF(AND(NO$16&gt;=$F52,NO$16&lt;$F52+($G52*$I52)),"➤",""),"")</f>
        <v/>
      </c>
      <c r="NP52" s="76" t="str">
        <f aca="false">IF($I52&gt;0%,IF(AND(NP$16&gt;=$F52,NP$16&lt;$F52+($G52*$I52)),"➤",""),"")</f>
        <v/>
      </c>
      <c r="NQ52" s="76" t="str">
        <f aca="false">IF($I52&gt;0%,IF(AND(NQ$16&gt;=$F52,NQ$16&lt;$F52+($G52*$I52)),"➤",""),"")</f>
        <v/>
      </c>
      <c r="NR52" s="76" t="str">
        <f aca="false">IF($I52&gt;0%,IF(AND(NR$16&gt;=$F52,NR$16&lt;$F52+($G52*$I52)),"➤",""),"")</f>
        <v/>
      </c>
      <c r="NS52" s="76" t="str">
        <f aca="false">IF($I52&gt;0%,IF(AND(NS$16&gt;=$F52,NS$16&lt;$F52+($G52*$I52)),"➤",""),"")</f>
        <v/>
      </c>
      <c r="NT52" s="76" t="str">
        <f aca="false">IF($I52&gt;0%,IF(AND(NT$16&gt;=$F52,NT$16&lt;$F52+($G52*$I52)),"➤",""),"")</f>
        <v/>
      </c>
      <c r="NU52" s="76" t="str">
        <f aca="false">IF($I52&gt;0%,IF(AND(NU$16&gt;=$F52,NU$16&lt;$F52+($G52*$I52)),"➤",""),"")</f>
        <v/>
      </c>
      <c r="NV52" s="76" t="str">
        <f aca="false">IF($I52&gt;0%,IF(AND(NV$16&gt;=$F52,NV$16&lt;$F52+($G52*$I52)),"➤",""),"")</f>
        <v/>
      </c>
      <c r="NW52" s="76" t="str">
        <f aca="false">IF($I52&gt;0%,IF(AND(NW$16&gt;=$F52,NW$16&lt;$F52+($G52*$I52)),"➤",""),"")</f>
        <v/>
      </c>
      <c r="NX52" s="76" t="str">
        <f aca="false">IF($I52&gt;0%,IF(AND(NX$16&gt;=$F52,NX$16&lt;$F52+($G52*$I52)),"➤",""),"")</f>
        <v/>
      </c>
      <c r="NY52" s="76" t="str">
        <f aca="false">IF($I52&gt;0%,IF(AND(NY$16&gt;=$F52,NY$16&lt;$F52+($G52*$I52)),"➤",""),"")</f>
        <v/>
      </c>
      <c r="NZ52" s="76" t="str">
        <f aca="false">IF($I52&gt;0%,IF(AND(NZ$16&gt;=$F52,NZ$16&lt;$F52+($G52*$I52)),"➤",""),"")</f>
        <v/>
      </c>
      <c r="OA52" s="76" t="str">
        <f aca="false">IF($I52&gt;0%,IF(AND(OA$16&gt;=$F52,OA$16&lt;$F52+($G52*$I52)),"➤",""),"")</f>
        <v/>
      </c>
      <c r="OB52" s="76" t="str">
        <f aca="false">IF($I52&gt;0%,IF(AND(OB$16&gt;=$F52,OB$16&lt;$F52+($G52*$I52)),"➤",""),"")</f>
        <v/>
      </c>
      <c r="OC52" s="76" t="str">
        <f aca="false">IF($I52&gt;0%,IF(AND(OC$16&gt;=$F52,OC$16&lt;$F52+($G52*$I52)),"➤",""),"")</f>
        <v/>
      </c>
      <c r="OD52" s="76" t="str">
        <f aca="false">IF($I52&gt;0%,IF(AND(OD$16&gt;=$F52,OD$16&lt;$F52+($G52*$I52)),"➤",""),"")</f>
        <v/>
      </c>
      <c r="OE52" s="76" t="str">
        <f aca="false">IF($I52&gt;0%,IF(AND(OE$16&gt;=$F52,OE$16&lt;$F52+($G52*$I52)),"➤",""),"")</f>
        <v/>
      </c>
      <c r="OF52" s="76" t="str">
        <f aca="false">IF($I52&gt;0%,IF(AND(OF$16&gt;=$F52,OF$16&lt;$F52+($G52*$I52)),"➤",""),"")</f>
        <v/>
      </c>
      <c r="OG52" s="76" t="str">
        <f aca="false">IF($I52&gt;0%,IF(AND(OG$16&gt;=$F52,OG$16&lt;$F52+($G52*$I52)),"➤",""),"")</f>
        <v/>
      </c>
      <c r="OH52" s="76" t="str">
        <f aca="false">IF($I52&gt;0%,IF(AND(OH$16&gt;=$F52,OH$16&lt;$F52+($G52*$I52)),"➤",""),"")</f>
        <v/>
      </c>
      <c r="OI52" s="76" t="str">
        <f aca="false">IF($I52&gt;0%,IF(AND(OI$16&gt;=$F52,OI$16&lt;$F52+($G52*$I52)),"➤",""),"")</f>
        <v/>
      </c>
      <c r="OJ52" s="76" t="str">
        <f aca="false">IF($I52&gt;0%,IF(AND(OJ$16&gt;=$F52,OJ$16&lt;$F52+($G52*$I52)),"➤",""),"")</f>
        <v/>
      </c>
      <c r="OK52" s="76" t="str">
        <f aca="false">IF($I52&gt;0%,IF(AND(OK$16&gt;=$F52,OK$16&lt;$F52+($G52*$I52)),"➤",""),"")</f>
        <v/>
      </c>
      <c r="OL52" s="76" t="str">
        <f aca="false">IF($I52&gt;0%,IF(AND(OL$16&gt;=$F52,OL$16&lt;$F52+($G52*$I52)),"➤",""),"")</f>
        <v/>
      </c>
      <c r="OM52" s="76" t="str">
        <f aca="false">IF($I52&gt;0%,IF(AND(OM$16&gt;=$F52,OM$16&lt;$F52+($G52*$I52)),"➤",""),"")</f>
        <v/>
      </c>
      <c r="ON52" s="76" t="str">
        <f aca="false">IF($I52&gt;0%,IF(AND(ON$16&gt;=$F52,ON$16&lt;$F52+($G52*$I52)),"➤",""),"")</f>
        <v/>
      </c>
      <c r="OO52" s="76" t="str">
        <f aca="false">IF($I52&gt;0%,IF(AND(OO$16&gt;=$F52,OO$16&lt;$F52+($G52*$I52)),"➤",""),"")</f>
        <v/>
      </c>
      <c r="OP52" s="76" t="str">
        <f aca="false">IF($I52&gt;0%,IF(AND(OP$16&gt;=$F52,OP$16&lt;$F52+($G52*$I52)),"➤",""),"")</f>
        <v/>
      </c>
      <c r="OQ52" s="76" t="str">
        <f aca="false">IF($I52&gt;0%,IF(AND(OQ$16&gt;=$F52,OQ$16&lt;$F52+($G52*$I52)),"➤",""),"")</f>
        <v/>
      </c>
      <c r="OR52" s="76" t="str">
        <f aca="false">IF($I52&gt;0%,IF(AND(OR$16&gt;=$F52,OR$16&lt;$F52+($G52*$I52)),"➤",""),"")</f>
        <v/>
      </c>
      <c r="OS52" s="76" t="str">
        <f aca="false">IF($I52&gt;0%,IF(AND(OS$16&gt;=$F52,OS$16&lt;$F52+($G52*$I52)),"➤",""),"")</f>
        <v/>
      </c>
      <c r="OT52" s="76" t="str">
        <f aca="false">IF($I52&gt;0%,IF(AND(OT$16&gt;=$F52,OT$16&lt;$F52+($G52*$I52)),"➤",""),"")</f>
        <v/>
      </c>
      <c r="OU52" s="76" t="str">
        <f aca="false">IF($I52&gt;0%,IF(AND(OU$16&gt;=$F52,OU$16&lt;$F52+($G52*$I52)),"➤",""),"")</f>
        <v/>
      </c>
      <c r="OV52" s="76" t="str">
        <f aca="false">IF($I52&gt;0%,IF(AND(OV$16&gt;=$F52,OV$16&lt;$F52+($G52*$I52)),"➤",""),"")</f>
        <v/>
      </c>
      <c r="OW52" s="76" t="str">
        <f aca="false">IF($I52&gt;0%,IF(AND(OW$16&gt;=$F52,OW$16&lt;$F52+($G52*$I52)),"➤",""),"")</f>
        <v/>
      </c>
      <c r="OX52" s="76" t="str">
        <f aca="false">IF($I52&gt;0%,IF(AND(OX$16&gt;=$F52,OX$16&lt;$F52+($G52*$I52)),"➤",""),"")</f>
        <v/>
      </c>
      <c r="OY52" s="76" t="str">
        <f aca="false">IF($I52&gt;0%,IF(AND(OY$16&gt;=$F52,OY$16&lt;$F52+($G52*$I52)),"➤",""),"")</f>
        <v/>
      </c>
      <c r="OZ52" s="76" t="str">
        <f aca="false">IF($I52&gt;0%,IF(AND(OZ$16&gt;=$F52,OZ$16&lt;$F52+($G52*$I52)),"➤",""),"")</f>
        <v/>
      </c>
      <c r="PA52" s="76" t="str">
        <f aca="false">IF($I52&gt;0%,IF(AND(PA$16&gt;=$F52,PA$16&lt;$F52+($G52*$I52)),"➤",""),"")</f>
        <v/>
      </c>
      <c r="PB52" s="76" t="str">
        <f aca="false">IF($I52&gt;0%,IF(AND(PB$16&gt;=$F52,PB$16&lt;$F52+($G52*$I52)),"➤",""),"")</f>
        <v/>
      </c>
      <c r="PC52" s="76" t="str">
        <f aca="false">IF($I52&gt;0%,IF(AND(PC$16&gt;=$F52,PC$16&lt;$F52+($G52*$I52)),"➤",""),"")</f>
        <v/>
      </c>
      <c r="PD52" s="76" t="str">
        <f aca="false">IF($I52&gt;0%,IF(AND(PD$16&gt;=$F52,PD$16&lt;$F52+($G52*$I52)),"➤",""),"")</f>
        <v/>
      </c>
      <c r="PE52" s="76" t="str">
        <f aca="false">IF($I52&gt;0%,IF(AND(PE$16&gt;=$F52,PE$16&lt;$F52+($G52*$I52)),"➤",""),"")</f>
        <v/>
      </c>
      <c r="PF52" s="76" t="str">
        <f aca="false">IF($I52&gt;0%,IF(AND(PF$16&gt;=$F52,PF$16&lt;$F52+($G52*$I52)),"➤",""),"")</f>
        <v/>
      </c>
      <c r="PG52" s="76" t="str">
        <f aca="false">IF($I52&gt;0%,IF(AND(PG$16&gt;=$F52,PG$16&lt;$F52+($G52*$I52)),"➤",""),"")</f>
        <v/>
      </c>
      <c r="PH52" s="76" t="str">
        <f aca="false">IF($I52&gt;0%,IF(AND(PH$16&gt;=$F52,PH$16&lt;$F52+($G52*$I52)),"➤",""),"")</f>
        <v/>
      </c>
      <c r="PI52" s="76" t="str">
        <f aca="false">IF($I52&gt;0%,IF(AND(PI$16&gt;=$F52,PI$16&lt;$F52+($G52*$I52)),"➤",""),"")</f>
        <v/>
      </c>
      <c r="PJ52" s="76" t="str">
        <f aca="false">IF($I52&gt;0%,IF(AND(PJ$16&gt;=$F52,PJ$16&lt;$F52+($G52*$I52)),"➤",""),"")</f>
        <v/>
      </c>
      <c r="PK52" s="76" t="str">
        <f aca="false">IF($I52&gt;0%,IF(AND(PK$16&gt;=$F52,PK$16&lt;$F52+($G52*$I52)),"➤",""),"")</f>
        <v/>
      </c>
      <c r="PL52" s="76" t="str">
        <f aca="false">IF($I52&gt;0%,IF(AND(PL$16&gt;=$F52,PL$16&lt;$F52+($G52*$I52)),"➤",""),"")</f>
        <v/>
      </c>
      <c r="PM52" s="76" t="str">
        <f aca="false">IF($I52&gt;0%,IF(AND(PM$16&gt;=$F52,PM$16&lt;$F52+($G52*$I52)),"➤",""),"")</f>
        <v/>
      </c>
      <c r="PN52" s="76" t="str">
        <f aca="false">IF($I52&gt;0%,IF(AND(PN$16&gt;=$F52,PN$16&lt;$F52+($G52*$I52)),"➤",""),"")</f>
        <v/>
      </c>
      <c r="PO52" s="76" t="str">
        <f aca="false">IF($I52&gt;0%,IF(AND(PO$16&gt;=$F52,PO$16&lt;$F52+($G52*$I52)),"➤",""),"")</f>
        <v/>
      </c>
      <c r="PP52" s="76" t="str">
        <f aca="false">IF($I52&gt;0%,IF(AND(PP$16&gt;=$F52,PP$16&lt;$F52+($G52*$I52)),"➤",""),"")</f>
        <v/>
      </c>
      <c r="PQ52" s="76" t="str">
        <f aca="false">IF($I52&gt;0%,IF(AND(PQ$16&gt;=$F52,PQ$16&lt;$F52+($G52*$I52)),"➤",""),"")</f>
        <v/>
      </c>
      <c r="PR52" s="76" t="str">
        <f aca="false">IF($I52&gt;0%,IF(AND(PR$16&gt;=$F52,PR$16&lt;$F52+($G52*$I52)),"➤",""),"")</f>
        <v/>
      </c>
      <c r="PS52" s="76" t="str">
        <f aca="false">IF($I52&gt;0%,IF(AND(PS$16&gt;=$F52,PS$16&lt;$F52+($G52*$I52)),"➤",""),"")</f>
        <v/>
      </c>
      <c r="PT52" s="76" t="str">
        <f aca="false">IF($I52&gt;0%,IF(AND(PT$16&gt;=$F52,PT$16&lt;$F52+($G52*$I52)),"➤",""),"")</f>
        <v/>
      </c>
      <c r="PU52" s="76" t="str">
        <f aca="false">IF($I52&gt;0%,IF(AND(PU$16&gt;=$F52,PU$16&lt;$F52+($G52*$I52)),"➤",""),"")</f>
        <v/>
      </c>
      <c r="PV52" s="76" t="str">
        <f aca="false">IF($I52&gt;0%,IF(AND(PV$16&gt;=$F52,PV$16&lt;$F52+($G52*$I52)),"➤",""),"")</f>
        <v/>
      </c>
      <c r="PW52" s="76" t="str">
        <f aca="false">IF($I52&gt;0%,IF(AND(PW$16&gt;=$F52,PW$16&lt;$F52+($G52*$I52)),"➤",""),"")</f>
        <v/>
      </c>
      <c r="PX52" s="76" t="str">
        <f aca="false">IF($I52&gt;0%,IF(AND(PX$16&gt;=$F52,PX$16&lt;$F52+($G52*$I52)),"➤",""),"")</f>
        <v/>
      </c>
      <c r="PY52" s="76" t="str">
        <f aca="false">IF($I52&gt;0%,IF(AND(PY$16&gt;=$F52,PY$16&lt;$F52+($G52*$I52)),"➤",""),"")</f>
        <v/>
      </c>
      <c r="PZ52" s="76" t="str">
        <f aca="false">IF($I52&gt;0%,IF(AND(PZ$16&gt;=$F52,PZ$16&lt;$F52+($G52*$I52)),"➤",""),"")</f>
        <v/>
      </c>
      <c r="QA52" s="76" t="str">
        <f aca="false">IF($I52&gt;0%,IF(AND(QA$16&gt;=$F52,QA$16&lt;$F52+($G52*$I52)),"➤",""),"")</f>
        <v/>
      </c>
      <c r="QB52" s="76" t="str">
        <f aca="false">IF($I52&gt;0%,IF(AND(QB$16&gt;=$F52,QB$16&lt;$F52+($G52*$I52)),"➤",""),"")</f>
        <v/>
      </c>
      <c r="QC52" s="76" t="str">
        <f aca="false">IF($I52&gt;0%,IF(AND(QC$16&gt;=$F52,QC$16&lt;$F52+($G52*$I52)),"➤",""),"")</f>
        <v/>
      </c>
      <c r="QD52" s="76" t="str">
        <f aca="false">IF($I52&gt;0%,IF(AND(QD$16&gt;=$F52,QD$16&lt;$F52+($G52*$I52)),"➤",""),"")</f>
        <v/>
      </c>
      <c r="QE52" s="76" t="str">
        <f aca="false">IF($I52&gt;0%,IF(AND(QE$16&gt;=$F52,QE$16&lt;$F52+($G52*$I52)),"➤",""),"")</f>
        <v/>
      </c>
      <c r="QF52" s="76" t="str">
        <f aca="false">IF($I52&gt;0%,IF(AND(QF$16&gt;=$F52,QF$16&lt;$F52+($G52*$I52)),"➤",""),"")</f>
        <v/>
      </c>
      <c r="QG52" s="76" t="str">
        <f aca="false">IF($I52&gt;0%,IF(AND(QG$16&gt;=$F52,QG$16&lt;$F52+($G52*$I52)),"➤",""),"")</f>
        <v/>
      </c>
      <c r="QH52" s="76" t="str">
        <f aca="false">IF($I52&gt;0%,IF(AND(QH$16&gt;=$F52,QH$16&lt;$F52+($G52*$I52)),"➤",""),"")</f>
        <v/>
      </c>
      <c r="QI52" s="76" t="str">
        <f aca="false">IF($I52&gt;0%,IF(AND(QI$16&gt;=$F52,QI$16&lt;$F52+($G52*$I52)),"➤",""),"")</f>
        <v/>
      </c>
      <c r="QJ52" s="76" t="str">
        <f aca="false">IF($I52&gt;0%,IF(AND(QJ$16&gt;=$F52,QJ$16&lt;$F52+($G52*$I52)),"➤",""),"")</f>
        <v/>
      </c>
      <c r="QK52" s="76" t="str">
        <f aca="false">IF($I52&gt;0%,IF(AND(QK$16&gt;=$F52,QK$16&lt;$F52+($G52*$I52)),"➤",""),"")</f>
        <v/>
      </c>
      <c r="QL52" s="76" t="str">
        <f aca="false">IF($I52&gt;0%,IF(AND(QL$16&gt;=$F52,QL$16&lt;$F52+($G52*$I52)),"➤",""),"")</f>
        <v/>
      </c>
      <c r="QM52" s="76" t="str">
        <f aca="false">IF($I52&gt;0%,IF(AND(QM$16&gt;=$F52,QM$16&lt;$F52+($G52*$I52)),"➤",""),"")</f>
        <v/>
      </c>
      <c r="QN52" s="76" t="str">
        <f aca="false">IF($I52&gt;0%,IF(AND(QN$16&gt;=$F52,QN$16&lt;$F52+($G52*$I52)),"➤",""),"")</f>
        <v/>
      </c>
      <c r="QO52" s="76" t="str">
        <f aca="false">IF($I52&gt;0%,IF(AND(QO$16&gt;=$F52,QO$16&lt;$F52+($G52*$I52)),"➤",""),"")</f>
        <v/>
      </c>
      <c r="QP52" s="76" t="str">
        <f aca="false">IF($I52&gt;0%,IF(AND(QP$16&gt;=$F52,QP$16&lt;$F52+($G52*$I52)),"➤",""),"")</f>
        <v/>
      </c>
      <c r="QQ52" s="76" t="str">
        <f aca="false">IF($I52&gt;0%,IF(AND(QQ$16&gt;=$F52,QQ$16&lt;$F52+($G52*$I52)),"➤",""),"")</f>
        <v/>
      </c>
      <c r="QR52" s="76" t="str">
        <f aca="false">IF($I52&gt;0%,IF(AND(QR$16&gt;=$F52,QR$16&lt;$F52+($G52*$I52)),"➤",""),"")</f>
        <v/>
      </c>
      <c r="QS52" s="76" t="str">
        <f aca="false">IF($I52&gt;0%,IF(AND(QS$16&gt;=$F52,QS$16&lt;$F52+($G52*$I52)),"➤",""),"")</f>
        <v/>
      </c>
      <c r="QT52" s="76" t="str">
        <f aca="false">IF($I52&gt;0%,IF(AND(QT$16&gt;=$F52,QT$16&lt;$F52+($G52*$I52)),"➤",""),"")</f>
        <v/>
      </c>
      <c r="QU52" s="76" t="str">
        <f aca="false">IF($I52&gt;0%,IF(AND(QU$16&gt;=$F52,QU$16&lt;$F52+($G52*$I52)),"➤",""),"")</f>
        <v/>
      </c>
      <c r="QV52" s="76" t="str">
        <f aca="false">IF($I52&gt;0%,IF(AND(QV$16&gt;=$F52,QV$16&lt;$F52+($G52*$I52)),"➤",""),"")</f>
        <v/>
      </c>
      <c r="QW52" s="76" t="str">
        <f aca="false">IF($I52&gt;0%,IF(AND(QW$16&gt;=$F52,QW$16&lt;$F52+($G52*$I52)),"➤",""),"")</f>
        <v/>
      </c>
      <c r="QX52" s="76" t="str">
        <f aca="false">IF($I52&gt;0%,IF(AND(QX$16&gt;=$F52,QX$16&lt;$F52+($G52*$I52)),"➤",""),"")</f>
        <v/>
      </c>
      <c r="QY52" s="76" t="str">
        <f aca="false">IF($I52&gt;0%,IF(AND(QY$16&gt;=$F52,QY$16&lt;$F52+($G52*$I52)),"➤",""),"")</f>
        <v/>
      </c>
      <c r="QZ52" s="76" t="str">
        <f aca="false">IF($I52&gt;0%,IF(AND(QZ$16&gt;=$F52,QZ$16&lt;$F52+($G52*$I52)),"➤",""),"")</f>
        <v/>
      </c>
      <c r="RA52" s="76" t="str">
        <f aca="false">IF($I52&gt;0%,IF(AND(RA$16&gt;=$F52,RA$16&lt;$F52+($G52*$I52)),"➤",""),"")</f>
        <v/>
      </c>
      <c r="RB52" s="76" t="str">
        <f aca="false">IF($I52&gt;0%,IF(AND(RB$16&gt;=$F52,RB$16&lt;$F52+($G52*$I52)),"➤",""),"")</f>
        <v/>
      </c>
      <c r="RC52" s="76" t="str">
        <f aca="false">IF($I52&gt;0%,IF(AND(RC$16&gt;=$F52,RC$16&lt;$F52+($G52*$I52)),"➤",""),"")</f>
        <v/>
      </c>
      <c r="RD52" s="76" t="str">
        <f aca="false">IF($I52&gt;0%,IF(AND(RD$16&gt;=$F52,RD$16&lt;$F52+($G52*$I52)),"➤",""),"")</f>
        <v/>
      </c>
      <c r="RE52" s="76" t="str">
        <f aca="false">IF($I52&gt;0%,IF(AND(RE$16&gt;=$F52,RE$16&lt;$F52+($G52*$I52)),"➤",""),"")</f>
        <v/>
      </c>
      <c r="RF52" s="76" t="str">
        <f aca="false">IF($I52&gt;0%,IF(AND(RF$16&gt;=$F52,RF$16&lt;$F52+($G52*$I52)),"➤",""),"")</f>
        <v/>
      </c>
      <c r="RG52" s="76" t="str">
        <f aca="false">IF($I52&gt;0%,IF(AND(RG$16&gt;=$F52,RG$16&lt;$F52+($G52*$I52)),"➤",""),"")</f>
        <v/>
      </c>
      <c r="RH52" s="76" t="str">
        <f aca="false">IF($I52&gt;0%,IF(AND(RH$16&gt;=$F52,RH$16&lt;$F52+($G52*$I52)),"➤",""),"")</f>
        <v/>
      </c>
      <c r="RI52" s="76" t="str">
        <f aca="false">IF($I52&gt;0%,IF(AND(RI$16&gt;=$F52,RI$16&lt;$F52+($G52*$I52)),"➤",""),"")</f>
        <v/>
      </c>
      <c r="RJ52" s="76" t="str">
        <f aca="false">IF($I52&gt;0%,IF(AND(RJ$16&gt;=$F52,RJ$16&lt;$F52+($G52*$I52)),"➤",""),"")</f>
        <v/>
      </c>
      <c r="RK52" s="76" t="str">
        <f aca="false">IF($I52&gt;0%,IF(AND(RK$16&gt;=$F52,RK$16&lt;$F52+($G52*$I52)),"➤",""),"")</f>
        <v/>
      </c>
      <c r="RL52" s="76" t="str">
        <f aca="false">IF($I52&gt;0%,IF(AND(RL$16&gt;=$F52,RL$16&lt;$F52+($G52*$I52)),"➤",""),"")</f>
        <v/>
      </c>
      <c r="RM52" s="76" t="str">
        <f aca="false">IF($I52&gt;0%,IF(AND(RM$16&gt;=$F52,RM$16&lt;$F52+($G52*$I52)),"➤",""),"")</f>
        <v/>
      </c>
      <c r="RN52" s="76" t="str">
        <f aca="false">IF($I52&gt;0%,IF(AND(RN$16&gt;=$F52,RN$16&lt;$F52+($G52*$I52)),"➤",""),"")</f>
        <v/>
      </c>
      <c r="RO52" s="76" t="str">
        <f aca="false">IF($I52&gt;0%,IF(AND(RO$16&gt;=$F52,RO$16&lt;$F52+($G52*$I52)),"➤",""),"")</f>
        <v/>
      </c>
      <c r="RP52" s="76" t="str">
        <f aca="false">IF($I52&gt;0%,IF(AND(RP$16&gt;=$F52,RP$16&lt;$F52+($G52*$I52)),"➤",""),"")</f>
        <v/>
      </c>
      <c r="RQ52" s="76" t="str">
        <f aca="false">IF($I52&gt;0%,IF(AND(RQ$16&gt;=$F52,RQ$16&lt;$F52+($G52*$I52)),"➤",""),"")</f>
        <v/>
      </c>
      <c r="RR52" s="76" t="str">
        <f aca="false">IF($I52&gt;0%,IF(AND(RR$16&gt;=$F52,RR$16&lt;$F52+($G52*$I52)),"➤",""),"")</f>
        <v/>
      </c>
      <c r="RS52" s="76" t="str">
        <f aca="false">IF($I52&gt;0%,IF(AND(RS$16&gt;=$F52,RS$16&lt;$F52+($G52*$I52)),"➤",""),"")</f>
        <v/>
      </c>
      <c r="RT52" s="76" t="str">
        <f aca="false">IF($I52&gt;0%,IF(AND(RT$16&gt;=$F52,RT$16&lt;$F52+($G52*$I52)),"➤",""),"")</f>
        <v/>
      </c>
      <c r="RU52" s="76" t="str">
        <f aca="false">IF($I52&gt;0%,IF(AND(RU$16&gt;=$F52,RU$16&lt;$F52+($G52*$I52)),"➤",""),"")</f>
        <v/>
      </c>
      <c r="RV52" s="76" t="str">
        <f aca="false">IF($I52&gt;0%,IF(AND(RV$16&gt;=$F52,RV$16&lt;$F52+($G52*$I52)),"➤",""),"")</f>
        <v/>
      </c>
      <c r="RW52" s="76" t="str">
        <f aca="false">IF($I52&gt;0%,IF(AND(RW$16&gt;=$F52,RW$16&lt;$F52+($G52*$I52)),"➤",""),"")</f>
        <v/>
      </c>
      <c r="RX52" s="76" t="str">
        <f aca="false">IF($I52&gt;0%,IF(AND(RX$16&gt;=$F52,RX$16&lt;$F52+($G52*$I52)),"➤",""),"")</f>
        <v/>
      </c>
      <c r="RY52" s="76" t="str">
        <f aca="false">IF($I52&gt;0%,IF(AND(RY$16&gt;=$F52,RY$16&lt;$F52+($G52*$I52)),"➤",""),"")</f>
        <v/>
      </c>
      <c r="RZ52" s="76" t="str">
        <f aca="false">IF($I52&gt;0%,IF(AND(RZ$16&gt;=$F52,RZ$16&lt;$F52+($G52*$I52)),"➤",""),"")</f>
        <v/>
      </c>
      <c r="SA52" s="76" t="str">
        <f aca="false">IF($I52&gt;0%,IF(AND(SA$16&gt;=$F52,SA$16&lt;$F52+($G52*$I52)),"➤",""),"")</f>
        <v/>
      </c>
      <c r="SB52" s="76" t="str">
        <f aca="false">IF($I52&gt;0%,IF(AND(SB$16&gt;=$F52,SB$16&lt;$F52+($G52*$I52)),"➤",""),"")</f>
        <v/>
      </c>
      <c r="SC52" s="76" t="str">
        <f aca="false">IF($I52&gt;0%,IF(AND(SC$16&gt;=$F52,SC$16&lt;$F52+($G52*$I52)),"➤",""),"")</f>
        <v/>
      </c>
      <c r="SD52" s="76" t="str">
        <f aca="false">IF($I52&gt;0%,IF(AND(SD$16&gt;=$F52,SD$16&lt;$F52+($G52*$I52)),"➤",""),"")</f>
        <v/>
      </c>
      <c r="SE52" s="76" t="str">
        <f aca="false">IF($I52&gt;0%,IF(AND(SE$16&gt;=$F52,SE$16&lt;$F52+($G52*$I52)),"➤",""),"")</f>
        <v/>
      </c>
      <c r="SF52" s="76" t="str">
        <f aca="false">IF($I52&gt;0%,IF(AND(SF$16&gt;=$F52,SF$16&lt;$F52+($G52*$I52)),"➤",""),"")</f>
        <v/>
      </c>
      <c r="SG52" s="76" t="str">
        <f aca="false">IF($I52&gt;0%,IF(AND(SG$16&gt;=$F52,SG$16&lt;$F52+($G52*$I52)),"➤",""),"")</f>
        <v/>
      </c>
      <c r="SH52" s="76" t="str">
        <f aca="false">IF($I52&gt;0%,IF(AND(SH$16&gt;=$F52,SH$16&lt;$F52+($G52*$I52)),"➤",""),"")</f>
        <v/>
      </c>
      <c r="SI52" s="76" t="str">
        <f aca="false">IF($I52&gt;0%,IF(AND(SI$16&gt;=$F52,SI$16&lt;$F52+($G52*$I52)),"➤",""),"")</f>
        <v/>
      </c>
      <c r="SJ52" s="76" t="str">
        <f aca="false">IF($I52&gt;0%,IF(AND(SJ$16&gt;=$F52,SJ$16&lt;$F52+($G52*$I52)),"➤",""),"")</f>
        <v/>
      </c>
      <c r="SK52" s="76" t="str">
        <f aca="false">IF($I52&gt;0%,IF(AND(SK$16&gt;=$F52,SK$16&lt;$F52+($G52*$I52)),"➤",""),"")</f>
        <v/>
      </c>
      <c r="SL52" s="76" t="str">
        <f aca="false">IF($I52&gt;0%,IF(AND(SL$16&gt;=$F52,SL$16&lt;$F52+($G52*$I52)),"➤",""),"")</f>
        <v/>
      </c>
      <c r="SM52" s="76" t="str">
        <f aca="false">IF($I52&gt;0%,IF(AND(SM$16&gt;=$F52,SM$16&lt;$F52+($G52*$I52)),"➤",""),"")</f>
        <v/>
      </c>
      <c r="SN52" s="76" t="str">
        <f aca="false">IF($I52&gt;0%,IF(AND(SN$16&gt;=$F52,SN$16&lt;$F52+($G52*$I52)),"➤",""),"")</f>
        <v/>
      </c>
      <c r="SO52" s="76" t="str">
        <f aca="false">IF($I52&gt;0%,IF(AND(SO$16&gt;=$F52,SO$16&lt;$F52+($G52*$I52)),"➤",""),"")</f>
        <v/>
      </c>
      <c r="SP52" s="76" t="str">
        <f aca="false">IF($I52&gt;0%,IF(AND(SP$16&gt;=$F52,SP$16&lt;$F52+($G52*$I52)),"➤",""),"")</f>
        <v/>
      </c>
      <c r="SQ52" s="76" t="str">
        <f aca="false">IF($I52&gt;0%,IF(AND(SQ$16&gt;=$F52,SQ$16&lt;$F52+($G52*$I52)),"➤",""),"")</f>
        <v/>
      </c>
      <c r="SR52" s="76" t="str">
        <f aca="false">IF($I52&gt;0%,IF(AND(SR$16&gt;=$F52,SR$16&lt;$F52+($G52*$I52)),"➤",""),"")</f>
        <v/>
      </c>
      <c r="SS52" s="76" t="str">
        <f aca="false">IF($I52&gt;0%,IF(AND(SS$16&gt;=$F52,SS$16&lt;$F52+($G52*$I52)),"➤",""),"")</f>
        <v/>
      </c>
      <c r="ST52" s="76" t="str">
        <f aca="false">IF($I52&gt;0%,IF(AND(ST$16&gt;=$F52,ST$16&lt;$F52+($G52*$I52)),"➤",""),"")</f>
        <v/>
      </c>
      <c r="SU52" s="76" t="str">
        <f aca="false">IF($I52&gt;0%,IF(AND(SU$16&gt;=$F52,SU$16&lt;$F52+($G52*$I52)),"➤",""),"")</f>
        <v/>
      </c>
      <c r="SV52" s="76" t="str">
        <f aca="false">IF($I52&gt;0%,IF(AND(SV$16&gt;=$F52,SV$16&lt;$F52+($G52*$I52)),"➤",""),"")</f>
        <v/>
      </c>
      <c r="SW52" s="77" t="str">
        <f aca="false">IF($I52&gt;0%,IF(AND(SW$16&gt;=$F52,SW$16&lt;$F52+($G52*$I52)),"➤",""),"")</f>
        <v/>
      </c>
    </row>
    <row r="53" customFormat="false" ht="14.25" hidden="false" customHeight="false" outlineLevel="0" collapsed="false">
      <c r="C53" s="10"/>
      <c r="D53" s="86" t="s">
        <v>33</v>
      </c>
      <c r="E53" s="87"/>
      <c r="F53" s="88"/>
      <c r="G53" s="88"/>
      <c r="H53" s="88"/>
      <c r="I53" s="89"/>
      <c r="J53" s="90"/>
      <c r="K53" s="90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  <c r="AQ53" s="88"/>
      <c r="AR53" s="88"/>
      <c r="AS53" s="88"/>
      <c r="AT53" s="88"/>
      <c r="AU53" s="88"/>
      <c r="AV53" s="88"/>
      <c r="AW53" s="88"/>
      <c r="AX53" s="88"/>
      <c r="AY53" s="88"/>
      <c r="AZ53" s="88"/>
      <c r="BA53" s="88"/>
      <c r="BB53" s="88"/>
      <c r="BC53" s="88"/>
      <c r="BD53" s="88"/>
      <c r="BE53" s="88"/>
      <c r="BF53" s="88"/>
      <c r="BG53" s="88"/>
      <c r="BH53" s="88"/>
      <c r="BI53" s="88"/>
      <c r="BJ53" s="88"/>
      <c r="BK53" s="88"/>
      <c r="BL53" s="88"/>
      <c r="BM53" s="88"/>
      <c r="BN53" s="88"/>
      <c r="BO53" s="88"/>
      <c r="BP53" s="88"/>
      <c r="BQ53" s="88"/>
      <c r="BR53" s="88"/>
      <c r="BS53" s="88"/>
      <c r="BT53" s="88"/>
      <c r="BU53" s="88"/>
      <c r="BV53" s="88"/>
      <c r="BW53" s="88"/>
      <c r="BX53" s="88"/>
      <c r="BY53" s="88"/>
      <c r="BZ53" s="88"/>
      <c r="CA53" s="88"/>
      <c r="CB53" s="88"/>
      <c r="CC53" s="88"/>
      <c r="CD53" s="88"/>
      <c r="CE53" s="88"/>
      <c r="CF53" s="88"/>
      <c r="CG53" s="88"/>
      <c r="CH53" s="88"/>
      <c r="CI53" s="88"/>
      <c r="CJ53" s="88"/>
      <c r="CK53" s="88"/>
      <c r="CL53" s="88"/>
      <c r="CM53" s="88"/>
      <c r="CN53" s="88"/>
      <c r="CO53" s="88"/>
      <c r="CP53" s="88"/>
      <c r="CQ53" s="88"/>
      <c r="CR53" s="88"/>
      <c r="CS53" s="88"/>
      <c r="CT53" s="88"/>
      <c r="CU53" s="88"/>
      <c r="CV53" s="88"/>
      <c r="CW53" s="88"/>
      <c r="CX53" s="88"/>
      <c r="CY53" s="88"/>
      <c r="CZ53" s="88"/>
      <c r="DA53" s="88"/>
      <c r="DB53" s="88"/>
      <c r="DC53" s="88"/>
      <c r="DD53" s="88"/>
      <c r="DE53" s="88"/>
      <c r="DF53" s="88"/>
      <c r="DG53" s="88"/>
      <c r="DH53" s="88"/>
      <c r="DI53" s="88"/>
      <c r="DJ53" s="88"/>
      <c r="DK53" s="88"/>
      <c r="DL53" s="88"/>
      <c r="DM53" s="88"/>
      <c r="DN53" s="88"/>
      <c r="DO53" s="88"/>
      <c r="DP53" s="88"/>
      <c r="DQ53" s="88"/>
      <c r="DR53" s="88"/>
      <c r="DS53" s="88"/>
      <c r="DT53" s="88"/>
      <c r="DU53" s="88"/>
      <c r="DV53" s="88"/>
      <c r="DW53" s="88"/>
      <c r="DX53" s="88"/>
      <c r="DY53" s="88"/>
      <c r="DZ53" s="88"/>
      <c r="EA53" s="88"/>
      <c r="EB53" s="88"/>
      <c r="EC53" s="88"/>
      <c r="ED53" s="88"/>
      <c r="EE53" s="88"/>
      <c r="EF53" s="88"/>
      <c r="EG53" s="88"/>
      <c r="EH53" s="88"/>
      <c r="EI53" s="88"/>
      <c r="EJ53" s="88"/>
      <c r="EK53" s="88"/>
      <c r="EL53" s="88"/>
      <c r="EM53" s="88"/>
      <c r="EN53" s="88"/>
      <c r="EO53" s="88"/>
      <c r="EP53" s="88"/>
      <c r="EQ53" s="88"/>
      <c r="ER53" s="88"/>
      <c r="ES53" s="88"/>
      <c r="ET53" s="88"/>
      <c r="EU53" s="88"/>
      <c r="EV53" s="88"/>
      <c r="EW53" s="88"/>
      <c r="EX53" s="88"/>
      <c r="EY53" s="88"/>
      <c r="EZ53" s="88"/>
      <c r="FA53" s="88"/>
      <c r="FB53" s="88"/>
      <c r="FC53" s="88"/>
      <c r="FD53" s="88"/>
      <c r="FE53" s="88"/>
      <c r="FF53" s="88"/>
      <c r="FG53" s="88"/>
      <c r="FH53" s="88"/>
      <c r="FI53" s="88"/>
      <c r="FJ53" s="88"/>
      <c r="FK53" s="88"/>
      <c r="FL53" s="88"/>
      <c r="FM53" s="88"/>
      <c r="FN53" s="88"/>
      <c r="FO53" s="88"/>
      <c r="FP53" s="88"/>
      <c r="FQ53" s="88"/>
      <c r="FR53" s="88"/>
      <c r="FS53" s="88"/>
      <c r="FT53" s="88"/>
      <c r="FU53" s="88"/>
      <c r="FV53" s="88"/>
      <c r="FW53" s="88"/>
      <c r="FX53" s="88"/>
      <c r="FY53" s="88"/>
      <c r="FZ53" s="88"/>
      <c r="GA53" s="88"/>
      <c r="GB53" s="88"/>
      <c r="GC53" s="88"/>
      <c r="GD53" s="88"/>
      <c r="GE53" s="88"/>
      <c r="GF53" s="88"/>
      <c r="GG53" s="88"/>
      <c r="GH53" s="88"/>
      <c r="GI53" s="88"/>
      <c r="GJ53" s="88"/>
      <c r="GK53" s="88"/>
      <c r="GL53" s="88"/>
      <c r="GM53" s="88"/>
      <c r="GN53" s="88"/>
      <c r="GO53" s="88"/>
      <c r="GP53" s="88"/>
      <c r="GQ53" s="88"/>
      <c r="GR53" s="88"/>
      <c r="GS53" s="88"/>
      <c r="GT53" s="88"/>
      <c r="GU53" s="88"/>
      <c r="GV53" s="88"/>
      <c r="GW53" s="88"/>
      <c r="GX53" s="88"/>
      <c r="GY53" s="88"/>
      <c r="GZ53" s="88"/>
      <c r="HA53" s="88"/>
      <c r="HB53" s="88"/>
      <c r="HC53" s="88"/>
      <c r="HD53" s="88"/>
      <c r="HE53" s="88"/>
      <c r="HF53" s="88"/>
      <c r="HG53" s="88"/>
      <c r="HH53" s="88"/>
      <c r="HI53" s="88"/>
      <c r="HJ53" s="88"/>
      <c r="HK53" s="88"/>
      <c r="HL53" s="88"/>
      <c r="HM53" s="88"/>
      <c r="HN53" s="88"/>
      <c r="HO53" s="88"/>
      <c r="HP53" s="88"/>
      <c r="HQ53" s="88"/>
      <c r="HR53" s="88"/>
      <c r="HS53" s="88"/>
      <c r="HT53" s="88"/>
      <c r="HU53" s="88"/>
      <c r="HV53" s="88"/>
      <c r="HW53" s="88"/>
      <c r="HX53" s="88"/>
      <c r="HY53" s="88"/>
      <c r="HZ53" s="88"/>
      <c r="IA53" s="88"/>
      <c r="IB53" s="88"/>
      <c r="IC53" s="88"/>
      <c r="ID53" s="88"/>
      <c r="IE53" s="88"/>
      <c r="IF53" s="88"/>
      <c r="IG53" s="88"/>
      <c r="IH53" s="88"/>
      <c r="II53" s="88"/>
      <c r="IJ53" s="88"/>
      <c r="IK53" s="88"/>
      <c r="IL53" s="88"/>
      <c r="IM53" s="88"/>
      <c r="IN53" s="88"/>
      <c r="IO53" s="88"/>
      <c r="IP53" s="88"/>
      <c r="IQ53" s="88"/>
      <c r="IR53" s="88"/>
      <c r="IS53" s="88"/>
      <c r="IT53" s="88"/>
      <c r="IU53" s="88"/>
      <c r="IV53" s="88"/>
      <c r="IW53" s="88"/>
      <c r="IX53" s="88"/>
      <c r="IY53" s="88"/>
      <c r="IZ53" s="88"/>
      <c r="JA53" s="88"/>
      <c r="JB53" s="88"/>
      <c r="JC53" s="88"/>
      <c r="JD53" s="88"/>
      <c r="JE53" s="88"/>
      <c r="JF53" s="88"/>
      <c r="JG53" s="88"/>
      <c r="JH53" s="88"/>
      <c r="JI53" s="88"/>
      <c r="JJ53" s="88"/>
      <c r="JK53" s="88"/>
      <c r="JL53" s="88"/>
      <c r="JM53" s="88"/>
      <c r="JN53" s="88"/>
      <c r="JO53" s="88"/>
      <c r="JP53" s="88"/>
      <c r="JQ53" s="88"/>
      <c r="JR53" s="88"/>
      <c r="JS53" s="88"/>
      <c r="JT53" s="88"/>
      <c r="JU53" s="88"/>
      <c r="JV53" s="88"/>
      <c r="JW53" s="88"/>
      <c r="JX53" s="88"/>
      <c r="JY53" s="88"/>
      <c r="JZ53" s="88"/>
      <c r="KA53" s="88"/>
      <c r="KB53" s="88"/>
      <c r="KC53" s="88"/>
      <c r="KD53" s="88"/>
      <c r="KE53" s="88"/>
      <c r="KF53" s="88"/>
      <c r="KG53" s="88"/>
      <c r="KH53" s="88"/>
      <c r="KI53" s="88"/>
      <c r="KJ53" s="88"/>
      <c r="KK53" s="88"/>
      <c r="KL53" s="88"/>
      <c r="KM53" s="88"/>
      <c r="KN53" s="88"/>
      <c r="KO53" s="88"/>
      <c r="KP53" s="88"/>
      <c r="KQ53" s="88"/>
      <c r="KR53" s="88"/>
      <c r="KS53" s="88"/>
      <c r="KT53" s="88"/>
      <c r="KU53" s="88"/>
      <c r="KV53" s="88"/>
      <c r="KW53" s="88"/>
      <c r="KX53" s="88"/>
      <c r="KY53" s="88"/>
      <c r="KZ53" s="88"/>
      <c r="LA53" s="88"/>
      <c r="LB53" s="88"/>
      <c r="LC53" s="88"/>
      <c r="LD53" s="88"/>
      <c r="LE53" s="88"/>
      <c r="LF53" s="88"/>
      <c r="LG53" s="88"/>
      <c r="LH53" s="88"/>
      <c r="LI53" s="88"/>
      <c r="LJ53" s="88"/>
      <c r="LK53" s="88"/>
      <c r="LL53" s="88"/>
      <c r="LM53" s="88"/>
      <c r="LN53" s="88"/>
      <c r="LO53" s="88"/>
      <c r="LP53" s="88"/>
      <c r="LQ53" s="88"/>
      <c r="LR53" s="88"/>
      <c r="LS53" s="88"/>
      <c r="LT53" s="88"/>
      <c r="LU53" s="88"/>
      <c r="LV53" s="88"/>
      <c r="LW53" s="88"/>
      <c r="LX53" s="88"/>
      <c r="LY53" s="88"/>
      <c r="LZ53" s="88"/>
      <c r="MA53" s="88"/>
      <c r="MB53" s="88"/>
      <c r="MC53" s="88"/>
      <c r="MD53" s="88"/>
      <c r="ME53" s="88"/>
      <c r="MF53" s="88"/>
      <c r="MG53" s="88"/>
      <c r="MH53" s="88"/>
      <c r="MI53" s="88"/>
      <c r="MJ53" s="88"/>
      <c r="MK53" s="88"/>
      <c r="ML53" s="88"/>
      <c r="MM53" s="88"/>
      <c r="MN53" s="88"/>
      <c r="MO53" s="88"/>
      <c r="MP53" s="88"/>
      <c r="MQ53" s="88"/>
      <c r="MR53" s="88"/>
      <c r="MS53" s="88"/>
      <c r="MT53" s="88"/>
      <c r="MU53" s="88"/>
      <c r="MV53" s="88"/>
      <c r="MW53" s="88"/>
      <c r="MX53" s="88"/>
      <c r="MY53" s="88"/>
      <c r="MZ53" s="88"/>
      <c r="NA53" s="88"/>
      <c r="NB53" s="88"/>
      <c r="NC53" s="88"/>
      <c r="ND53" s="88"/>
      <c r="NE53" s="88"/>
      <c r="NF53" s="88"/>
      <c r="NG53" s="88"/>
      <c r="NH53" s="88"/>
      <c r="NI53" s="88"/>
      <c r="NJ53" s="88"/>
      <c r="NK53" s="88"/>
      <c r="NL53" s="88"/>
      <c r="NM53" s="88"/>
      <c r="NN53" s="88"/>
      <c r="NO53" s="88"/>
      <c r="NP53" s="88"/>
      <c r="NQ53" s="88"/>
      <c r="NR53" s="88"/>
      <c r="NS53" s="88"/>
      <c r="NT53" s="88"/>
      <c r="NU53" s="88"/>
      <c r="NV53" s="88"/>
      <c r="NW53" s="88"/>
      <c r="NX53" s="88"/>
      <c r="NY53" s="88"/>
      <c r="NZ53" s="88"/>
      <c r="OA53" s="88"/>
      <c r="OB53" s="88"/>
      <c r="OC53" s="88"/>
      <c r="OD53" s="88"/>
      <c r="OE53" s="88"/>
      <c r="OF53" s="88"/>
      <c r="OG53" s="88"/>
      <c r="OH53" s="88"/>
      <c r="OI53" s="88"/>
      <c r="OJ53" s="88"/>
      <c r="OK53" s="88"/>
      <c r="OL53" s="88"/>
      <c r="OM53" s="88"/>
      <c r="ON53" s="88"/>
      <c r="OO53" s="88"/>
      <c r="OP53" s="88"/>
      <c r="OQ53" s="88"/>
      <c r="OR53" s="88"/>
      <c r="OS53" s="88"/>
      <c r="OT53" s="88"/>
      <c r="OU53" s="88"/>
      <c r="OV53" s="88"/>
      <c r="OW53" s="88"/>
      <c r="OX53" s="88"/>
      <c r="OY53" s="88"/>
      <c r="OZ53" s="88"/>
      <c r="PA53" s="88"/>
      <c r="PB53" s="88"/>
      <c r="PC53" s="88"/>
      <c r="PD53" s="88"/>
      <c r="PE53" s="88"/>
      <c r="PF53" s="88"/>
      <c r="PG53" s="88"/>
      <c r="PH53" s="88"/>
      <c r="PI53" s="88"/>
      <c r="PJ53" s="88"/>
      <c r="PK53" s="88"/>
      <c r="PL53" s="88"/>
      <c r="PM53" s="88"/>
      <c r="PN53" s="88"/>
      <c r="PO53" s="88"/>
      <c r="PP53" s="88"/>
      <c r="PQ53" s="88"/>
      <c r="PR53" s="88"/>
      <c r="PS53" s="88"/>
      <c r="PT53" s="88"/>
      <c r="PU53" s="88"/>
      <c r="PV53" s="88"/>
      <c r="PW53" s="88"/>
      <c r="PX53" s="88"/>
      <c r="PY53" s="88"/>
      <c r="PZ53" s="88"/>
      <c r="QA53" s="88"/>
      <c r="QB53" s="88"/>
      <c r="QC53" s="88"/>
      <c r="QD53" s="88"/>
      <c r="QE53" s="88"/>
      <c r="QF53" s="88"/>
      <c r="QG53" s="88"/>
      <c r="QH53" s="88"/>
      <c r="QI53" s="88"/>
      <c r="QJ53" s="88"/>
      <c r="QK53" s="88"/>
      <c r="QL53" s="88"/>
      <c r="QM53" s="88"/>
      <c r="QN53" s="88"/>
      <c r="QO53" s="88"/>
      <c r="QP53" s="88"/>
      <c r="QQ53" s="88"/>
      <c r="QR53" s="88"/>
      <c r="QS53" s="88"/>
      <c r="QT53" s="88"/>
      <c r="QU53" s="88"/>
      <c r="QV53" s="88"/>
      <c r="QW53" s="88"/>
      <c r="QX53" s="88"/>
      <c r="QY53" s="88"/>
      <c r="QZ53" s="88"/>
      <c r="RA53" s="88"/>
      <c r="RB53" s="88"/>
      <c r="RC53" s="88"/>
      <c r="RD53" s="88"/>
      <c r="RE53" s="88"/>
      <c r="RF53" s="88"/>
      <c r="RG53" s="88"/>
      <c r="RH53" s="88"/>
      <c r="RI53" s="88"/>
      <c r="RJ53" s="88"/>
      <c r="RK53" s="88"/>
      <c r="RL53" s="88"/>
      <c r="RM53" s="88"/>
      <c r="RN53" s="88"/>
      <c r="RO53" s="88"/>
      <c r="RP53" s="88"/>
      <c r="RQ53" s="88"/>
      <c r="RR53" s="88"/>
      <c r="RS53" s="88"/>
      <c r="RT53" s="88"/>
      <c r="RU53" s="88"/>
      <c r="RV53" s="88"/>
      <c r="RW53" s="88"/>
      <c r="RX53" s="88"/>
      <c r="RY53" s="88"/>
      <c r="RZ53" s="88"/>
      <c r="SA53" s="88"/>
      <c r="SB53" s="88"/>
      <c r="SC53" s="88"/>
      <c r="SD53" s="88"/>
      <c r="SE53" s="88"/>
      <c r="SF53" s="88"/>
      <c r="SG53" s="88"/>
      <c r="SH53" s="88"/>
      <c r="SI53" s="88"/>
      <c r="SJ53" s="88"/>
      <c r="SK53" s="88"/>
      <c r="SL53" s="88"/>
      <c r="SM53" s="88"/>
      <c r="SN53" s="88"/>
      <c r="SO53" s="88"/>
      <c r="SP53" s="88"/>
      <c r="SQ53" s="88"/>
      <c r="SR53" s="88"/>
      <c r="SS53" s="88"/>
      <c r="ST53" s="88"/>
      <c r="SU53" s="88"/>
      <c r="SV53" s="88"/>
      <c r="SW53" s="91"/>
    </row>
    <row r="54" customFormat="false" ht="14.25" hidden="false" customHeight="false" outlineLevel="1" collapsed="false">
      <c r="C54" s="10"/>
      <c r="D54" s="67"/>
      <c r="E54" s="68"/>
      <c r="F54" s="92" t="n">
        <v>44185</v>
      </c>
      <c r="G54" s="93" t="n">
        <v>6</v>
      </c>
      <c r="H54" s="107" t="n">
        <f aca="false">F54+G54</f>
        <v>44191</v>
      </c>
      <c r="I54" s="111" t="n">
        <v>0</v>
      </c>
      <c r="J54" s="73"/>
      <c r="K54" s="74"/>
      <c r="L54" s="75" t="str">
        <f aca="false">IF($I54&gt;0%,IF(AND(L$16&gt;=$F54,L$16&lt;$F54+($G54*$I54)),"➤",""),"")</f>
        <v/>
      </c>
      <c r="M54" s="76" t="str">
        <f aca="false">IF($I54&gt;0%,IF(AND(M$16&gt;=$F54,M$16&lt;$F54+($G54*$I54)),"➤",""),"")</f>
        <v/>
      </c>
      <c r="N54" s="76" t="str">
        <f aca="false">IF($I54&gt;0%,IF(AND(N$16&gt;=$F54,N$16&lt;$F54+($G54*$I54)),"➤",""),"")</f>
        <v/>
      </c>
      <c r="O54" s="76" t="str">
        <f aca="false">IF($I54&gt;0%,IF(AND(O$16&gt;=$F54,O$16&lt;$F54+($G54*$I54)),"➤",""),"")</f>
        <v/>
      </c>
      <c r="P54" s="76" t="str">
        <f aca="false">IF($I54&gt;0%,IF(AND(P$16&gt;=$F54,P$16&lt;$F54+($G54*$I54)),"➤",""),"")</f>
        <v/>
      </c>
      <c r="Q54" s="76" t="str">
        <f aca="false">IF($I54&gt;0%,IF(AND(Q$16&gt;=$F54,Q$16&lt;$F54+($G54*$I54)),"➤",""),"")</f>
        <v/>
      </c>
      <c r="R54" s="76" t="str">
        <f aca="false">IF($I54&gt;0%,IF(AND(R$16&gt;=$F54,R$16&lt;$F54+($G54*$I54)),"➤",""),"")</f>
        <v/>
      </c>
      <c r="S54" s="76" t="str">
        <f aca="false">IF($I54&gt;0%,IF(AND(S$16&gt;=$F54,S$16&lt;$F54+($G54*$I54)),"➤",""),"")</f>
        <v/>
      </c>
      <c r="T54" s="76" t="str">
        <f aca="false">IF($I54&gt;0%,IF(AND(T$16&gt;=$F54,T$16&lt;$F54+($G54*$I54)),"➤",""),"")</f>
        <v/>
      </c>
      <c r="U54" s="76" t="str">
        <f aca="false">IF($I54&gt;0%,IF(AND(U$16&gt;=$F54,U$16&lt;$F54+($G54*$I54)),"➤",""),"")</f>
        <v/>
      </c>
      <c r="V54" s="76" t="str">
        <f aca="false">IF($I54&gt;0%,IF(AND(V$16&gt;=$F54,V$16&lt;$F54+($G54*$I54)),"➤",""),"")</f>
        <v/>
      </c>
      <c r="W54" s="76" t="str">
        <f aca="false">IF($I54&gt;0%,IF(AND(W$16&gt;=$F54,W$16&lt;$F54+($G54*$I54)),"➤",""),"")</f>
        <v/>
      </c>
      <c r="X54" s="76" t="str">
        <f aca="false">IF($I54&gt;0%,IF(AND(X$16&gt;=$F54,X$16&lt;$F54+($G54*$I54)),"➤",""),"")</f>
        <v/>
      </c>
      <c r="Y54" s="76" t="str">
        <f aca="false">IF($I54&gt;0%,IF(AND(Y$16&gt;=$F54,Y$16&lt;$F54+($G54*$I54)),"➤",""),"")</f>
        <v/>
      </c>
      <c r="Z54" s="76" t="str">
        <f aca="false">IF($I54&gt;0%,IF(AND(Z$16&gt;=$F54,Z$16&lt;$F54+($G54*$I54)),"➤",""),"")</f>
        <v/>
      </c>
      <c r="AA54" s="76" t="str">
        <f aca="false">IF($I54&gt;0%,IF(AND(AA$16&gt;=$F54,AA$16&lt;$F54+($G54*$I54)),"➤",""),"")</f>
        <v/>
      </c>
      <c r="AB54" s="76" t="str">
        <f aca="false">IF($I54&gt;0%,IF(AND(AB$16&gt;=$F54,AB$16&lt;$F54+($G54*$I54)),"➤",""),"")</f>
        <v/>
      </c>
      <c r="AC54" s="76" t="str">
        <f aca="false">IF($I54&gt;0%,IF(AND(AC$16&gt;=$F54,AC$16&lt;$F54+($G54*$I54)),"➤",""),"")</f>
        <v/>
      </c>
      <c r="AD54" s="76" t="str">
        <f aca="false">IF($I54&gt;0%,IF(AND(AD$16&gt;=$F54,AD$16&lt;$F54+($G54*$I54)),"➤",""),"")</f>
        <v/>
      </c>
      <c r="AE54" s="76" t="str">
        <f aca="false">IF($I54&gt;0%,IF(AND(AE$16&gt;=$F54,AE$16&lt;$F54+($G54*$I54)),"➤",""),"")</f>
        <v/>
      </c>
      <c r="AF54" s="76" t="str">
        <f aca="false">IF($I54&gt;0%,IF(AND(AF$16&gt;=$F54,AF$16&lt;$F54+($G54*$I54)),"➤",""),"")</f>
        <v/>
      </c>
      <c r="AG54" s="76" t="str">
        <f aca="false">IF($I54&gt;0%,IF(AND(AG$16&gt;=$F54,AG$16&lt;$F54+($G54*$I54)),"➤",""),"")</f>
        <v/>
      </c>
      <c r="AH54" s="76" t="str">
        <f aca="false">IF($I54&gt;0%,IF(AND(AH$16&gt;=$F54,AH$16&lt;$F54+($G54*$I54)),"➤",""),"")</f>
        <v/>
      </c>
      <c r="AI54" s="76" t="str">
        <f aca="false">IF($I54&gt;0%,IF(AND(AI$16&gt;=$F54,AI$16&lt;$F54+($G54*$I54)),"➤",""),"")</f>
        <v/>
      </c>
      <c r="AJ54" s="76" t="str">
        <f aca="false">IF($I54&gt;0%,IF(AND(AJ$16&gt;=$F54,AJ$16&lt;$F54+($G54*$I54)),"➤",""),"")</f>
        <v/>
      </c>
      <c r="AK54" s="76" t="str">
        <f aca="false">IF($I54&gt;0%,IF(AND(AK$16&gt;=$F54,AK$16&lt;$F54+($G54*$I54)),"➤",""),"")</f>
        <v/>
      </c>
      <c r="AL54" s="76" t="str">
        <f aca="false">IF($I54&gt;0%,IF(AND(AL$16&gt;=$F54,AL$16&lt;$F54+($G54*$I54)),"➤",""),"")</f>
        <v/>
      </c>
      <c r="AM54" s="76" t="str">
        <f aca="false">IF($I54&gt;0%,IF(AND(AM$16&gt;=$F54,AM$16&lt;$F54+($G54*$I54)),"➤",""),"")</f>
        <v/>
      </c>
      <c r="AN54" s="76" t="str">
        <f aca="false">IF($I54&gt;0%,IF(AND(AN$16&gt;=$F54,AN$16&lt;$F54+($G54*$I54)),"➤",""),"")</f>
        <v/>
      </c>
      <c r="AO54" s="76" t="str">
        <f aca="false">IF($I54&gt;0%,IF(AND(AO$16&gt;=$F54,AO$16&lt;$F54+($G54*$I54)),"➤",""),"")</f>
        <v/>
      </c>
      <c r="AP54" s="76" t="str">
        <f aca="false">IF($I54&gt;0%,IF(AND(AP$16&gt;=$F54,AP$16&lt;$F54+($G54*$I54)),"➤",""),"")</f>
        <v/>
      </c>
      <c r="AQ54" s="76" t="str">
        <f aca="false">IF($I54&gt;0%,IF(AND(AQ$16&gt;=$F54,AQ$16&lt;$F54+($G54*$I54)),"➤",""),"")</f>
        <v/>
      </c>
      <c r="AR54" s="76" t="str">
        <f aca="false">IF($I54&gt;0%,IF(AND(AR$16&gt;=$F54,AR$16&lt;$F54+($G54*$I54)),"➤",""),"")</f>
        <v/>
      </c>
      <c r="AS54" s="76" t="str">
        <f aca="false">IF($I54&gt;0%,IF(AND(AS$16&gt;=$F54,AS$16&lt;$F54+($G54*$I54)),"➤",""),"")</f>
        <v/>
      </c>
      <c r="AT54" s="76" t="str">
        <f aca="false">IF($I54&gt;0%,IF(AND(AT$16&gt;=$F54,AT$16&lt;$F54+($G54*$I54)),"➤",""),"")</f>
        <v/>
      </c>
      <c r="AU54" s="76" t="str">
        <f aca="false">IF($I54&gt;0%,IF(AND(AU$16&gt;=$F54,AU$16&lt;$F54+($G54*$I54)),"➤",""),"")</f>
        <v/>
      </c>
      <c r="AV54" s="76" t="str">
        <f aca="false">IF($I54&gt;0%,IF(AND(AV$16&gt;=$F54,AV$16&lt;$F54+($G54*$I54)),"➤",""),"")</f>
        <v/>
      </c>
      <c r="AW54" s="76" t="str">
        <f aca="false">IF($I54&gt;0%,IF(AND(AW$16&gt;=$F54,AW$16&lt;$F54+($G54*$I54)),"➤",""),"")</f>
        <v/>
      </c>
      <c r="AX54" s="76" t="str">
        <f aca="false">IF($I54&gt;0%,IF(AND(AX$16&gt;=$F54,AX$16&lt;$F54+($G54*$I54)),"➤",""),"")</f>
        <v/>
      </c>
      <c r="AY54" s="76" t="str">
        <f aca="false">IF($I54&gt;0%,IF(AND(AY$16&gt;=$F54,AY$16&lt;$F54+($G54*$I54)),"➤",""),"")</f>
        <v/>
      </c>
      <c r="AZ54" s="76" t="str">
        <f aca="false">IF($I54&gt;0%,IF(AND(AZ$16&gt;=$F54,AZ$16&lt;$F54+($G54*$I54)),"➤",""),"")</f>
        <v/>
      </c>
      <c r="BA54" s="76" t="str">
        <f aca="false">IF($I54&gt;0%,IF(AND(BA$16&gt;=$F54,BA$16&lt;$F54+($G54*$I54)),"➤",""),"")</f>
        <v/>
      </c>
      <c r="BB54" s="76" t="str">
        <f aca="false">IF($I54&gt;0%,IF(AND(BB$16&gt;=$F54,BB$16&lt;$F54+($G54*$I54)),"➤",""),"")</f>
        <v/>
      </c>
      <c r="BC54" s="76" t="str">
        <f aca="false">IF($I54&gt;0%,IF(AND(BC$16&gt;=$F54,BC$16&lt;$F54+($G54*$I54)),"➤",""),"")</f>
        <v/>
      </c>
      <c r="BD54" s="76" t="str">
        <f aca="false">IF($I54&gt;0%,IF(AND(BD$16&gt;=$F54,BD$16&lt;$F54+($G54*$I54)),"➤",""),"")</f>
        <v/>
      </c>
      <c r="BE54" s="76" t="str">
        <f aca="false">IF($I54&gt;0%,IF(AND(BE$16&gt;=$F54,BE$16&lt;$F54+($G54*$I54)),"➤",""),"")</f>
        <v/>
      </c>
      <c r="BF54" s="76" t="str">
        <f aca="false">IF($I54&gt;0%,IF(AND(BF$16&gt;=$F54,BF$16&lt;$F54+($G54*$I54)),"➤",""),"")</f>
        <v/>
      </c>
      <c r="BG54" s="76" t="str">
        <f aca="false">IF($I54&gt;0%,IF(AND(BG$16&gt;=$F54,BG$16&lt;$F54+($G54*$I54)),"➤",""),"")</f>
        <v/>
      </c>
      <c r="BH54" s="76" t="str">
        <f aca="false">IF($I54&gt;0%,IF(AND(BH$16&gt;=$F54,BH$16&lt;$F54+($G54*$I54)),"➤",""),"")</f>
        <v/>
      </c>
      <c r="BI54" s="76" t="str">
        <f aca="false">IF($I54&gt;0%,IF(AND(BI$16&gt;=$F54,BI$16&lt;$F54+($G54*$I54)),"➤",""),"")</f>
        <v/>
      </c>
      <c r="BJ54" s="76" t="str">
        <f aca="false">IF($I54&gt;0%,IF(AND(BJ$16&gt;=$F54,BJ$16&lt;$F54+($G54*$I54)),"➤",""),"")</f>
        <v/>
      </c>
      <c r="BK54" s="76" t="str">
        <f aca="false">IF($I54&gt;0%,IF(AND(BK$16&gt;=$F54,BK$16&lt;$F54+($G54*$I54)),"➤",""),"")</f>
        <v/>
      </c>
      <c r="BL54" s="76" t="str">
        <f aca="false">IF($I54&gt;0%,IF(AND(BL$16&gt;=$F54,BL$16&lt;$F54+($G54*$I54)),"➤",""),"")</f>
        <v/>
      </c>
      <c r="BM54" s="76" t="str">
        <f aca="false">IF($I54&gt;0%,IF(AND(BM$16&gt;=$F54,BM$16&lt;$F54+($G54*$I54)),"➤",""),"")</f>
        <v/>
      </c>
      <c r="BN54" s="76" t="str">
        <f aca="false">IF($I54&gt;0%,IF(AND(BN$16&gt;=$F54,BN$16&lt;$F54+($G54*$I54)),"➤",""),"")</f>
        <v/>
      </c>
      <c r="BO54" s="76" t="str">
        <f aca="false">IF($I54&gt;0%,IF(AND(BO$16&gt;=$F54,BO$16&lt;$F54+($G54*$I54)),"➤",""),"")</f>
        <v/>
      </c>
      <c r="BP54" s="76" t="str">
        <f aca="false">IF($I54&gt;0%,IF(AND(BP$16&gt;=$F54,BP$16&lt;$F54+($G54*$I54)),"➤",""),"")</f>
        <v/>
      </c>
      <c r="BQ54" s="76" t="str">
        <f aca="false">IF($I54&gt;0%,IF(AND(BQ$16&gt;=$F54,BQ$16&lt;$F54+($G54*$I54)),"➤",""),"")</f>
        <v/>
      </c>
      <c r="BR54" s="76" t="str">
        <f aca="false">IF($I54&gt;0%,IF(AND(BR$16&gt;=$F54,BR$16&lt;$F54+($G54*$I54)),"➤",""),"")</f>
        <v/>
      </c>
      <c r="BS54" s="76" t="str">
        <f aca="false">IF($I54&gt;0%,IF(AND(BS$16&gt;=$F54,BS$16&lt;$F54+($G54*$I54)),"➤",""),"")</f>
        <v/>
      </c>
      <c r="BT54" s="76" t="str">
        <f aca="false">IF($I54&gt;0%,IF(AND(BT$16&gt;=$F54,BT$16&lt;$F54+($G54*$I54)),"➤",""),"")</f>
        <v/>
      </c>
      <c r="BU54" s="76" t="str">
        <f aca="false">IF($I54&gt;0%,IF(AND(BU$16&gt;=$F54,BU$16&lt;$F54+($G54*$I54)),"➤",""),"")</f>
        <v/>
      </c>
      <c r="BV54" s="76" t="str">
        <f aca="false">IF($I54&gt;0%,IF(AND(BV$16&gt;=$F54,BV$16&lt;$F54+($G54*$I54)),"➤",""),"")</f>
        <v/>
      </c>
      <c r="BW54" s="76" t="str">
        <f aca="false">IF($I54&gt;0%,IF(AND(BW$16&gt;=$F54,BW$16&lt;$F54+($G54*$I54)),"➤",""),"")</f>
        <v/>
      </c>
      <c r="BX54" s="76" t="str">
        <f aca="false">IF($I54&gt;0%,IF(AND(BX$16&gt;=$F54,BX$16&lt;$F54+($G54*$I54)),"➤",""),"")</f>
        <v/>
      </c>
      <c r="BY54" s="76" t="str">
        <f aca="false">IF($I54&gt;0%,IF(AND(BY$16&gt;=$F54,BY$16&lt;$F54+($G54*$I54)),"➤",""),"")</f>
        <v/>
      </c>
      <c r="BZ54" s="76" t="str">
        <f aca="false">IF($I54&gt;0%,IF(AND(BZ$16&gt;=$F54,BZ$16&lt;$F54+($G54*$I54)),"➤",""),"")</f>
        <v/>
      </c>
      <c r="CA54" s="76" t="str">
        <f aca="false">IF($I54&gt;0%,IF(AND(CA$16&gt;=$F54,CA$16&lt;$F54+($G54*$I54)),"➤",""),"")</f>
        <v/>
      </c>
      <c r="CB54" s="76" t="str">
        <f aca="false">IF($I54&gt;0%,IF(AND(CB$16&gt;=$F54,CB$16&lt;$F54+($G54*$I54)),"➤",""),"")</f>
        <v/>
      </c>
      <c r="CC54" s="76" t="str">
        <f aca="false">IF($I54&gt;0%,IF(AND(CC$16&gt;=$F54,CC$16&lt;$F54+($G54*$I54)),"➤",""),"")</f>
        <v/>
      </c>
      <c r="CD54" s="76" t="str">
        <f aca="false">IF($I54&gt;0%,IF(AND(CD$16&gt;=$F54,CD$16&lt;$F54+($G54*$I54)),"➤",""),"")</f>
        <v/>
      </c>
      <c r="CE54" s="76" t="str">
        <f aca="false">IF($I54&gt;0%,IF(AND(CE$16&gt;=$F54,CE$16&lt;$F54+($G54*$I54)),"➤",""),"")</f>
        <v/>
      </c>
      <c r="CF54" s="76" t="str">
        <f aca="false">IF($I54&gt;0%,IF(AND(CF$16&gt;=$F54,CF$16&lt;$F54+($G54*$I54)),"➤",""),"")</f>
        <v/>
      </c>
      <c r="CG54" s="76" t="str">
        <f aca="false">IF($I54&gt;0%,IF(AND(CG$16&gt;=$F54,CG$16&lt;$F54+($G54*$I54)),"➤",""),"")</f>
        <v/>
      </c>
      <c r="CH54" s="76" t="str">
        <f aca="false">IF($I54&gt;0%,IF(AND(CH$16&gt;=$F54,CH$16&lt;$F54+($G54*$I54)),"➤",""),"")</f>
        <v/>
      </c>
      <c r="CI54" s="76" t="str">
        <f aca="false">IF($I54&gt;0%,IF(AND(CI$16&gt;=$F54,CI$16&lt;$F54+($G54*$I54)),"➤",""),"")</f>
        <v/>
      </c>
      <c r="CJ54" s="76" t="str">
        <f aca="false">IF($I54&gt;0%,IF(AND(CJ$16&gt;=$F54,CJ$16&lt;$F54+($G54*$I54)),"➤",""),"")</f>
        <v/>
      </c>
      <c r="CK54" s="76" t="str">
        <f aca="false">IF($I54&gt;0%,IF(AND(CK$16&gt;=$F54,CK$16&lt;$F54+($G54*$I54)),"➤",""),"")</f>
        <v/>
      </c>
      <c r="CL54" s="76" t="str">
        <f aca="false">IF($I54&gt;0%,IF(AND(CL$16&gt;=$F54,CL$16&lt;$F54+($G54*$I54)),"➤",""),"")</f>
        <v/>
      </c>
      <c r="CM54" s="76" t="str">
        <f aca="false">IF($I54&gt;0%,IF(AND(CM$16&gt;=$F54,CM$16&lt;$F54+($G54*$I54)),"➤",""),"")</f>
        <v/>
      </c>
      <c r="CN54" s="76" t="str">
        <f aca="false">IF($I54&gt;0%,IF(AND(CN$16&gt;=$F54,CN$16&lt;$F54+($G54*$I54)),"➤",""),"")</f>
        <v/>
      </c>
      <c r="CO54" s="76" t="str">
        <f aca="false">IF($I54&gt;0%,IF(AND(CO$16&gt;=$F54,CO$16&lt;$F54+($G54*$I54)),"➤",""),"")</f>
        <v/>
      </c>
      <c r="CP54" s="76" t="str">
        <f aca="false">IF($I54&gt;0%,IF(AND(CP$16&gt;=$F54,CP$16&lt;$F54+($G54*$I54)),"➤",""),"")</f>
        <v/>
      </c>
      <c r="CQ54" s="76" t="str">
        <f aca="false">IF($I54&gt;0%,IF(AND(CQ$16&gt;=$F54,CQ$16&lt;$F54+($G54*$I54)),"➤",""),"")</f>
        <v/>
      </c>
      <c r="CR54" s="76" t="str">
        <f aca="false">IF($I54&gt;0%,IF(AND(CR$16&gt;=$F54,CR$16&lt;$F54+($G54*$I54)),"➤",""),"")</f>
        <v/>
      </c>
      <c r="CS54" s="76" t="str">
        <f aca="false">IF($I54&gt;0%,IF(AND(CS$16&gt;=$F54,CS$16&lt;$F54+($G54*$I54)),"➤",""),"")</f>
        <v/>
      </c>
      <c r="CT54" s="76" t="str">
        <f aca="false">IF($I54&gt;0%,IF(AND(CT$16&gt;=$F54,CT$16&lt;$F54+($G54*$I54)),"➤",""),"")</f>
        <v/>
      </c>
      <c r="CU54" s="76" t="str">
        <f aca="false">IF($I54&gt;0%,IF(AND(CU$16&gt;=$F54,CU$16&lt;$F54+($G54*$I54)),"➤",""),"")</f>
        <v/>
      </c>
      <c r="CV54" s="76" t="str">
        <f aca="false">IF($I54&gt;0%,IF(AND(CV$16&gt;=$F54,CV$16&lt;$F54+($G54*$I54)),"➤",""),"")</f>
        <v/>
      </c>
      <c r="CW54" s="76" t="str">
        <f aca="false">IF($I54&gt;0%,IF(AND(CW$16&gt;=$F54,CW$16&lt;$F54+($G54*$I54)),"➤",""),"")</f>
        <v/>
      </c>
      <c r="CX54" s="76" t="str">
        <f aca="false">IF($I54&gt;0%,IF(AND(CX$16&gt;=$F54,CX$16&lt;$F54+($G54*$I54)),"➤",""),"")</f>
        <v/>
      </c>
      <c r="CY54" s="76" t="str">
        <f aca="false">IF($I54&gt;0%,IF(AND(CY$16&gt;=$F54,CY$16&lt;$F54+($G54*$I54)),"➤",""),"")</f>
        <v/>
      </c>
      <c r="CZ54" s="76" t="str">
        <f aca="false">IF($I54&gt;0%,IF(AND(CZ$16&gt;=$F54,CZ$16&lt;$F54+($G54*$I54)),"➤",""),"")</f>
        <v/>
      </c>
      <c r="DA54" s="76" t="str">
        <f aca="false">IF($I54&gt;0%,IF(AND(DA$16&gt;=$F54,DA$16&lt;$F54+($G54*$I54)),"➤",""),"")</f>
        <v/>
      </c>
      <c r="DB54" s="76" t="str">
        <f aca="false">IF($I54&gt;0%,IF(AND(DB$16&gt;=$F54,DB$16&lt;$F54+($G54*$I54)),"➤",""),"")</f>
        <v/>
      </c>
      <c r="DC54" s="76" t="str">
        <f aca="false">IF($I54&gt;0%,IF(AND(DC$16&gt;=$F54,DC$16&lt;$F54+($G54*$I54)),"➤",""),"")</f>
        <v/>
      </c>
      <c r="DD54" s="76" t="str">
        <f aca="false">IF($I54&gt;0%,IF(AND(DD$16&gt;=$F54,DD$16&lt;$F54+($G54*$I54)),"➤",""),"")</f>
        <v/>
      </c>
      <c r="DE54" s="76" t="str">
        <f aca="false">IF($I54&gt;0%,IF(AND(DE$16&gt;=$F54,DE$16&lt;$F54+($G54*$I54)),"➤",""),"")</f>
        <v/>
      </c>
      <c r="DF54" s="76" t="str">
        <f aca="false">IF($I54&gt;0%,IF(AND(DF$16&gt;=$F54,DF$16&lt;$F54+($G54*$I54)),"➤",""),"")</f>
        <v/>
      </c>
      <c r="DG54" s="76" t="str">
        <f aca="false">IF($I54&gt;0%,IF(AND(DG$16&gt;=$F54,DG$16&lt;$F54+($G54*$I54)),"➤",""),"")</f>
        <v/>
      </c>
      <c r="DH54" s="76" t="str">
        <f aca="false">IF($I54&gt;0%,IF(AND(DH$16&gt;=$F54,DH$16&lt;$F54+($G54*$I54)),"➤",""),"")</f>
        <v/>
      </c>
      <c r="DI54" s="76" t="str">
        <f aca="false">IF($I54&gt;0%,IF(AND(DI$16&gt;=$F54,DI$16&lt;$F54+($G54*$I54)),"➤",""),"")</f>
        <v/>
      </c>
      <c r="DJ54" s="76" t="str">
        <f aca="false">IF($I54&gt;0%,IF(AND(DJ$16&gt;=$F54,DJ$16&lt;$F54+($G54*$I54)),"➤",""),"")</f>
        <v/>
      </c>
      <c r="DK54" s="76" t="str">
        <f aca="false">IF($I54&gt;0%,IF(AND(DK$16&gt;=$F54,DK$16&lt;$F54+($G54*$I54)),"➤",""),"")</f>
        <v/>
      </c>
      <c r="DL54" s="76" t="str">
        <f aca="false">IF($I54&gt;0%,IF(AND(DL$16&gt;=$F54,DL$16&lt;$F54+($G54*$I54)),"➤",""),"")</f>
        <v/>
      </c>
      <c r="DM54" s="76" t="str">
        <f aca="false">IF($I54&gt;0%,IF(AND(DM$16&gt;=$F54,DM$16&lt;$F54+($G54*$I54)),"➤",""),"")</f>
        <v/>
      </c>
      <c r="DN54" s="76" t="str">
        <f aca="false">IF($I54&gt;0%,IF(AND(DN$16&gt;=$F54,DN$16&lt;$F54+($G54*$I54)),"➤",""),"")</f>
        <v/>
      </c>
      <c r="DO54" s="76" t="str">
        <f aca="false">IF($I54&gt;0%,IF(AND(DO$16&gt;=$F54,DO$16&lt;$F54+($G54*$I54)),"➤",""),"")</f>
        <v/>
      </c>
      <c r="DP54" s="76" t="str">
        <f aca="false">IF($I54&gt;0%,IF(AND(DP$16&gt;=$F54,DP$16&lt;$F54+($G54*$I54)),"➤",""),"")</f>
        <v/>
      </c>
      <c r="DQ54" s="76" t="str">
        <f aca="false">IF($I54&gt;0%,IF(AND(DQ$16&gt;=$F54,DQ$16&lt;$F54+($G54*$I54)),"➤",""),"")</f>
        <v/>
      </c>
      <c r="DR54" s="76" t="str">
        <f aca="false">IF($I54&gt;0%,IF(AND(DR$16&gt;=$F54,DR$16&lt;$F54+($G54*$I54)),"➤",""),"")</f>
        <v/>
      </c>
      <c r="DS54" s="76" t="str">
        <f aca="false">IF($I54&gt;0%,IF(AND(DS$16&gt;=$F54,DS$16&lt;$F54+($G54*$I54)),"➤",""),"")</f>
        <v/>
      </c>
      <c r="DT54" s="76" t="str">
        <f aca="false">IF($I54&gt;0%,IF(AND(DT$16&gt;=$F54,DT$16&lt;$F54+($G54*$I54)),"➤",""),"")</f>
        <v/>
      </c>
      <c r="DU54" s="76" t="str">
        <f aca="false">IF($I54&gt;0%,IF(AND(DU$16&gt;=$F54,DU$16&lt;$F54+($G54*$I54)),"➤",""),"")</f>
        <v/>
      </c>
      <c r="DV54" s="76" t="str">
        <f aca="false">IF($I54&gt;0%,IF(AND(DV$16&gt;=$F54,DV$16&lt;$F54+($G54*$I54)),"➤",""),"")</f>
        <v/>
      </c>
      <c r="DW54" s="76" t="str">
        <f aca="false">IF($I54&gt;0%,IF(AND(DW$16&gt;=$F54,DW$16&lt;$F54+($G54*$I54)),"➤",""),"")</f>
        <v/>
      </c>
      <c r="DX54" s="76" t="str">
        <f aca="false">IF($I54&gt;0%,IF(AND(DX$16&gt;=$F54,DX$16&lt;$F54+($G54*$I54)),"➤",""),"")</f>
        <v/>
      </c>
      <c r="DY54" s="76" t="str">
        <f aca="false">IF($I54&gt;0%,IF(AND(DY$16&gt;=$F54,DY$16&lt;$F54+($G54*$I54)),"➤",""),"")</f>
        <v/>
      </c>
      <c r="DZ54" s="76" t="str">
        <f aca="false">IF($I54&gt;0%,IF(AND(DZ$16&gt;=$F54,DZ$16&lt;$F54+($G54*$I54)),"➤",""),"")</f>
        <v/>
      </c>
      <c r="EA54" s="76" t="str">
        <f aca="false">IF($I54&gt;0%,IF(AND(EA$16&gt;=$F54,EA$16&lt;$F54+($G54*$I54)),"➤",""),"")</f>
        <v/>
      </c>
      <c r="EB54" s="76" t="str">
        <f aca="false">IF($I54&gt;0%,IF(AND(EB$16&gt;=$F54,EB$16&lt;$F54+($G54*$I54)),"➤",""),"")</f>
        <v/>
      </c>
      <c r="EC54" s="76" t="str">
        <f aca="false">IF($I54&gt;0%,IF(AND(EC$16&gt;=$F54,EC$16&lt;$F54+($G54*$I54)),"➤",""),"")</f>
        <v/>
      </c>
      <c r="ED54" s="76" t="str">
        <f aca="false">IF($I54&gt;0%,IF(AND(ED$16&gt;=$F54,ED$16&lt;$F54+($G54*$I54)),"➤",""),"")</f>
        <v/>
      </c>
      <c r="EE54" s="76" t="str">
        <f aca="false">IF($I54&gt;0%,IF(AND(EE$16&gt;=$F54,EE$16&lt;$F54+($G54*$I54)),"➤",""),"")</f>
        <v/>
      </c>
      <c r="EF54" s="76" t="str">
        <f aca="false">IF($I54&gt;0%,IF(AND(EF$16&gt;=$F54,EF$16&lt;$F54+($G54*$I54)),"➤",""),"")</f>
        <v/>
      </c>
      <c r="EG54" s="76" t="str">
        <f aca="false">IF($I54&gt;0%,IF(AND(EG$16&gt;=$F54,EG$16&lt;$F54+($G54*$I54)),"➤",""),"")</f>
        <v/>
      </c>
      <c r="EH54" s="76" t="str">
        <f aca="false">IF($I54&gt;0%,IF(AND(EH$16&gt;=$F54,EH$16&lt;$F54+($G54*$I54)),"➤",""),"")</f>
        <v/>
      </c>
      <c r="EI54" s="76" t="str">
        <f aca="false">IF($I54&gt;0%,IF(AND(EI$16&gt;=$F54,EI$16&lt;$F54+($G54*$I54)),"➤",""),"")</f>
        <v/>
      </c>
      <c r="EJ54" s="76" t="str">
        <f aca="false">IF($I54&gt;0%,IF(AND(EJ$16&gt;=$F54,EJ$16&lt;$F54+($G54*$I54)),"➤",""),"")</f>
        <v/>
      </c>
      <c r="EK54" s="76" t="str">
        <f aca="false">IF($I54&gt;0%,IF(AND(EK$16&gt;=$F54,EK$16&lt;$F54+($G54*$I54)),"➤",""),"")</f>
        <v/>
      </c>
      <c r="EL54" s="76" t="str">
        <f aca="false">IF($I54&gt;0%,IF(AND(EL$16&gt;=$F54,EL$16&lt;$F54+($G54*$I54)),"➤",""),"")</f>
        <v/>
      </c>
      <c r="EM54" s="76" t="str">
        <f aca="false">IF($I54&gt;0%,IF(AND(EM$16&gt;=$F54,EM$16&lt;$F54+($G54*$I54)),"➤",""),"")</f>
        <v/>
      </c>
      <c r="EN54" s="76" t="str">
        <f aca="false">IF($I54&gt;0%,IF(AND(EN$16&gt;=$F54,EN$16&lt;$F54+($G54*$I54)),"➤",""),"")</f>
        <v/>
      </c>
      <c r="EO54" s="76" t="str">
        <f aca="false">IF($I54&gt;0%,IF(AND(EO$16&gt;=$F54,EO$16&lt;$F54+($G54*$I54)),"➤",""),"")</f>
        <v/>
      </c>
      <c r="EP54" s="76" t="str">
        <f aca="false">IF($I54&gt;0%,IF(AND(EP$16&gt;=$F54,EP$16&lt;$F54+($G54*$I54)),"➤",""),"")</f>
        <v/>
      </c>
      <c r="EQ54" s="76" t="str">
        <f aca="false">IF($I54&gt;0%,IF(AND(EQ$16&gt;=$F54,EQ$16&lt;$F54+($G54*$I54)),"➤",""),"")</f>
        <v/>
      </c>
      <c r="ER54" s="76" t="str">
        <f aca="false">IF($I54&gt;0%,IF(AND(ER$16&gt;=$F54,ER$16&lt;$F54+($G54*$I54)),"➤",""),"")</f>
        <v/>
      </c>
      <c r="ES54" s="76" t="str">
        <f aca="false">IF($I54&gt;0%,IF(AND(ES$16&gt;=$F54,ES$16&lt;$F54+($G54*$I54)),"➤",""),"")</f>
        <v/>
      </c>
      <c r="ET54" s="76" t="str">
        <f aca="false">IF($I54&gt;0%,IF(AND(ET$16&gt;=$F54,ET$16&lt;$F54+($G54*$I54)),"➤",""),"")</f>
        <v/>
      </c>
      <c r="EU54" s="76" t="str">
        <f aca="false">IF($I54&gt;0%,IF(AND(EU$16&gt;=$F54,EU$16&lt;$F54+($G54*$I54)),"➤",""),"")</f>
        <v/>
      </c>
      <c r="EV54" s="76" t="str">
        <f aca="false">IF($I54&gt;0%,IF(AND(EV$16&gt;=$F54,EV$16&lt;$F54+($G54*$I54)),"➤",""),"")</f>
        <v/>
      </c>
      <c r="EW54" s="76" t="str">
        <f aca="false">IF($I54&gt;0%,IF(AND(EW$16&gt;=$F54,EW$16&lt;$F54+($G54*$I54)),"➤",""),"")</f>
        <v/>
      </c>
      <c r="EX54" s="76" t="str">
        <f aca="false">IF($I54&gt;0%,IF(AND(EX$16&gt;=$F54,EX$16&lt;$F54+($G54*$I54)),"➤",""),"")</f>
        <v/>
      </c>
      <c r="EY54" s="76" t="str">
        <f aca="false">IF($I54&gt;0%,IF(AND(EY$16&gt;=$F54,EY$16&lt;$F54+($G54*$I54)),"➤",""),"")</f>
        <v/>
      </c>
      <c r="EZ54" s="76" t="str">
        <f aca="false">IF($I54&gt;0%,IF(AND(EZ$16&gt;=$F54,EZ$16&lt;$F54+($G54*$I54)),"➤",""),"")</f>
        <v/>
      </c>
      <c r="FA54" s="76" t="str">
        <f aca="false">IF($I54&gt;0%,IF(AND(FA$16&gt;=$F54,FA$16&lt;$F54+($G54*$I54)),"➤",""),"")</f>
        <v/>
      </c>
      <c r="FB54" s="76" t="str">
        <f aca="false">IF($I54&gt;0%,IF(AND(FB$16&gt;=$F54,FB$16&lt;$F54+($G54*$I54)),"➤",""),"")</f>
        <v/>
      </c>
      <c r="FC54" s="76" t="str">
        <f aca="false">IF($I54&gt;0%,IF(AND(FC$16&gt;=$F54,FC$16&lt;$F54+($G54*$I54)),"➤",""),"")</f>
        <v/>
      </c>
      <c r="FD54" s="76" t="str">
        <f aca="false">IF($I54&gt;0%,IF(AND(FD$16&gt;=$F54,FD$16&lt;$F54+($G54*$I54)),"➤",""),"")</f>
        <v/>
      </c>
      <c r="FE54" s="76" t="str">
        <f aca="false">IF($I54&gt;0%,IF(AND(FE$16&gt;=$F54,FE$16&lt;$F54+($G54*$I54)),"➤",""),"")</f>
        <v/>
      </c>
      <c r="FF54" s="76" t="str">
        <f aca="false">IF($I54&gt;0%,IF(AND(FF$16&gt;=$F54,FF$16&lt;$F54+($G54*$I54)),"➤",""),"")</f>
        <v/>
      </c>
      <c r="FG54" s="76" t="str">
        <f aca="false">IF($I54&gt;0%,IF(AND(FG$16&gt;=$F54,FG$16&lt;$F54+($G54*$I54)),"➤",""),"")</f>
        <v/>
      </c>
      <c r="FH54" s="76" t="str">
        <f aca="false">IF($I54&gt;0%,IF(AND(FH$16&gt;=$F54,FH$16&lt;$F54+($G54*$I54)),"➤",""),"")</f>
        <v/>
      </c>
      <c r="FI54" s="76" t="str">
        <f aca="false">IF($I54&gt;0%,IF(AND(FI$16&gt;=$F54,FI$16&lt;$F54+($G54*$I54)),"➤",""),"")</f>
        <v/>
      </c>
      <c r="FJ54" s="76" t="str">
        <f aca="false">IF($I54&gt;0%,IF(AND(FJ$16&gt;=$F54,FJ$16&lt;$F54+($G54*$I54)),"➤",""),"")</f>
        <v/>
      </c>
      <c r="FK54" s="76" t="str">
        <f aca="false">IF($I54&gt;0%,IF(AND(FK$16&gt;=$F54,FK$16&lt;$F54+($G54*$I54)),"➤",""),"")</f>
        <v/>
      </c>
      <c r="FL54" s="76" t="str">
        <f aca="false">IF($I54&gt;0%,IF(AND(FL$16&gt;=$F54,FL$16&lt;$F54+($G54*$I54)),"➤",""),"")</f>
        <v/>
      </c>
      <c r="FM54" s="76" t="str">
        <f aca="false">IF($I54&gt;0%,IF(AND(FM$16&gt;=$F54,FM$16&lt;$F54+($G54*$I54)),"➤",""),"")</f>
        <v/>
      </c>
      <c r="FN54" s="76" t="str">
        <f aca="false">IF($I54&gt;0%,IF(AND(FN$16&gt;=$F54,FN$16&lt;$F54+($G54*$I54)),"➤",""),"")</f>
        <v/>
      </c>
      <c r="FO54" s="76" t="str">
        <f aca="false">IF($I54&gt;0%,IF(AND(FO$16&gt;=$F54,FO$16&lt;$F54+($G54*$I54)),"➤",""),"")</f>
        <v/>
      </c>
      <c r="FP54" s="76" t="str">
        <f aca="false">IF($I54&gt;0%,IF(AND(FP$16&gt;=$F54,FP$16&lt;$F54+($G54*$I54)),"➤",""),"")</f>
        <v/>
      </c>
      <c r="FQ54" s="76" t="str">
        <f aca="false">IF($I54&gt;0%,IF(AND(FQ$16&gt;=$F54,FQ$16&lt;$F54+($G54*$I54)),"➤",""),"")</f>
        <v/>
      </c>
      <c r="FR54" s="76" t="str">
        <f aca="false">IF($I54&gt;0%,IF(AND(FR$16&gt;=$F54,FR$16&lt;$F54+($G54*$I54)),"➤",""),"")</f>
        <v/>
      </c>
      <c r="FS54" s="76" t="str">
        <f aca="false">IF($I54&gt;0%,IF(AND(FS$16&gt;=$F54,FS$16&lt;$F54+($G54*$I54)),"➤",""),"")</f>
        <v/>
      </c>
      <c r="FT54" s="76" t="str">
        <f aca="false">IF($I54&gt;0%,IF(AND(FT$16&gt;=$F54,FT$16&lt;$F54+($G54*$I54)),"➤",""),"")</f>
        <v/>
      </c>
      <c r="FU54" s="76" t="str">
        <f aca="false">IF($I54&gt;0%,IF(AND(FU$16&gt;=$F54,FU$16&lt;$F54+($G54*$I54)),"➤",""),"")</f>
        <v/>
      </c>
      <c r="FV54" s="76" t="str">
        <f aca="false">IF($I54&gt;0%,IF(AND(FV$16&gt;=$F54,FV$16&lt;$F54+($G54*$I54)),"➤",""),"")</f>
        <v/>
      </c>
      <c r="FW54" s="76" t="str">
        <f aca="false">IF($I54&gt;0%,IF(AND(FW$16&gt;=$F54,FW$16&lt;$F54+($G54*$I54)),"➤",""),"")</f>
        <v/>
      </c>
      <c r="FX54" s="76" t="str">
        <f aca="false">IF($I54&gt;0%,IF(AND(FX$16&gt;=$F54,FX$16&lt;$F54+($G54*$I54)),"➤",""),"")</f>
        <v/>
      </c>
      <c r="FY54" s="76" t="str">
        <f aca="false">IF($I54&gt;0%,IF(AND(FY$16&gt;=$F54,FY$16&lt;$F54+($G54*$I54)),"➤",""),"")</f>
        <v/>
      </c>
      <c r="FZ54" s="76" t="str">
        <f aca="false">IF($I54&gt;0%,IF(AND(FZ$16&gt;=$F54,FZ$16&lt;$F54+($G54*$I54)),"➤",""),"")</f>
        <v/>
      </c>
      <c r="GA54" s="76" t="str">
        <f aca="false">IF($I54&gt;0%,IF(AND(GA$16&gt;=$F54,GA$16&lt;$F54+($G54*$I54)),"➤",""),"")</f>
        <v/>
      </c>
      <c r="GB54" s="76" t="str">
        <f aca="false">IF($I54&gt;0%,IF(AND(GB$16&gt;=$F54,GB$16&lt;$F54+($G54*$I54)),"➤",""),"")</f>
        <v/>
      </c>
      <c r="GC54" s="76" t="str">
        <f aca="false">IF($I54&gt;0%,IF(AND(GC$16&gt;=$F54,GC$16&lt;$F54+($G54*$I54)),"➤",""),"")</f>
        <v/>
      </c>
      <c r="GD54" s="76" t="str">
        <f aca="false">IF($I54&gt;0%,IF(AND(GD$16&gt;=$F54,GD$16&lt;$F54+($G54*$I54)),"➤",""),"")</f>
        <v/>
      </c>
      <c r="GE54" s="76" t="str">
        <f aca="false">IF($I54&gt;0%,IF(AND(GE$16&gt;=$F54,GE$16&lt;$F54+($G54*$I54)),"➤",""),"")</f>
        <v/>
      </c>
      <c r="GF54" s="76" t="str">
        <f aca="false">IF($I54&gt;0%,IF(AND(GF$16&gt;=$F54,GF$16&lt;$F54+($G54*$I54)),"➤",""),"")</f>
        <v/>
      </c>
      <c r="GG54" s="76" t="str">
        <f aca="false">IF($I54&gt;0%,IF(AND(GG$16&gt;=$F54,GG$16&lt;$F54+($G54*$I54)),"➤",""),"")</f>
        <v/>
      </c>
      <c r="GH54" s="76" t="str">
        <f aca="false">IF($I54&gt;0%,IF(AND(GH$16&gt;=$F54,GH$16&lt;$F54+($G54*$I54)),"➤",""),"")</f>
        <v/>
      </c>
      <c r="GI54" s="76" t="str">
        <f aca="false">IF($I54&gt;0%,IF(AND(GI$16&gt;=$F54,GI$16&lt;$F54+($G54*$I54)),"➤",""),"")</f>
        <v/>
      </c>
      <c r="GJ54" s="76" t="str">
        <f aca="false">IF($I54&gt;0%,IF(AND(GJ$16&gt;=$F54,GJ$16&lt;$F54+($G54*$I54)),"➤",""),"")</f>
        <v/>
      </c>
      <c r="GK54" s="76" t="str">
        <f aca="false">IF($I54&gt;0%,IF(AND(GK$16&gt;=$F54,GK$16&lt;$F54+($G54*$I54)),"➤",""),"")</f>
        <v/>
      </c>
      <c r="GL54" s="76" t="str">
        <f aca="false">IF($I54&gt;0%,IF(AND(GL$16&gt;=$F54,GL$16&lt;$F54+($G54*$I54)),"➤",""),"")</f>
        <v/>
      </c>
      <c r="GM54" s="76" t="str">
        <f aca="false">IF($I54&gt;0%,IF(AND(GM$16&gt;=$F54,GM$16&lt;$F54+($G54*$I54)),"➤",""),"")</f>
        <v/>
      </c>
      <c r="GN54" s="76" t="str">
        <f aca="false">IF($I54&gt;0%,IF(AND(GN$16&gt;=$F54,GN$16&lt;$F54+($G54*$I54)),"➤",""),"")</f>
        <v/>
      </c>
      <c r="GO54" s="76" t="str">
        <f aca="false">IF($I54&gt;0%,IF(AND(GO$16&gt;=$F54,GO$16&lt;$F54+($G54*$I54)),"➤",""),"")</f>
        <v/>
      </c>
      <c r="GP54" s="76" t="str">
        <f aca="false">IF($I54&gt;0%,IF(AND(GP$16&gt;=$F54,GP$16&lt;$F54+($G54*$I54)),"➤",""),"")</f>
        <v/>
      </c>
      <c r="GQ54" s="76" t="str">
        <f aca="false">IF($I54&gt;0%,IF(AND(GQ$16&gt;=$F54,GQ$16&lt;$F54+($G54*$I54)),"➤",""),"")</f>
        <v/>
      </c>
      <c r="GR54" s="76" t="str">
        <f aca="false">IF($I54&gt;0%,IF(AND(GR$16&gt;=$F54,GR$16&lt;$F54+($G54*$I54)),"➤",""),"")</f>
        <v/>
      </c>
      <c r="GS54" s="76" t="str">
        <f aca="false">IF($I54&gt;0%,IF(AND(GS$16&gt;=$F54,GS$16&lt;$F54+($G54*$I54)),"➤",""),"")</f>
        <v/>
      </c>
      <c r="GT54" s="76" t="str">
        <f aca="false">IF($I54&gt;0%,IF(AND(GT$16&gt;=$F54,GT$16&lt;$F54+($G54*$I54)),"➤",""),"")</f>
        <v/>
      </c>
      <c r="GU54" s="76" t="str">
        <f aca="false">IF($I54&gt;0%,IF(AND(GU$16&gt;=$F54,GU$16&lt;$F54+($G54*$I54)),"➤",""),"")</f>
        <v/>
      </c>
      <c r="GV54" s="76" t="str">
        <f aca="false">IF($I54&gt;0%,IF(AND(GV$16&gt;=$F54,GV$16&lt;$F54+($G54*$I54)),"➤",""),"")</f>
        <v/>
      </c>
      <c r="GW54" s="76" t="str">
        <f aca="false">IF($I54&gt;0%,IF(AND(GW$16&gt;=$F54,GW$16&lt;$F54+($G54*$I54)),"➤",""),"")</f>
        <v/>
      </c>
      <c r="GX54" s="76" t="str">
        <f aca="false">IF($I54&gt;0%,IF(AND(GX$16&gt;=$F54,GX$16&lt;$F54+($G54*$I54)),"➤",""),"")</f>
        <v/>
      </c>
      <c r="GY54" s="76" t="str">
        <f aca="false">IF($I54&gt;0%,IF(AND(GY$16&gt;=$F54,GY$16&lt;$F54+($G54*$I54)),"➤",""),"")</f>
        <v/>
      </c>
      <c r="GZ54" s="76" t="str">
        <f aca="false">IF($I54&gt;0%,IF(AND(GZ$16&gt;=$F54,GZ$16&lt;$F54+($G54*$I54)),"➤",""),"")</f>
        <v/>
      </c>
      <c r="HA54" s="76" t="str">
        <f aca="false">IF($I54&gt;0%,IF(AND(HA$16&gt;=$F54,HA$16&lt;$F54+($G54*$I54)),"➤",""),"")</f>
        <v/>
      </c>
      <c r="HB54" s="76" t="str">
        <f aca="false">IF($I54&gt;0%,IF(AND(HB$16&gt;=$F54,HB$16&lt;$F54+($G54*$I54)),"➤",""),"")</f>
        <v/>
      </c>
      <c r="HC54" s="76" t="str">
        <f aca="false">IF($I54&gt;0%,IF(AND(HC$16&gt;=$F54,HC$16&lt;$F54+($G54*$I54)),"➤",""),"")</f>
        <v/>
      </c>
      <c r="HD54" s="76" t="str">
        <f aca="false">IF($I54&gt;0%,IF(AND(HD$16&gt;=$F54,HD$16&lt;$F54+($G54*$I54)),"➤",""),"")</f>
        <v/>
      </c>
      <c r="HE54" s="76" t="str">
        <f aca="false">IF($I54&gt;0%,IF(AND(HE$16&gt;=$F54,HE$16&lt;$F54+($G54*$I54)),"➤",""),"")</f>
        <v/>
      </c>
      <c r="HF54" s="76" t="str">
        <f aca="false">IF($I54&gt;0%,IF(AND(HF$16&gt;=$F54,HF$16&lt;$F54+($G54*$I54)),"➤",""),"")</f>
        <v/>
      </c>
      <c r="HG54" s="76" t="str">
        <f aca="false">IF($I54&gt;0%,IF(AND(HG$16&gt;=$F54,HG$16&lt;$F54+($G54*$I54)),"➤",""),"")</f>
        <v/>
      </c>
      <c r="HH54" s="76" t="str">
        <f aca="false">IF($I54&gt;0%,IF(AND(HH$16&gt;=$F54,HH$16&lt;$F54+($G54*$I54)),"➤",""),"")</f>
        <v/>
      </c>
      <c r="HI54" s="76" t="str">
        <f aca="false">IF($I54&gt;0%,IF(AND(HI$16&gt;=$F54,HI$16&lt;$F54+($G54*$I54)),"➤",""),"")</f>
        <v/>
      </c>
      <c r="HJ54" s="76" t="str">
        <f aca="false">IF($I54&gt;0%,IF(AND(HJ$16&gt;=$F54,HJ$16&lt;$F54+($G54*$I54)),"➤",""),"")</f>
        <v/>
      </c>
      <c r="HK54" s="76" t="str">
        <f aca="false">IF($I54&gt;0%,IF(AND(HK$16&gt;=$F54,HK$16&lt;$F54+($G54*$I54)),"➤",""),"")</f>
        <v/>
      </c>
      <c r="HL54" s="76" t="str">
        <f aca="false">IF($I54&gt;0%,IF(AND(HL$16&gt;=$F54,HL$16&lt;$F54+($G54*$I54)),"➤",""),"")</f>
        <v/>
      </c>
      <c r="HM54" s="76" t="str">
        <f aca="false">IF($I54&gt;0%,IF(AND(HM$16&gt;=$F54,HM$16&lt;$F54+($G54*$I54)),"➤",""),"")</f>
        <v/>
      </c>
      <c r="HN54" s="76" t="str">
        <f aca="false">IF($I54&gt;0%,IF(AND(HN$16&gt;=$F54,HN$16&lt;$F54+($G54*$I54)),"➤",""),"")</f>
        <v/>
      </c>
      <c r="HO54" s="76" t="str">
        <f aca="false">IF($I54&gt;0%,IF(AND(HO$16&gt;=$F54,HO$16&lt;$F54+($G54*$I54)),"➤",""),"")</f>
        <v/>
      </c>
      <c r="HP54" s="76" t="str">
        <f aca="false">IF($I54&gt;0%,IF(AND(HP$16&gt;=$F54,HP$16&lt;$F54+($G54*$I54)),"➤",""),"")</f>
        <v/>
      </c>
      <c r="HQ54" s="76" t="str">
        <f aca="false">IF($I54&gt;0%,IF(AND(HQ$16&gt;=$F54,HQ$16&lt;$F54+($G54*$I54)),"➤",""),"")</f>
        <v/>
      </c>
      <c r="HR54" s="76" t="str">
        <f aca="false">IF($I54&gt;0%,IF(AND(HR$16&gt;=$F54,HR$16&lt;$F54+($G54*$I54)),"➤",""),"")</f>
        <v/>
      </c>
      <c r="HS54" s="76" t="str">
        <f aca="false">IF($I54&gt;0%,IF(AND(HS$16&gt;=$F54,HS$16&lt;$F54+($G54*$I54)),"➤",""),"")</f>
        <v/>
      </c>
      <c r="HT54" s="76" t="str">
        <f aca="false">IF($I54&gt;0%,IF(AND(HT$16&gt;=$F54,HT$16&lt;$F54+($G54*$I54)),"➤",""),"")</f>
        <v/>
      </c>
      <c r="HU54" s="76" t="str">
        <f aca="false">IF($I54&gt;0%,IF(AND(HU$16&gt;=$F54,HU$16&lt;$F54+($G54*$I54)),"➤",""),"")</f>
        <v/>
      </c>
      <c r="HV54" s="76" t="str">
        <f aca="false">IF($I54&gt;0%,IF(AND(HV$16&gt;=$F54,HV$16&lt;$F54+($G54*$I54)),"➤",""),"")</f>
        <v/>
      </c>
      <c r="HW54" s="76" t="str">
        <f aca="false">IF($I54&gt;0%,IF(AND(HW$16&gt;=$F54,HW$16&lt;$F54+($G54*$I54)),"➤",""),"")</f>
        <v/>
      </c>
      <c r="HX54" s="76" t="str">
        <f aca="false">IF($I54&gt;0%,IF(AND(HX$16&gt;=$F54,HX$16&lt;$F54+($G54*$I54)),"➤",""),"")</f>
        <v/>
      </c>
      <c r="HY54" s="76" t="str">
        <f aca="false">IF($I54&gt;0%,IF(AND(HY$16&gt;=$F54,HY$16&lt;$F54+($G54*$I54)),"➤",""),"")</f>
        <v/>
      </c>
      <c r="HZ54" s="76" t="str">
        <f aca="false">IF($I54&gt;0%,IF(AND(HZ$16&gt;=$F54,HZ$16&lt;$F54+($G54*$I54)),"➤",""),"")</f>
        <v/>
      </c>
      <c r="IA54" s="76" t="str">
        <f aca="false">IF($I54&gt;0%,IF(AND(IA$16&gt;=$F54,IA$16&lt;$F54+($G54*$I54)),"➤",""),"")</f>
        <v/>
      </c>
      <c r="IB54" s="76" t="str">
        <f aca="false">IF($I54&gt;0%,IF(AND(IB$16&gt;=$F54,IB$16&lt;$F54+($G54*$I54)),"➤",""),"")</f>
        <v/>
      </c>
      <c r="IC54" s="76" t="str">
        <f aca="false">IF($I54&gt;0%,IF(AND(IC$16&gt;=$F54,IC$16&lt;$F54+($G54*$I54)),"➤",""),"")</f>
        <v/>
      </c>
      <c r="ID54" s="76" t="str">
        <f aca="false">IF($I54&gt;0%,IF(AND(ID$16&gt;=$F54,ID$16&lt;$F54+($G54*$I54)),"➤",""),"")</f>
        <v/>
      </c>
      <c r="IE54" s="76" t="str">
        <f aca="false">IF($I54&gt;0%,IF(AND(IE$16&gt;=$F54,IE$16&lt;$F54+($G54*$I54)),"➤",""),"")</f>
        <v/>
      </c>
      <c r="IF54" s="76" t="str">
        <f aca="false">IF($I54&gt;0%,IF(AND(IF$16&gt;=$F54,IF$16&lt;$F54+($G54*$I54)),"➤",""),"")</f>
        <v/>
      </c>
      <c r="IG54" s="76" t="str">
        <f aca="false">IF($I54&gt;0%,IF(AND(IG$16&gt;=$F54,IG$16&lt;$F54+($G54*$I54)),"➤",""),"")</f>
        <v/>
      </c>
      <c r="IH54" s="76" t="str">
        <f aca="false">IF($I54&gt;0%,IF(AND(IH$16&gt;=$F54,IH$16&lt;$F54+($G54*$I54)),"➤",""),"")</f>
        <v/>
      </c>
      <c r="II54" s="76" t="str">
        <f aca="false">IF($I54&gt;0%,IF(AND(II$16&gt;=$F54,II$16&lt;$F54+($G54*$I54)),"➤",""),"")</f>
        <v/>
      </c>
      <c r="IJ54" s="76" t="str">
        <f aca="false">IF($I54&gt;0%,IF(AND(IJ$16&gt;=$F54,IJ$16&lt;$F54+($G54*$I54)),"➤",""),"")</f>
        <v/>
      </c>
      <c r="IK54" s="76" t="str">
        <f aca="false">IF($I54&gt;0%,IF(AND(IK$16&gt;=$F54,IK$16&lt;$F54+($G54*$I54)),"➤",""),"")</f>
        <v/>
      </c>
      <c r="IL54" s="76" t="str">
        <f aca="false">IF($I54&gt;0%,IF(AND(IL$16&gt;=$F54,IL$16&lt;$F54+($G54*$I54)),"➤",""),"")</f>
        <v/>
      </c>
      <c r="IM54" s="76" t="str">
        <f aca="false">IF($I54&gt;0%,IF(AND(IM$16&gt;=$F54,IM$16&lt;$F54+($G54*$I54)),"➤",""),"")</f>
        <v/>
      </c>
      <c r="IN54" s="76" t="str">
        <f aca="false">IF($I54&gt;0%,IF(AND(IN$16&gt;=$F54,IN$16&lt;$F54+($G54*$I54)),"➤",""),"")</f>
        <v/>
      </c>
      <c r="IO54" s="76" t="str">
        <f aca="false">IF($I54&gt;0%,IF(AND(IO$16&gt;=$F54,IO$16&lt;$F54+($G54*$I54)),"➤",""),"")</f>
        <v/>
      </c>
      <c r="IP54" s="76" t="str">
        <f aca="false">IF($I54&gt;0%,IF(AND(IP$16&gt;=$F54,IP$16&lt;$F54+($G54*$I54)),"➤",""),"")</f>
        <v/>
      </c>
      <c r="IQ54" s="76" t="str">
        <f aca="false">IF($I54&gt;0%,IF(AND(IQ$16&gt;=$F54,IQ$16&lt;$F54+($G54*$I54)),"➤",""),"")</f>
        <v/>
      </c>
      <c r="IR54" s="76" t="str">
        <f aca="false">IF($I54&gt;0%,IF(AND(IR$16&gt;=$F54,IR$16&lt;$F54+($G54*$I54)),"➤",""),"")</f>
        <v/>
      </c>
      <c r="IS54" s="76" t="str">
        <f aca="false">IF($I54&gt;0%,IF(AND(IS$16&gt;=$F54,IS$16&lt;$F54+($G54*$I54)),"➤",""),"")</f>
        <v/>
      </c>
      <c r="IT54" s="76" t="str">
        <f aca="false">IF($I54&gt;0%,IF(AND(IT$16&gt;=$F54,IT$16&lt;$F54+($G54*$I54)),"➤",""),"")</f>
        <v/>
      </c>
      <c r="IU54" s="76" t="str">
        <f aca="false">IF($I54&gt;0%,IF(AND(IU$16&gt;=$F54,IU$16&lt;$F54+($G54*$I54)),"➤",""),"")</f>
        <v/>
      </c>
      <c r="IV54" s="76" t="str">
        <f aca="false">IF($I54&gt;0%,IF(AND(IV$16&gt;=$F54,IV$16&lt;$F54+($G54*$I54)),"➤",""),"")</f>
        <v/>
      </c>
      <c r="IW54" s="76" t="str">
        <f aca="false">IF($I54&gt;0%,IF(AND(IW$16&gt;=$F54,IW$16&lt;$F54+($G54*$I54)),"➤",""),"")</f>
        <v/>
      </c>
      <c r="IX54" s="76" t="str">
        <f aca="false">IF($I54&gt;0%,IF(AND(IX$16&gt;=$F54,IX$16&lt;$F54+($G54*$I54)),"➤",""),"")</f>
        <v/>
      </c>
      <c r="IY54" s="76" t="str">
        <f aca="false">IF($I54&gt;0%,IF(AND(IY$16&gt;=$F54,IY$16&lt;$F54+($G54*$I54)),"➤",""),"")</f>
        <v/>
      </c>
      <c r="IZ54" s="76" t="str">
        <f aca="false">IF($I54&gt;0%,IF(AND(IZ$16&gt;=$F54,IZ$16&lt;$F54+($G54*$I54)),"➤",""),"")</f>
        <v/>
      </c>
      <c r="JA54" s="76" t="str">
        <f aca="false">IF($I54&gt;0%,IF(AND(JA$16&gt;=$F54,JA$16&lt;$F54+($G54*$I54)),"➤",""),"")</f>
        <v/>
      </c>
      <c r="JB54" s="76" t="str">
        <f aca="false">IF($I54&gt;0%,IF(AND(JB$16&gt;=$F54,JB$16&lt;$F54+($G54*$I54)),"➤",""),"")</f>
        <v/>
      </c>
      <c r="JC54" s="76" t="str">
        <f aca="false">IF($I54&gt;0%,IF(AND(JC$16&gt;=$F54,JC$16&lt;$F54+($G54*$I54)),"➤",""),"")</f>
        <v/>
      </c>
      <c r="JD54" s="76" t="str">
        <f aca="false">IF($I54&gt;0%,IF(AND(JD$16&gt;=$F54,JD$16&lt;$F54+($G54*$I54)),"➤",""),"")</f>
        <v/>
      </c>
      <c r="JE54" s="76" t="str">
        <f aca="false">IF($I54&gt;0%,IF(AND(JE$16&gt;=$F54,JE$16&lt;$F54+($G54*$I54)),"➤",""),"")</f>
        <v/>
      </c>
      <c r="JF54" s="76" t="str">
        <f aca="false">IF($I54&gt;0%,IF(AND(JF$16&gt;=$F54,JF$16&lt;$F54+($G54*$I54)),"➤",""),"")</f>
        <v/>
      </c>
      <c r="JG54" s="76" t="str">
        <f aca="false">IF($I54&gt;0%,IF(AND(JG$16&gt;=$F54,JG$16&lt;$F54+($G54*$I54)),"➤",""),"")</f>
        <v/>
      </c>
      <c r="JH54" s="76" t="str">
        <f aca="false">IF($I54&gt;0%,IF(AND(JH$16&gt;=$F54,JH$16&lt;$F54+($G54*$I54)),"➤",""),"")</f>
        <v/>
      </c>
      <c r="JI54" s="76" t="str">
        <f aca="false">IF($I54&gt;0%,IF(AND(JI$16&gt;=$F54,JI$16&lt;$F54+($G54*$I54)),"➤",""),"")</f>
        <v/>
      </c>
      <c r="JJ54" s="76" t="str">
        <f aca="false">IF($I54&gt;0%,IF(AND(JJ$16&gt;=$F54,JJ$16&lt;$F54+($G54*$I54)),"➤",""),"")</f>
        <v/>
      </c>
      <c r="JK54" s="76" t="str">
        <f aca="false">IF($I54&gt;0%,IF(AND(JK$16&gt;=$F54,JK$16&lt;$F54+($G54*$I54)),"➤",""),"")</f>
        <v/>
      </c>
      <c r="JL54" s="76" t="str">
        <f aca="false">IF($I54&gt;0%,IF(AND(JL$16&gt;=$F54,JL$16&lt;$F54+($G54*$I54)),"➤",""),"")</f>
        <v/>
      </c>
      <c r="JM54" s="76" t="str">
        <f aca="false">IF($I54&gt;0%,IF(AND(JM$16&gt;=$F54,JM$16&lt;$F54+($G54*$I54)),"➤",""),"")</f>
        <v/>
      </c>
      <c r="JN54" s="76" t="str">
        <f aca="false">IF($I54&gt;0%,IF(AND(JN$16&gt;=$F54,JN$16&lt;$F54+($G54*$I54)),"➤",""),"")</f>
        <v/>
      </c>
      <c r="JO54" s="76" t="str">
        <f aca="false">IF($I54&gt;0%,IF(AND(JO$16&gt;=$F54,JO$16&lt;$F54+($G54*$I54)),"➤",""),"")</f>
        <v/>
      </c>
      <c r="JP54" s="76" t="str">
        <f aca="false">IF($I54&gt;0%,IF(AND(JP$16&gt;=$F54,JP$16&lt;$F54+($G54*$I54)),"➤",""),"")</f>
        <v/>
      </c>
      <c r="JQ54" s="76" t="str">
        <f aca="false">IF($I54&gt;0%,IF(AND(JQ$16&gt;=$F54,JQ$16&lt;$F54+($G54*$I54)),"➤",""),"")</f>
        <v/>
      </c>
      <c r="JR54" s="76" t="str">
        <f aca="false">IF($I54&gt;0%,IF(AND(JR$16&gt;=$F54,JR$16&lt;$F54+($G54*$I54)),"➤",""),"")</f>
        <v/>
      </c>
      <c r="JS54" s="76" t="str">
        <f aca="false">IF($I54&gt;0%,IF(AND(JS$16&gt;=$F54,JS$16&lt;$F54+($G54*$I54)),"➤",""),"")</f>
        <v/>
      </c>
      <c r="JT54" s="76" t="str">
        <f aca="false">IF($I54&gt;0%,IF(AND(JT$16&gt;=$F54,JT$16&lt;$F54+($G54*$I54)),"➤",""),"")</f>
        <v/>
      </c>
      <c r="JU54" s="76" t="str">
        <f aca="false">IF($I54&gt;0%,IF(AND(JU$16&gt;=$F54,JU$16&lt;$F54+($G54*$I54)),"➤",""),"")</f>
        <v/>
      </c>
      <c r="JV54" s="76" t="str">
        <f aca="false">IF($I54&gt;0%,IF(AND(JV$16&gt;=$F54,JV$16&lt;$F54+($G54*$I54)),"➤",""),"")</f>
        <v/>
      </c>
      <c r="JW54" s="76" t="str">
        <f aca="false">IF($I54&gt;0%,IF(AND(JW$16&gt;=$F54,JW$16&lt;$F54+($G54*$I54)),"➤",""),"")</f>
        <v/>
      </c>
      <c r="JX54" s="76" t="str">
        <f aca="false">IF($I54&gt;0%,IF(AND(JX$16&gt;=$F54,JX$16&lt;$F54+($G54*$I54)),"➤",""),"")</f>
        <v/>
      </c>
      <c r="JY54" s="76" t="str">
        <f aca="false">IF($I54&gt;0%,IF(AND(JY$16&gt;=$F54,JY$16&lt;$F54+($G54*$I54)),"➤",""),"")</f>
        <v/>
      </c>
      <c r="JZ54" s="76" t="str">
        <f aca="false">IF($I54&gt;0%,IF(AND(JZ$16&gt;=$F54,JZ$16&lt;$F54+($G54*$I54)),"➤",""),"")</f>
        <v/>
      </c>
      <c r="KA54" s="76" t="str">
        <f aca="false">IF($I54&gt;0%,IF(AND(KA$16&gt;=$F54,KA$16&lt;$F54+($G54*$I54)),"➤",""),"")</f>
        <v/>
      </c>
      <c r="KB54" s="76" t="str">
        <f aca="false">IF($I54&gt;0%,IF(AND(KB$16&gt;=$F54,KB$16&lt;$F54+($G54*$I54)),"➤",""),"")</f>
        <v/>
      </c>
      <c r="KC54" s="76" t="str">
        <f aca="false">IF($I54&gt;0%,IF(AND(KC$16&gt;=$F54,KC$16&lt;$F54+($G54*$I54)),"➤",""),"")</f>
        <v/>
      </c>
      <c r="KD54" s="76" t="str">
        <f aca="false">IF($I54&gt;0%,IF(AND(KD$16&gt;=$F54,KD$16&lt;$F54+($G54*$I54)),"➤",""),"")</f>
        <v/>
      </c>
      <c r="KE54" s="76" t="str">
        <f aca="false">IF($I54&gt;0%,IF(AND(KE$16&gt;=$F54,KE$16&lt;$F54+($G54*$I54)),"➤",""),"")</f>
        <v/>
      </c>
      <c r="KF54" s="76" t="str">
        <f aca="false">IF($I54&gt;0%,IF(AND(KF$16&gt;=$F54,KF$16&lt;$F54+($G54*$I54)),"➤",""),"")</f>
        <v/>
      </c>
      <c r="KG54" s="76" t="str">
        <f aca="false">IF($I54&gt;0%,IF(AND(KG$16&gt;=$F54,KG$16&lt;$F54+($G54*$I54)),"➤",""),"")</f>
        <v/>
      </c>
      <c r="KH54" s="76" t="str">
        <f aca="false">IF($I54&gt;0%,IF(AND(KH$16&gt;=$F54,KH$16&lt;$F54+($G54*$I54)),"➤",""),"")</f>
        <v/>
      </c>
      <c r="KI54" s="76" t="str">
        <f aca="false">IF($I54&gt;0%,IF(AND(KI$16&gt;=$F54,KI$16&lt;$F54+($G54*$I54)),"➤",""),"")</f>
        <v/>
      </c>
      <c r="KJ54" s="76" t="str">
        <f aca="false">IF($I54&gt;0%,IF(AND(KJ$16&gt;=$F54,KJ$16&lt;$F54+($G54*$I54)),"➤",""),"")</f>
        <v/>
      </c>
      <c r="KK54" s="76" t="str">
        <f aca="false">IF($I54&gt;0%,IF(AND(KK$16&gt;=$F54,KK$16&lt;$F54+($G54*$I54)),"➤",""),"")</f>
        <v/>
      </c>
      <c r="KL54" s="76" t="str">
        <f aca="false">IF($I54&gt;0%,IF(AND(KL$16&gt;=$F54,KL$16&lt;$F54+($G54*$I54)),"➤",""),"")</f>
        <v/>
      </c>
      <c r="KM54" s="76" t="str">
        <f aca="false">IF($I54&gt;0%,IF(AND(KM$16&gt;=$F54,KM$16&lt;$F54+($G54*$I54)),"➤",""),"")</f>
        <v/>
      </c>
      <c r="KN54" s="76" t="str">
        <f aca="false">IF($I54&gt;0%,IF(AND(KN$16&gt;=$F54,KN$16&lt;$F54+($G54*$I54)),"➤",""),"")</f>
        <v/>
      </c>
      <c r="KO54" s="76" t="str">
        <f aca="false">IF($I54&gt;0%,IF(AND(KO$16&gt;=$F54,KO$16&lt;$F54+($G54*$I54)),"➤",""),"")</f>
        <v/>
      </c>
      <c r="KP54" s="76" t="str">
        <f aca="false">IF($I54&gt;0%,IF(AND(KP$16&gt;=$F54,KP$16&lt;$F54+($G54*$I54)),"➤",""),"")</f>
        <v/>
      </c>
      <c r="KQ54" s="76" t="str">
        <f aca="false">IF($I54&gt;0%,IF(AND(KQ$16&gt;=$F54,KQ$16&lt;$F54+($G54*$I54)),"➤",""),"")</f>
        <v/>
      </c>
      <c r="KR54" s="76" t="str">
        <f aca="false">IF($I54&gt;0%,IF(AND(KR$16&gt;=$F54,KR$16&lt;$F54+($G54*$I54)),"➤",""),"")</f>
        <v/>
      </c>
      <c r="KS54" s="76" t="str">
        <f aca="false">IF($I54&gt;0%,IF(AND(KS$16&gt;=$F54,KS$16&lt;$F54+($G54*$I54)),"➤",""),"")</f>
        <v/>
      </c>
      <c r="KT54" s="76" t="str">
        <f aca="false">IF($I54&gt;0%,IF(AND(KT$16&gt;=$F54,KT$16&lt;$F54+($G54*$I54)),"➤",""),"")</f>
        <v/>
      </c>
      <c r="KU54" s="76" t="str">
        <f aca="false">IF($I54&gt;0%,IF(AND(KU$16&gt;=$F54,KU$16&lt;$F54+($G54*$I54)),"➤",""),"")</f>
        <v/>
      </c>
      <c r="KV54" s="76" t="str">
        <f aca="false">IF($I54&gt;0%,IF(AND(KV$16&gt;=$F54,KV$16&lt;$F54+($G54*$I54)),"➤",""),"")</f>
        <v/>
      </c>
      <c r="KW54" s="76" t="str">
        <f aca="false">IF($I54&gt;0%,IF(AND(KW$16&gt;=$F54,KW$16&lt;$F54+($G54*$I54)),"➤",""),"")</f>
        <v/>
      </c>
      <c r="KX54" s="76" t="str">
        <f aca="false">IF($I54&gt;0%,IF(AND(KX$16&gt;=$F54,KX$16&lt;$F54+($G54*$I54)),"➤",""),"")</f>
        <v/>
      </c>
      <c r="KY54" s="76" t="str">
        <f aca="false">IF($I54&gt;0%,IF(AND(KY$16&gt;=$F54,KY$16&lt;$F54+($G54*$I54)),"➤",""),"")</f>
        <v/>
      </c>
      <c r="KZ54" s="76" t="str">
        <f aca="false">IF($I54&gt;0%,IF(AND(KZ$16&gt;=$F54,KZ$16&lt;$F54+($G54*$I54)),"➤",""),"")</f>
        <v/>
      </c>
      <c r="LA54" s="76" t="str">
        <f aca="false">IF($I54&gt;0%,IF(AND(LA$16&gt;=$F54,LA$16&lt;$F54+($G54*$I54)),"➤",""),"")</f>
        <v/>
      </c>
      <c r="LB54" s="76" t="str">
        <f aca="false">IF($I54&gt;0%,IF(AND(LB$16&gt;=$F54,LB$16&lt;$F54+($G54*$I54)),"➤",""),"")</f>
        <v/>
      </c>
      <c r="LC54" s="76" t="str">
        <f aca="false">IF($I54&gt;0%,IF(AND(LC$16&gt;=$F54,LC$16&lt;$F54+($G54*$I54)),"➤",""),"")</f>
        <v/>
      </c>
      <c r="LD54" s="76" t="str">
        <f aca="false">IF($I54&gt;0%,IF(AND(LD$16&gt;=$F54,LD$16&lt;$F54+($G54*$I54)),"➤",""),"")</f>
        <v/>
      </c>
      <c r="LE54" s="76" t="str">
        <f aca="false">IF($I54&gt;0%,IF(AND(LE$16&gt;=$F54,LE$16&lt;$F54+($G54*$I54)),"➤",""),"")</f>
        <v/>
      </c>
      <c r="LF54" s="76" t="str">
        <f aca="false">IF($I54&gt;0%,IF(AND(LF$16&gt;=$F54,LF$16&lt;$F54+($G54*$I54)),"➤",""),"")</f>
        <v/>
      </c>
      <c r="LG54" s="76" t="str">
        <f aca="false">IF($I54&gt;0%,IF(AND(LG$16&gt;=$F54,LG$16&lt;$F54+($G54*$I54)),"➤",""),"")</f>
        <v/>
      </c>
      <c r="LH54" s="76" t="str">
        <f aca="false">IF($I54&gt;0%,IF(AND(LH$16&gt;=$F54,LH$16&lt;$F54+($G54*$I54)),"➤",""),"")</f>
        <v/>
      </c>
      <c r="LI54" s="76" t="str">
        <f aca="false">IF($I54&gt;0%,IF(AND(LI$16&gt;=$F54,LI$16&lt;$F54+($G54*$I54)),"➤",""),"")</f>
        <v/>
      </c>
      <c r="LJ54" s="76" t="str">
        <f aca="false">IF($I54&gt;0%,IF(AND(LJ$16&gt;=$F54,LJ$16&lt;$F54+($G54*$I54)),"➤",""),"")</f>
        <v/>
      </c>
      <c r="LK54" s="76" t="str">
        <f aca="false">IF($I54&gt;0%,IF(AND(LK$16&gt;=$F54,LK$16&lt;$F54+($G54*$I54)),"➤",""),"")</f>
        <v/>
      </c>
      <c r="LL54" s="76" t="str">
        <f aca="false">IF($I54&gt;0%,IF(AND(LL$16&gt;=$F54,LL$16&lt;$F54+($G54*$I54)),"➤",""),"")</f>
        <v/>
      </c>
      <c r="LM54" s="76" t="str">
        <f aca="false">IF($I54&gt;0%,IF(AND(LM$16&gt;=$F54,LM$16&lt;$F54+($G54*$I54)),"➤",""),"")</f>
        <v/>
      </c>
      <c r="LN54" s="76" t="str">
        <f aca="false">IF($I54&gt;0%,IF(AND(LN$16&gt;=$F54,LN$16&lt;$F54+($G54*$I54)),"➤",""),"")</f>
        <v/>
      </c>
      <c r="LO54" s="76" t="str">
        <f aca="false">IF($I54&gt;0%,IF(AND(LO$16&gt;=$F54,LO$16&lt;$F54+($G54*$I54)),"➤",""),"")</f>
        <v/>
      </c>
      <c r="LP54" s="76" t="str">
        <f aca="false">IF($I54&gt;0%,IF(AND(LP$16&gt;=$F54,LP$16&lt;$F54+($G54*$I54)),"➤",""),"")</f>
        <v/>
      </c>
      <c r="LQ54" s="76" t="str">
        <f aca="false">IF($I54&gt;0%,IF(AND(LQ$16&gt;=$F54,LQ$16&lt;$F54+($G54*$I54)),"➤",""),"")</f>
        <v/>
      </c>
      <c r="LR54" s="76" t="str">
        <f aca="false">IF($I54&gt;0%,IF(AND(LR$16&gt;=$F54,LR$16&lt;$F54+($G54*$I54)),"➤",""),"")</f>
        <v/>
      </c>
      <c r="LS54" s="76" t="str">
        <f aca="false">IF($I54&gt;0%,IF(AND(LS$16&gt;=$F54,LS$16&lt;$F54+($G54*$I54)),"➤",""),"")</f>
        <v/>
      </c>
      <c r="LT54" s="76" t="str">
        <f aca="false">IF($I54&gt;0%,IF(AND(LT$16&gt;=$F54,LT$16&lt;$F54+($G54*$I54)),"➤",""),"")</f>
        <v/>
      </c>
      <c r="LU54" s="76" t="str">
        <f aca="false">IF($I54&gt;0%,IF(AND(LU$16&gt;=$F54,LU$16&lt;$F54+($G54*$I54)),"➤",""),"")</f>
        <v/>
      </c>
      <c r="LV54" s="76" t="str">
        <f aca="false">IF($I54&gt;0%,IF(AND(LV$16&gt;=$F54,LV$16&lt;$F54+($G54*$I54)),"➤",""),"")</f>
        <v/>
      </c>
      <c r="LW54" s="76" t="str">
        <f aca="false">IF($I54&gt;0%,IF(AND(LW$16&gt;=$F54,LW$16&lt;$F54+($G54*$I54)),"➤",""),"")</f>
        <v/>
      </c>
      <c r="LX54" s="76" t="str">
        <f aca="false">IF($I54&gt;0%,IF(AND(LX$16&gt;=$F54,LX$16&lt;$F54+($G54*$I54)),"➤",""),"")</f>
        <v/>
      </c>
      <c r="LY54" s="76" t="str">
        <f aca="false">IF($I54&gt;0%,IF(AND(LY$16&gt;=$F54,LY$16&lt;$F54+($G54*$I54)),"➤",""),"")</f>
        <v/>
      </c>
      <c r="LZ54" s="76" t="str">
        <f aca="false">IF($I54&gt;0%,IF(AND(LZ$16&gt;=$F54,LZ$16&lt;$F54+($G54*$I54)),"➤",""),"")</f>
        <v/>
      </c>
      <c r="MA54" s="76" t="str">
        <f aca="false">IF($I54&gt;0%,IF(AND(MA$16&gt;=$F54,MA$16&lt;$F54+($G54*$I54)),"➤",""),"")</f>
        <v/>
      </c>
      <c r="MB54" s="76" t="str">
        <f aca="false">IF($I54&gt;0%,IF(AND(MB$16&gt;=$F54,MB$16&lt;$F54+($G54*$I54)),"➤",""),"")</f>
        <v/>
      </c>
      <c r="MC54" s="76" t="str">
        <f aca="false">IF($I54&gt;0%,IF(AND(MC$16&gt;=$F54,MC$16&lt;$F54+($G54*$I54)),"➤",""),"")</f>
        <v/>
      </c>
      <c r="MD54" s="76" t="str">
        <f aca="false">IF($I54&gt;0%,IF(AND(MD$16&gt;=$F54,MD$16&lt;$F54+($G54*$I54)),"➤",""),"")</f>
        <v/>
      </c>
      <c r="ME54" s="76" t="str">
        <f aca="false">IF($I54&gt;0%,IF(AND(ME$16&gt;=$F54,ME$16&lt;$F54+($G54*$I54)),"➤",""),"")</f>
        <v/>
      </c>
      <c r="MF54" s="76" t="str">
        <f aca="false">IF($I54&gt;0%,IF(AND(MF$16&gt;=$F54,MF$16&lt;$F54+($G54*$I54)),"➤",""),"")</f>
        <v/>
      </c>
      <c r="MG54" s="76" t="str">
        <f aca="false">IF($I54&gt;0%,IF(AND(MG$16&gt;=$F54,MG$16&lt;$F54+($G54*$I54)),"➤",""),"")</f>
        <v/>
      </c>
      <c r="MH54" s="76" t="str">
        <f aca="false">IF($I54&gt;0%,IF(AND(MH$16&gt;=$F54,MH$16&lt;$F54+($G54*$I54)),"➤",""),"")</f>
        <v/>
      </c>
      <c r="MI54" s="76" t="str">
        <f aca="false">IF($I54&gt;0%,IF(AND(MI$16&gt;=$F54,MI$16&lt;$F54+($G54*$I54)),"➤",""),"")</f>
        <v/>
      </c>
      <c r="MJ54" s="76" t="str">
        <f aca="false">IF($I54&gt;0%,IF(AND(MJ$16&gt;=$F54,MJ$16&lt;$F54+($G54*$I54)),"➤",""),"")</f>
        <v/>
      </c>
      <c r="MK54" s="76" t="str">
        <f aca="false">IF($I54&gt;0%,IF(AND(MK$16&gt;=$F54,MK$16&lt;$F54+($G54*$I54)),"➤",""),"")</f>
        <v/>
      </c>
      <c r="ML54" s="76" t="str">
        <f aca="false">IF($I54&gt;0%,IF(AND(ML$16&gt;=$F54,ML$16&lt;$F54+($G54*$I54)),"➤",""),"")</f>
        <v/>
      </c>
      <c r="MM54" s="76" t="str">
        <f aca="false">IF($I54&gt;0%,IF(AND(MM$16&gt;=$F54,MM$16&lt;$F54+($G54*$I54)),"➤",""),"")</f>
        <v/>
      </c>
      <c r="MN54" s="76" t="str">
        <f aca="false">IF($I54&gt;0%,IF(AND(MN$16&gt;=$F54,MN$16&lt;$F54+($G54*$I54)),"➤",""),"")</f>
        <v/>
      </c>
      <c r="MO54" s="76" t="str">
        <f aca="false">IF($I54&gt;0%,IF(AND(MO$16&gt;=$F54,MO$16&lt;$F54+($G54*$I54)),"➤",""),"")</f>
        <v/>
      </c>
      <c r="MP54" s="76" t="str">
        <f aca="false">IF($I54&gt;0%,IF(AND(MP$16&gt;=$F54,MP$16&lt;$F54+($G54*$I54)),"➤",""),"")</f>
        <v/>
      </c>
      <c r="MQ54" s="76" t="str">
        <f aca="false">IF($I54&gt;0%,IF(AND(MQ$16&gt;=$F54,MQ$16&lt;$F54+($G54*$I54)),"➤",""),"")</f>
        <v/>
      </c>
      <c r="MR54" s="76" t="str">
        <f aca="false">IF($I54&gt;0%,IF(AND(MR$16&gt;=$F54,MR$16&lt;$F54+($G54*$I54)),"➤",""),"")</f>
        <v/>
      </c>
      <c r="MS54" s="76" t="str">
        <f aca="false">IF($I54&gt;0%,IF(AND(MS$16&gt;=$F54,MS$16&lt;$F54+($G54*$I54)),"➤",""),"")</f>
        <v/>
      </c>
      <c r="MT54" s="76" t="str">
        <f aca="false">IF($I54&gt;0%,IF(AND(MT$16&gt;=$F54,MT$16&lt;$F54+($G54*$I54)),"➤",""),"")</f>
        <v/>
      </c>
      <c r="MU54" s="76" t="str">
        <f aca="false">IF($I54&gt;0%,IF(AND(MU$16&gt;=$F54,MU$16&lt;$F54+($G54*$I54)),"➤",""),"")</f>
        <v/>
      </c>
      <c r="MV54" s="76" t="str">
        <f aca="false">IF($I54&gt;0%,IF(AND(MV$16&gt;=$F54,MV$16&lt;$F54+($G54*$I54)),"➤",""),"")</f>
        <v/>
      </c>
      <c r="MW54" s="76" t="str">
        <f aca="false">IF($I54&gt;0%,IF(AND(MW$16&gt;=$F54,MW$16&lt;$F54+($G54*$I54)),"➤",""),"")</f>
        <v/>
      </c>
      <c r="MX54" s="76" t="str">
        <f aca="false">IF($I54&gt;0%,IF(AND(MX$16&gt;=$F54,MX$16&lt;$F54+($G54*$I54)),"➤",""),"")</f>
        <v/>
      </c>
      <c r="MY54" s="76" t="str">
        <f aca="false">IF($I54&gt;0%,IF(AND(MY$16&gt;=$F54,MY$16&lt;$F54+($G54*$I54)),"➤",""),"")</f>
        <v/>
      </c>
      <c r="MZ54" s="76" t="str">
        <f aca="false">IF($I54&gt;0%,IF(AND(MZ$16&gt;=$F54,MZ$16&lt;$F54+($G54*$I54)),"➤",""),"")</f>
        <v/>
      </c>
      <c r="NA54" s="76" t="str">
        <f aca="false">IF($I54&gt;0%,IF(AND(NA$16&gt;=$F54,NA$16&lt;$F54+($G54*$I54)),"➤",""),"")</f>
        <v/>
      </c>
      <c r="NB54" s="76" t="str">
        <f aca="false">IF($I54&gt;0%,IF(AND(NB$16&gt;=$F54,NB$16&lt;$F54+($G54*$I54)),"➤",""),"")</f>
        <v/>
      </c>
      <c r="NC54" s="76" t="str">
        <f aca="false">IF($I54&gt;0%,IF(AND(NC$16&gt;=$F54,NC$16&lt;$F54+($G54*$I54)),"➤",""),"")</f>
        <v/>
      </c>
      <c r="ND54" s="76" t="str">
        <f aca="false">IF($I54&gt;0%,IF(AND(ND$16&gt;=$F54,ND$16&lt;$F54+($G54*$I54)),"➤",""),"")</f>
        <v/>
      </c>
      <c r="NE54" s="76" t="str">
        <f aca="false">IF($I54&gt;0%,IF(AND(NE$16&gt;=$F54,NE$16&lt;$F54+($G54*$I54)),"➤",""),"")</f>
        <v/>
      </c>
      <c r="NF54" s="76" t="str">
        <f aca="false">IF($I54&gt;0%,IF(AND(NF$16&gt;=$F54,NF$16&lt;$F54+($G54*$I54)),"➤",""),"")</f>
        <v/>
      </c>
      <c r="NG54" s="76" t="str">
        <f aca="false">IF($I54&gt;0%,IF(AND(NG$16&gt;=$F54,NG$16&lt;$F54+($G54*$I54)),"➤",""),"")</f>
        <v/>
      </c>
      <c r="NH54" s="76" t="str">
        <f aca="false">IF($I54&gt;0%,IF(AND(NH$16&gt;=$F54,NH$16&lt;$F54+($G54*$I54)),"➤",""),"")</f>
        <v/>
      </c>
      <c r="NI54" s="76" t="str">
        <f aca="false">IF($I54&gt;0%,IF(AND(NI$16&gt;=$F54,NI$16&lt;$F54+($G54*$I54)),"➤",""),"")</f>
        <v/>
      </c>
      <c r="NJ54" s="76" t="str">
        <f aca="false">IF($I54&gt;0%,IF(AND(NJ$16&gt;=$F54,NJ$16&lt;$F54+($G54*$I54)),"➤",""),"")</f>
        <v/>
      </c>
      <c r="NK54" s="76" t="str">
        <f aca="false">IF($I54&gt;0%,IF(AND(NK$16&gt;=$F54,NK$16&lt;$F54+($G54*$I54)),"➤",""),"")</f>
        <v/>
      </c>
      <c r="NL54" s="76" t="str">
        <f aca="false">IF($I54&gt;0%,IF(AND(NL$16&gt;=$F54,NL$16&lt;$F54+($G54*$I54)),"➤",""),"")</f>
        <v/>
      </c>
      <c r="NM54" s="76" t="str">
        <f aca="false">IF($I54&gt;0%,IF(AND(NM$16&gt;=$F54,NM$16&lt;$F54+($G54*$I54)),"➤",""),"")</f>
        <v/>
      </c>
      <c r="NN54" s="76" t="str">
        <f aca="false">IF($I54&gt;0%,IF(AND(NN$16&gt;=$F54,NN$16&lt;$F54+($G54*$I54)),"➤",""),"")</f>
        <v/>
      </c>
      <c r="NO54" s="76" t="str">
        <f aca="false">IF($I54&gt;0%,IF(AND(NO$16&gt;=$F54,NO$16&lt;$F54+($G54*$I54)),"➤",""),"")</f>
        <v/>
      </c>
      <c r="NP54" s="76" t="str">
        <f aca="false">IF($I54&gt;0%,IF(AND(NP$16&gt;=$F54,NP$16&lt;$F54+($G54*$I54)),"➤",""),"")</f>
        <v/>
      </c>
      <c r="NQ54" s="76" t="str">
        <f aca="false">IF($I54&gt;0%,IF(AND(NQ$16&gt;=$F54,NQ$16&lt;$F54+($G54*$I54)),"➤",""),"")</f>
        <v/>
      </c>
      <c r="NR54" s="76" t="str">
        <f aca="false">IF($I54&gt;0%,IF(AND(NR$16&gt;=$F54,NR$16&lt;$F54+($G54*$I54)),"➤",""),"")</f>
        <v/>
      </c>
      <c r="NS54" s="76" t="str">
        <f aca="false">IF($I54&gt;0%,IF(AND(NS$16&gt;=$F54,NS$16&lt;$F54+($G54*$I54)),"➤",""),"")</f>
        <v/>
      </c>
      <c r="NT54" s="76" t="str">
        <f aca="false">IF($I54&gt;0%,IF(AND(NT$16&gt;=$F54,NT$16&lt;$F54+($G54*$I54)),"➤",""),"")</f>
        <v/>
      </c>
      <c r="NU54" s="76" t="str">
        <f aca="false">IF($I54&gt;0%,IF(AND(NU$16&gt;=$F54,NU$16&lt;$F54+($G54*$I54)),"➤",""),"")</f>
        <v/>
      </c>
      <c r="NV54" s="76" t="str">
        <f aca="false">IF($I54&gt;0%,IF(AND(NV$16&gt;=$F54,NV$16&lt;$F54+($G54*$I54)),"➤",""),"")</f>
        <v/>
      </c>
      <c r="NW54" s="76" t="str">
        <f aca="false">IF($I54&gt;0%,IF(AND(NW$16&gt;=$F54,NW$16&lt;$F54+($G54*$I54)),"➤",""),"")</f>
        <v/>
      </c>
      <c r="NX54" s="76" t="str">
        <f aca="false">IF($I54&gt;0%,IF(AND(NX$16&gt;=$F54,NX$16&lt;$F54+($G54*$I54)),"➤",""),"")</f>
        <v/>
      </c>
      <c r="NY54" s="76" t="str">
        <f aca="false">IF($I54&gt;0%,IF(AND(NY$16&gt;=$F54,NY$16&lt;$F54+($G54*$I54)),"➤",""),"")</f>
        <v/>
      </c>
      <c r="NZ54" s="76" t="str">
        <f aca="false">IF($I54&gt;0%,IF(AND(NZ$16&gt;=$F54,NZ$16&lt;$F54+($G54*$I54)),"➤",""),"")</f>
        <v/>
      </c>
      <c r="OA54" s="76" t="str">
        <f aca="false">IF($I54&gt;0%,IF(AND(OA$16&gt;=$F54,OA$16&lt;$F54+($G54*$I54)),"➤",""),"")</f>
        <v/>
      </c>
      <c r="OB54" s="76" t="str">
        <f aca="false">IF($I54&gt;0%,IF(AND(OB$16&gt;=$F54,OB$16&lt;$F54+($G54*$I54)),"➤",""),"")</f>
        <v/>
      </c>
      <c r="OC54" s="76" t="str">
        <f aca="false">IF($I54&gt;0%,IF(AND(OC$16&gt;=$F54,OC$16&lt;$F54+($G54*$I54)),"➤",""),"")</f>
        <v/>
      </c>
      <c r="OD54" s="76" t="str">
        <f aca="false">IF($I54&gt;0%,IF(AND(OD$16&gt;=$F54,OD$16&lt;$F54+($G54*$I54)),"➤",""),"")</f>
        <v/>
      </c>
      <c r="OE54" s="76" t="str">
        <f aca="false">IF($I54&gt;0%,IF(AND(OE$16&gt;=$F54,OE$16&lt;$F54+($G54*$I54)),"➤",""),"")</f>
        <v/>
      </c>
      <c r="OF54" s="76" t="str">
        <f aca="false">IF($I54&gt;0%,IF(AND(OF$16&gt;=$F54,OF$16&lt;$F54+($G54*$I54)),"➤",""),"")</f>
        <v/>
      </c>
      <c r="OG54" s="76" t="str">
        <f aca="false">IF($I54&gt;0%,IF(AND(OG$16&gt;=$F54,OG$16&lt;$F54+($G54*$I54)),"➤",""),"")</f>
        <v/>
      </c>
      <c r="OH54" s="76" t="str">
        <f aca="false">IF($I54&gt;0%,IF(AND(OH$16&gt;=$F54,OH$16&lt;$F54+($G54*$I54)),"➤",""),"")</f>
        <v/>
      </c>
      <c r="OI54" s="76" t="str">
        <f aca="false">IF($I54&gt;0%,IF(AND(OI$16&gt;=$F54,OI$16&lt;$F54+($G54*$I54)),"➤",""),"")</f>
        <v/>
      </c>
      <c r="OJ54" s="76" t="str">
        <f aca="false">IF($I54&gt;0%,IF(AND(OJ$16&gt;=$F54,OJ$16&lt;$F54+($G54*$I54)),"➤",""),"")</f>
        <v/>
      </c>
      <c r="OK54" s="76" t="str">
        <f aca="false">IF($I54&gt;0%,IF(AND(OK$16&gt;=$F54,OK$16&lt;$F54+($G54*$I54)),"➤",""),"")</f>
        <v/>
      </c>
      <c r="OL54" s="76" t="str">
        <f aca="false">IF($I54&gt;0%,IF(AND(OL$16&gt;=$F54,OL$16&lt;$F54+($G54*$I54)),"➤",""),"")</f>
        <v/>
      </c>
      <c r="OM54" s="76" t="str">
        <f aca="false">IF($I54&gt;0%,IF(AND(OM$16&gt;=$F54,OM$16&lt;$F54+($G54*$I54)),"➤",""),"")</f>
        <v/>
      </c>
      <c r="ON54" s="76" t="str">
        <f aca="false">IF($I54&gt;0%,IF(AND(ON$16&gt;=$F54,ON$16&lt;$F54+($G54*$I54)),"➤",""),"")</f>
        <v/>
      </c>
      <c r="OO54" s="76" t="str">
        <f aca="false">IF($I54&gt;0%,IF(AND(OO$16&gt;=$F54,OO$16&lt;$F54+($G54*$I54)),"➤",""),"")</f>
        <v/>
      </c>
      <c r="OP54" s="76" t="str">
        <f aca="false">IF($I54&gt;0%,IF(AND(OP$16&gt;=$F54,OP$16&lt;$F54+($G54*$I54)),"➤",""),"")</f>
        <v/>
      </c>
      <c r="OQ54" s="76" t="str">
        <f aca="false">IF($I54&gt;0%,IF(AND(OQ$16&gt;=$F54,OQ$16&lt;$F54+($G54*$I54)),"➤",""),"")</f>
        <v/>
      </c>
      <c r="OR54" s="76" t="str">
        <f aca="false">IF($I54&gt;0%,IF(AND(OR$16&gt;=$F54,OR$16&lt;$F54+($G54*$I54)),"➤",""),"")</f>
        <v/>
      </c>
      <c r="OS54" s="76" t="str">
        <f aca="false">IF($I54&gt;0%,IF(AND(OS$16&gt;=$F54,OS$16&lt;$F54+($G54*$I54)),"➤",""),"")</f>
        <v/>
      </c>
      <c r="OT54" s="76" t="str">
        <f aca="false">IF($I54&gt;0%,IF(AND(OT$16&gt;=$F54,OT$16&lt;$F54+($G54*$I54)),"➤",""),"")</f>
        <v/>
      </c>
      <c r="OU54" s="76" t="str">
        <f aca="false">IF($I54&gt;0%,IF(AND(OU$16&gt;=$F54,OU$16&lt;$F54+($G54*$I54)),"➤",""),"")</f>
        <v/>
      </c>
      <c r="OV54" s="76" t="str">
        <f aca="false">IF($I54&gt;0%,IF(AND(OV$16&gt;=$F54,OV$16&lt;$F54+($G54*$I54)),"➤",""),"")</f>
        <v/>
      </c>
      <c r="OW54" s="76" t="str">
        <f aca="false">IF($I54&gt;0%,IF(AND(OW$16&gt;=$F54,OW$16&lt;$F54+($G54*$I54)),"➤",""),"")</f>
        <v/>
      </c>
      <c r="OX54" s="76" t="str">
        <f aca="false">IF($I54&gt;0%,IF(AND(OX$16&gt;=$F54,OX$16&lt;$F54+($G54*$I54)),"➤",""),"")</f>
        <v/>
      </c>
      <c r="OY54" s="76" t="str">
        <f aca="false">IF($I54&gt;0%,IF(AND(OY$16&gt;=$F54,OY$16&lt;$F54+($G54*$I54)),"➤",""),"")</f>
        <v/>
      </c>
      <c r="OZ54" s="76" t="str">
        <f aca="false">IF($I54&gt;0%,IF(AND(OZ$16&gt;=$F54,OZ$16&lt;$F54+($G54*$I54)),"➤",""),"")</f>
        <v/>
      </c>
      <c r="PA54" s="76" t="str">
        <f aca="false">IF($I54&gt;0%,IF(AND(PA$16&gt;=$F54,PA$16&lt;$F54+($G54*$I54)),"➤",""),"")</f>
        <v/>
      </c>
      <c r="PB54" s="76" t="str">
        <f aca="false">IF($I54&gt;0%,IF(AND(PB$16&gt;=$F54,PB$16&lt;$F54+($G54*$I54)),"➤",""),"")</f>
        <v/>
      </c>
      <c r="PC54" s="76" t="str">
        <f aca="false">IF($I54&gt;0%,IF(AND(PC$16&gt;=$F54,PC$16&lt;$F54+($G54*$I54)),"➤",""),"")</f>
        <v/>
      </c>
      <c r="PD54" s="76" t="str">
        <f aca="false">IF($I54&gt;0%,IF(AND(PD$16&gt;=$F54,PD$16&lt;$F54+($G54*$I54)),"➤",""),"")</f>
        <v/>
      </c>
      <c r="PE54" s="76" t="str">
        <f aca="false">IF($I54&gt;0%,IF(AND(PE$16&gt;=$F54,PE$16&lt;$F54+($G54*$I54)),"➤",""),"")</f>
        <v/>
      </c>
      <c r="PF54" s="76" t="str">
        <f aca="false">IF($I54&gt;0%,IF(AND(PF$16&gt;=$F54,PF$16&lt;$F54+($G54*$I54)),"➤",""),"")</f>
        <v/>
      </c>
      <c r="PG54" s="76" t="str">
        <f aca="false">IF($I54&gt;0%,IF(AND(PG$16&gt;=$F54,PG$16&lt;$F54+($G54*$I54)),"➤",""),"")</f>
        <v/>
      </c>
      <c r="PH54" s="76" t="str">
        <f aca="false">IF($I54&gt;0%,IF(AND(PH$16&gt;=$F54,PH$16&lt;$F54+($G54*$I54)),"➤",""),"")</f>
        <v/>
      </c>
      <c r="PI54" s="76" t="str">
        <f aca="false">IF($I54&gt;0%,IF(AND(PI$16&gt;=$F54,PI$16&lt;$F54+($G54*$I54)),"➤",""),"")</f>
        <v/>
      </c>
      <c r="PJ54" s="76" t="str">
        <f aca="false">IF($I54&gt;0%,IF(AND(PJ$16&gt;=$F54,PJ$16&lt;$F54+($G54*$I54)),"➤",""),"")</f>
        <v/>
      </c>
      <c r="PK54" s="76" t="str">
        <f aca="false">IF($I54&gt;0%,IF(AND(PK$16&gt;=$F54,PK$16&lt;$F54+($G54*$I54)),"➤",""),"")</f>
        <v/>
      </c>
      <c r="PL54" s="76" t="str">
        <f aca="false">IF($I54&gt;0%,IF(AND(PL$16&gt;=$F54,PL$16&lt;$F54+($G54*$I54)),"➤",""),"")</f>
        <v/>
      </c>
      <c r="PM54" s="76" t="str">
        <f aca="false">IF($I54&gt;0%,IF(AND(PM$16&gt;=$F54,PM$16&lt;$F54+($G54*$I54)),"➤",""),"")</f>
        <v/>
      </c>
      <c r="PN54" s="76" t="str">
        <f aca="false">IF($I54&gt;0%,IF(AND(PN$16&gt;=$F54,PN$16&lt;$F54+($G54*$I54)),"➤",""),"")</f>
        <v/>
      </c>
      <c r="PO54" s="76" t="str">
        <f aca="false">IF($I54&gt;0%,IF(AND(PO$16&gt;=$F54,PO$16&lt;$F54+($G54*$I54)),"➤",""),"")</f>
        <v/>
      </c>
      <c r="PP54" s="76" t="str">
        <f aca="false">IF($I54&gt;0%,IF(AND(PP$16&gt;=$F54,PP$16&lt;$F54+($G54*$I54)),"➤",""),"")</f>
        <v/>
      </c>
      <c r="PQ54" s="76" t="str">
        <f aca="false">IF($I54&gt;0%,IF(AND(PQ$16&gt;=$F54,PQ$16&lt;$F54+($G54*$I54)),"➤",""),"")</f>
        <v/>
      </c>
      <c r="PR54" s="76" t="str">
        <f aca="false">IF($I54&gt;0%,IF(AND(PR$16&gt;=$F54,PR$16&lt;$F54+($G54*$I54)),"➤",""),"")</f>
        <v/>
      </c>
      <c r="PS54" s="76" t="str">
        <f aca="false">IF($I54&gt;0%,IF(AND(PS$16&gt;=$F54,PS$16&lt;$F54+($G54*$I54)),"➤",""),"")</f>
        <v/>
      </c>
      <c r="PT54" s="76" t="str">
        <f aca="false">IF($I54&gt;0%,IF(AND(PT$16&gt;=$F54,PT$16&lt;$F54+($G54*$I54)),"➤",""),"")</f>
        <v/>
      </c>
      <c r="PU54" s="76" t="str">
        <f aca="false">IF($I54&gt;0%,IF(AND(PU$16&gt;=$F54,PU$16&lt;$F54+($G54*$I54)),"➤",""),"")</f>
        <v/>
      </c>
      <c r="PV54" s="76" t="str">
        <f aca="false">IF($I54&gt;0%,IF(AND(PV$16&gt;=$F54,PV$16&lt;$F54+($G54*$I54)),"➤",""),"")</f>
        <v/>
      </c>
      <c r="PW54" s="76" t="str">
        <f aca="false">IF($I54&gt;0%,IF(AND(PW$16&gt;=$F54,PW$16&lt;$F54+($G54*$I54)),"➤",""),"")</f>
        <v/>
      </c>
      <c r="PX54" s="76" t="str">
        <f aca="false">IF($I54&gt;0%,IF(AND(PX$16&gt;=$F54,PX$16&lt;$F54+($G54*$I54)),"➤",""),"")</f>
        <v/>
      </c>
      <c r="PY54" s="76" t="str">
        <f aca="false">IF($I54&gt;0%,IF(AND(PY$16&gt;=$F54,PY$16&lt;$F54+($G54*$I54)),"➤",""),"")</f>
        <v/>
      </c>
      <c r="PZ54" s="76" t="str">
        <f aca="false">IF($I54&gt;0%,IF(AND(PZ$16&gt;=$F54,PZ$16&lt;$F54+($G54*$I54)),"➤",""),"")</f>
        <v/>
      </c>
      <c r="QA54" s="76" t="str">
        <f aca="false">IF($I54&gt;0%,IF(AND(QA$16&gt;=$F54,QA$16&lt;$F54+($G54*$I54)),"➤",""),"")</f>
        <v/>
      </c>
      <c r="QB54" s="76" t="str">
        <f aca="false">IF($I54&gt;0%,IF(AND(QB$16&gt;=$F54,QB$16&lt;$F54+($G54*$I54)),"➤",""),"")</f>
        <v/>
      </c>
      <c r="QC54" s="76" t="str">
        <f aca="false">IF($I54&gt;0%,IF(AND(QC$16&gt;=$F54,QC$16&lt;$F54+($G54*$I54)),"➤",""),"")</f>
        <v/>
      </c>
      <c r="QD54" s="76" t="str">
        <f aca="false">IF($I54&gt;0%,IF(AND(QD$16&gt;=$F54,QD$16&lt;$F54+($G54*$I54)),"➤",""),"")</f>
        <v/>
      </c>
      <c r="QE54" s="76" t="str">
        <f aca="false">IF($I54&gt;0%,IF(AND(QE$16&gt;=$F54,QE$16&lt;$F54+($G54*$I54)),"➤",""),"")</f>
        <v/>
      </c>
      <c r="QF54" s="76" t="str">
        <f aca="false">IF($I54&gt;0%,IF(AND(QF$16&gt;=$F54,QF$16&lt;$F54+($G54*$I54)),"➤",""),"")</f>
        <v/>
      </c>
      <c r="QG54" s="76" t="str">
        <f aca="false">IF($I54&gt;0%,IF(AND(QG$16&gt;=$F54,QG$16&lt;$F54+($G54*$I54)),"➤",""),"")</f>
        <v/>
      </c>
      <c r="QH54" s="76" t="str">
        <f aca="false">IF($I54&gt;0%,IF(AND(QH$16&gt;=$F54,QH$16&lt;$F54+($G54*$I54)),"➤",""),"")</f>
        <v/>
      </c>
      <c r="QI54" s="76" t="str">
        <f aca="false">IF($I54&gt;0%,IF(AND(QI$16&gt;=$F54,QI$16&lt;$F54+($G54*$I54)),"➤",""),"")</f>
        <v/>
      </c>
      <c r="QJ54" s="76" t="str">
        <f aca="false">IF($I54&gt;0%,IF(AND(QJ$16&gt;=$F54,QJ$16&lt;$F54+($G54*$I54)),"➤",""),"")</f>
        <v/>
      </c>
      <c r="QK54" s="76" t="str">
        <f aca="false">IF($I54&gt;0%,IF(AND(QK$16&gt;=$F54,QK$16&lt;$F54+($G54*$I54)),"➤",""),"")</f>
        <v/>
      </c>
      <c r="QL54" s="76" t="str">
        <f aca="false">IF($I54&gt;0%,IF(AND(QL$16&gt;=$F54,QL$16&lt;$F54+($G54*$I54)),"➤",""),"")</f>
        <v/>
      </c>
      <c r="QM54" s="76" t="str">
        <f aca="false">IF($I54&gt;0%,IF(AND(QM$16&gt;=$F54,QM$16&lt;$F54+($G54*$I54)),"➤",""),"")</f>
        <v/>
      </c>
      <c r="QN54" s="76" t="str">
        <f aca="false">IF($I54&gt;0%,IF(AND(QN$16&gt;=$F54,QN$16&lt;$F54+($G54*$I54)),"➤",""),"")</f>
        <v/>
      </c>
      <c r="QO54" s="76" t="str">
        <f aca="false">IF($I54&gt;0%,IF(AND(QO$16&gt;=$F54,QO$16&lt;$F54+($G54*$I54)),"➤",""),"")</f>
        <v/>
      </c>
      <c r="QP54" s="76" t="str">
        <f aca="false">IF($I54&gt;0%,IF(AND(QP$16&gt;=$F54,QP$16&lt;$F54+($G54*$I54)),"➤",""),"")</f>
        <v/>
      </c>
      <c r="QQ54" s="76" t="str">
        <f aca="false">IF($I54&gt;0%,IF(AND(QQ$16&gt;=$F54,QQ$16&lt;$F54+($G54*$I54)),"➤",""),"")</f>
        <v/>
      </c>
      <c r="QR54" s="76" t="str">
        <f aca="false">IF($I54&gt;0%,IF(AND(QR$16&gt;=$F54,QR$16&lt;$F54+($G54*$I54)),"➤",""),"")</f>
        <v/>
      </c>
      <c r="QS54" s="76" t="str">
        <f aca="false">IF($I54&gt;0%,IF(AND(QS$16&gt;=$F54,QS$16&lt;$F54+($G54*$I54)),"➤",""),"")</f>
        <v/>
      </c>
      <c r="QT54" s="76" t="str">
        <f aca="false">IF($I54&gt;0%,IF(AND(QT$16&gt;=$F54,QT$16&lt;$F54+($G54*$I54)),"➤",""),"")</f>
        <v/>
      </c>
      <c r="QU54" s="76" t="str">
        <f aca="false">IF($I54&gt;0%,IF(AND(QU$16&gt;=$F54,QU$16&lt;$F54+($G54*$I54)),"➤",""),"")</f>
        <v/>
      </c>
      <c r="QV54" s="76" t="str">
        <f aca="false">IF($I54&gt;0%,IF(AND(QV$16&gt;=$F54,QV$16&lt;$F54+($G54*$I54)),"➤",""),"")</f>
        <v/>
      </c>
      <c r="QW54" s="76" t="str">
        <f aca="false">IF($I54&gt;0%,IF(AND(QW$16&gt;=$F54,QW$16&lt;$F54+($G54*$I54)),"➤",""),"")</f>
        <v/>
      </c>
      <c r="QX54" s="76" t="str">
        <f aca="false">IF($I54&gt;0%,IF(AND(QX$16&gt;=$F54,QX$16&lt;$F54+($G54*$I54)),"➤",""),"")</f>
        <v/>
      </c>
      <c r="QY54" s="76" t="str">
        <f aca="false">IF($I54&gt;0%,IF(AND(QY$16&gt;=$F54,QY$16&lt;$F54+($G54*$I54)),"➤",""),"")</f>
        <v/>
      </c>
      <c r="QZ54" s="76" t="str">
        <f aca="false">IF($I54&gt;0%,IF(AND(QZ$16&gt;=$F54,QZ$16&lt;$F54+($G54*$I54)),"➤",""),"")</f>
        <v/>
      </c>
      <c r="RA54" s="76" t="str">
        <f aca="false">IF($I54&gt;0%,IF(AND(RA$16&gt;=$F54,RA$16&lt;$F54+($G54*$I54)),"➤",""),"")</f>
        <v/>
      </c>
      <c r="RB54" s="76" t="str">
        <f aca="false">IF($I54&gt;0%,IF(AND(RB$16&gt;=$F54,RB$16&lt;$F54+($G54*$I54)),"➤",""),"")</f>
        <v/>
      </c>
      <c r="RC54" s="76" t="str">
        <f aca="false">IF($I54&gt;0%,IF(AND(RC$16&gt;=$F54,RC$16&lt;$F54+($G54*$I54)),"➤",""),"")</f>
        <v/>
      </c>
      <c r="RD54" s="76" t="str">
        <f aca="false">IF($I54&gt;0%,IF(AND(RD$16&gt;=$F54,RD$16&lt;$F54+($G54*$I54)),"➤",""),"")</f>
        <v/>
      </c>
      <c r="RE54" s="76" t="str">
        <f aca="false">IF($I54&gt;0%,IF(AND(RE$16&gt;=$F54,RE$16&lt;$F54+($G54*$I54)),"➤",""),"")</f>
        <v/>
      </c>
      <c r="RF54" s="76" t="str">
        <f aca="false">IF($I54&gt;0%,IF(AND(RF$16&gt;=$F54,RF$16&lt;$F54+($G54*$I54)),"➤",""),"")</f>
        <v/>
      </c>
      <c r="RG54" s="76" t="str">
        <f aca="false">IF($I54&gt;0%,IF(AND(RG$16&gt;=$F54,RG$16&lt;$F54+($G54*$I54)),"➤",""),"")</f>
        <v/>
      </c>
      <c r="RH54" s="76" t="str">
        <f aca="false">IF($I54&gt;0%,IF(AND(RH$16&gt;=$F54,RH$16&lt;$F54+($G54*$I54)),"➤",""),"")</f>
        <v/>
      </c>
      <c r="RI54" s="76" t="str">
        <f aca="false">IF($I54&gt;0%,IF(AND(RI$16&gt;=$F54,RI$16&lt;$F54+($G54*$I54)),"➤",""),"")</f>
        <v/>
      </c>
      <c r="RJ54" s="76" t="str">
        <f aca="false">IF($I54&gt;0%,IF(AND(RJ$16&gt;=$F54,RJ$16&lt;$F54+($G54*$I54)),"➤",""),"")</f>
        <v/>
      </c>
      <c r="RK54" s="76" t="str">
        <f aca="false">IF($I54&gt;0%,IF(AND(RK$16&gt;=$F54,RK$16&lt;$F54+($G54*$I54)),"➤",""),"")</f>
        <v/>
      </c>
      <c r="RL54" s="76" t="str">
        <f aca="false">IF($I54&gt;0%,IF(AND(RL$16&gt;=$F54,RL$16&lt;$F54+($G54*$I54)),"➤",""),"")</f>
        <v/>
      </c>
      <c r="RM54" s="76" t="str">
        <f aca="false">IF($I54&gt;0%,IF(AND(RM$16&gt;=$F54,RM$16&lt;$F54+($G54*$I54)),"➤",""),"")</f>
        <v/>
      </c>
      <c r="RN54" s="76" t="str">
        <f aca="false">IF($I54&gt;0%,IF(AND(RN$16&gt;=$F54,RN$16&lt;$F54+($G54*$I54)),"➤",""),"")</f>
        <v/>
      </c>
      <c r="RO54" s="76" t="str">
        <f aca="false">IF($I54&gt;0%,IF(AND(RO$16&gt;=$F54,RO$16&lt;$F54+($G54*$I54)),"➤",""),"")</f>
        <v/>
      </c>
      <c r="RP54" s="76" t="str">
        <f aca="false">IF($I54&gt;0%,IF(AND(RP$16&gt;=$F54,RP$16&lt;$F54+($G54*$I54)),"➤",""),"")</f>
        <v/>
      </c>
      <c r="RQ54" s="76" t="str">
        <f aca="false">IF($I54&gt;0%,IF(AND(RQ$16&gt;=$F54,RQ$16&lt;$F54+($G54*$I54)),"➤",""),"")</f>
        <v/>
      </c>
      <c r="RR54" s="76" t="str">
        <f aca="false">IF($I54&gt;0%,IF(AND(RR$16&gt;=$F54,RR$16&lt;$F54+($G54*$I54)),"➤",""),"")</f>
        <v/>
      </c>
      <c r="RS54" s="76" t="str">
        <f aca="false">IF($I54&gt;0%,IF(AND(RS$16&gt;=$F54,RS$16&lt;$F54+($G54*$I54)),"➤",""),"")</f>
        <v/>
      </c>
      <c r="RT54" s="76" t="str">
        <f aca="false">IF($I54&gt;0%,IF(AND(RT$16&gt;=$F54,RT$16&lt;$F54+($G54*$I54)),"➤",""),"")</f>
        <v/>
      </c>
      <c r="RU54" s="76" t="str">
        <f aca="false">IF($I54&gt;0%,IF(AND(RU$16&gt;=$F54,RU$16&lt;$F54+($G54*$I54)),"➤",""),"")</f>
        <v/>
      </c>
      <c r="RV54" s="76" t="str">
        <f aca="false">IF($I54&gt;0%,IF(AND(RV$16&gt;=$F54,RV$16&lt;$F54+($G54*$I54)),"➤",""),"")</f>
        <v/>
      </c>
      <c r="RW54" s="76" t="str">
        <f aca="false">IF($I54&gt;0%,IF(AND(RW$16&gt;=$F54,RW$16&lt;$F54+($G54*$I54)),"➤",""),"")</f>
        <v/>
      </c>
      <c r="RX54" s="76" t="str">
        <f aca="false">IF($I54&gt;0%,IF(AND(RX$16&gt;=$F54,RX$16&lt;$F54+($G54*$I54)),"➤",""),"")</f>
        <v/>
      </c>
      <c r="RY54" s="76" t="str">
        <f aca="false">IF($I54&gt;0%,IF(AND(RY$16&gt;=$F54,RY$16&lt;$F54+($G54*$I54)),"➤",""),"")</f>
        <v/>
      </c>
      <c r="RZ54" s="76" t="str">
        <f aca="false">IF($I54&gt;0%,IF(AND(RZ$16&gt;=$F54,RZ$16&lt;$F54+($G54*$I54)),"➤",""),"")</f>
        <v/>
      </c>
      <c r="SA54" s="76" t="str">
        <f aca="false">IF($I54&gt;0%,IF(AND(SA$16&gt;=$F54,SA$16&lt;$F54+($G54*$I54)),"➤",""),"")</f>
        <v/>
      </c>
      <c r="SB54" s="76" t="str">
        <f aca="false">IF($I54&gt;0%,IF(AND(SB$16&gt;=$F54,SB$16&lt;$F54+($G54*$I54)),"➤",""),"")</f>
        <v/>
      </c>
      <c r="SC54" s="76" t="str">
        <f aca="false">IF($I54&gt;0%,IF(AND(SC$16&gt;=$F54,SC$16&lt;$F54+($G54*$I54)),"➤",""),"")</f>
        <v/>
      </c>
      <c r="SD54" s="76" t="str">
        <f aca="false">IF($I54&gt;0%,IF(AND(SD$16&gt;=$F54,SD$16&lt;$F54+($G54*$I54)),"➤",""),"")</f>
        <v/>
      </c>
      <c r="SE54" s="76" t="str">
        <f aca="false">IF($I54&gt;0%,IF(AND(SE$16&gt;=$F54,SE$16&lt;$F54+($G54*$I54)),"➤",""),"")</f>
        <v/>
      </c>
      <c r="SF54" s="76" t="str">
        <f aca="false">IF($I54&gt;0%,IF(AND(SF$16&gt;=$F54,SF$16&lt;$F54+($G54*$I54)),"➤",""),"")</f>
        <v/>
      </c>
      <c r="SG54" s="76" t="str">
        <f aca="false">IF($I54&gt;0%,IF(AND(SG$16&gt;=$F54,SG$16&lt;$F54+($G54*$I54)),"➤",""),"")</f>
        <v/>
      </c>
      <c r="SH54" s="76" t="str">
        <f aca="false">IF($I54&gt;0%,IF(AND(SH$16&gt;=$F54,SH$16&lt;$F54+($G54*$I54)),"➤",""),"")</f>
        <v/>
      </c>
      <c r="SI54" s="76" t="str">
        <f aca="false">IF($I54&gt;0%,IF(AND(SI$16&gt;=$F54,SI$16&lt;$F54+($G54*$I54)),"➤",""),"")</f>
        <v/>
      </c>
      <c r="SJ54" s="76" t="str">
        <f aca="false">IF($I54&gt;0%,IF(AND(SJ$16&gt;=$F54,SJ$16&lt;$F54+($G54*$I54)),"➤",""),"")</f>
        <v/>
      </c>
      <c r="SK54" s="76" t="str">
        <f aca="false">IF($I54&gt;0%,IF(AND(SK$16&gt;=$F54,SK$16&lt;$F54+($G54*$I54)),"➤",""),"")</f>
        <v/>
      </c>
      <c r="SL54" s="76" t="str">
        <f aca="false">IF($I54&gt;0%,IF(AND(SL$16&gt;=$F54,SL$16&lt;$F54+($G54*$I54)),"➤",""),"")</f>
        <v/>
      </c>
      <c r="SM54" s="76" t="str">
        <f aca="false">IF($I54&gt;0%,IF(AND(SM$16&gt;=$F54,SM$16&lt;$F54+($G54*$I54)),"➤",""),"")</f>
        <v/>
      </c>
      <c r="SN54" s="76" t="str">
        <f aca="false">IF($I54&gt;0%,IF(AND(SN$16&gt;=$F54,SN$16&lt;$F54+($G54*$I54)),"➤",""),"")</f>
        <v/>
      </c>
      <c r="SO54" s="76" t="str">
        <f aca="false">IF($I54&gt;0%,IF(AND(SO$16&gt;=$F54,SO$16&lt;$F54+($G54*$I54)),"➤",""),"")</f>
        <v/>
      </c>
      <c r="SP54" s="76" t="str">
        <f aca="false">IF($I54&gt;0%,IF(AND(SP$16&gt;=$F54,SP$16&lt;$F54+($G54*$I54)),"➤",""),"")</f>
        <v/>
      </c>
      <c r="SQ54" s="76" t="str">
        <f aca="false">IF($I54&gt;0%,IF(AND(SQ$16&gt;=$F54,SQ$16&lt;$F54+($G54*$I54)),"➤",""),"")</f>
        <v/>
      </c>
      <c r="SR54" s="76" t="str">
        <f aca="false">IF($I54&gt;0%,IF(AND(SR$16&gt;=$F54,SR$16&lt;$F54+($G54*$I54)),"➤",""),"")</f>
        <v/>
      </c>
      <c r="SS54" s="76" t="str">
        <f aca="false">IF($I54&gt;0%,IF(AND(SS$16&gt;=$F54,SS$16&lt;$F54+($G54*$I54)),"➤",""),"")</f>
        <v/>
      </c>
      <c r="ST54" s="76" t="str">
        <f aca="false">IF($I54&gt;0%,IF(AND(ST$16&gt;=$F54,ST$16&lt;$F54+($G54*$I54)),"➤",""),"")</f>
        <v/>
      </c>
      <c r="SU54" s="76" t="str">
        <f aca="false">IF($I54&gt;0%,IF(AND(SU$16&gt;=$F54,SU$16&lt;$F54+($G54*$I54)),"➤",""),"")</f>
        <v/>
      </c>
      <c r="SV54" s="76" t="str">
        <f aca="false">IF($I54&gt;0%,IF(AND(SV$16&gt;=$F54,SV$16&lt;$F54+($G54*$I54)),"➤",""),"")</f>
        <v/>
      </c>
      <c r="SW54" s="77" t="str">
        <f aca="false">IF($I54&gt;0%,IF(AND(SW$16&gt;=$F54,SW$16&lt;$F54+($G54*$I54)),"➤",""),"")</f>
        <v/>
      </c>
    </row>
    <row r="55" customFormat="false" ht="14.25" hidden="false" customHeight="false" outlineLevel="1" collapsed="false">
      <c r="C55" s="10"/>
      <c r="D55" s="112"/>
      <c r="E55" s="79"/>
      <c r="F55" s="80" t="n">
        <v>44189</v>
      </c>
      <c r="G55" s="81" t="n">
        <v>2</v>
      </c>
      <c r="H55" s="94" t="n">
        <f aca="false">(F55+G55)-1</f>
        <v>44190</v>
      </c>
      <c r="I55" s="95" t="n">
        <v>0</v>
      </c>
      <c r="J55" s="84"/>
      <c r="K55" s="85"/>
      <c r="L55" s="75" t="str">
        <f aca="false">IF($I55&gt;0%,IF(AND(L$16&gt;=$F55,L$16&lt;$F55+($G55*$I55)),"➤",""),"")</f>
        <v/>
      </c>
      <c r="M55" s="76" t="str">
        <f aca="false">IF($I55&gt;0%,IF(AND(M$16&gt;=$F55,M$16&lt;$F55+($G55*$I55)),"➤",""),"")</f>
        <v/>
      </c>
      <c r="N55" s="76" t="str">
        <f aca="false">IF($I55&gt;0%,IF(AND(N$16&gt;=$F55,N$16&lt;$F55+($G55*$I55)),"➤",""),"")</f>
        <v/>
      </c>
      <c r="O55" s="76" t="str">
        <f aca="false">IF($I55&gt;0%,IF(AND(O$16&gt;=$F55,O$16&lt;$F55+($G55*$I55)),"➤",""),"")</f>
        <v/>
      </c>
      <c r="P55" s="76" t="str">
        <f aca="false">IF($I55&gt;0%,IF(AND(P$16&gt;=$F55,P$16&lt;$F55+($G55*$I55)),"➤",""),"")</f>
        <v/>
      </c>
      <c r="Q55" s="76" t="str">
        <f aca="false">IF($I55&gt;0%,IF(AND(Q$16&gt;=$F55,Q$16&lt;$F55+($G55*$I55)),"➤",""),"")</f>
        <v/>
      </c>
      <c r="R55" s="76" t="str">
        <f aca="false">IF($I55&gt;0%,IF(AND(R$16&gt;=$F55,R$16&lt;$F55+($G55*$I55)),"➤",""),"")</f>
        <v/>
      </c>
      <c r="S55" s="76" t="str">
        <f aca="false">IF($I55&gt;0%,IF(AND(S$16&gt;=$F55,S$16&lt;$F55+($G55*$I55)),"➤",""),"")</f>
        <v/>
      </c>
      <c r="T55" s="76" t="str">
        <f aca="false">IF($I55&gt;0%,IF(AND(T$16&gt;=$F55,T$16&lt;$F55+($G55*$I55)),"➤",""),"")</f>
        <v/>
      </c>
      <c r="U55" s="76" t="str">
        <f aca="false">IF($I55&gt;0%,IF(AND(U$16&gt;=$F55,U$16&lt;$F55+($G55*$I55)),"➤",""),"")</f>
        <v/>
      </c>
      <c r="V55" s="76" t="str">
        <f aca="false">IF($I55&gt;0%,IF(AND(V$16&gt;=$F55,V$16&lt;$F55+($G55*$I55)),"➤",""),"")</f>
        <v/>
      </c>
      <c r="W55" s="76" t="str">
        <f aca="false">IF($I55&gt;0%,IF(AND(W$16&gt;=$F55,W$16&lt;$F55+($G55*$I55)),"➤",""),"")</f>
        <v/>
      </c>
      <c r="X55" s="76" t="str">
        <f aca="false">IF($I55&gt;0%,IF(AND(X$16&gt;=$F55,X$16&lt;$F55+($G55*$I55)),"➤",""),"")</f>
        <v/>
      </c>
      <c r="Y55" s="76" t="str">
        <f aca="false">IF($I55&gt;0%,IF(AND(Y$16&gt;=$F55,Y$16&lt;$F55+($G55*$I55)),"➤",""),"")</f>
        <v/>
      </c>
      <c r="Z55" s="76" t="str">
        <f aca="false">IF($I55&gt;0%,IF(AND(Z$16&gt;=$F55,Z$16&lt;$F55+($G55*$I55)),"➤",""),"")</f>
        <v/>
      </c>
      <c r="AA55" s="76" t="str">
        <f aca="false">IF($I55&gt;0%,IF(AND(AA$16&gt;=$F55,AA$16&lt;$F55+($G55*$I55)),"➤",""),"")</f>
        <v/>
      </c>
      <c r="AB55" s="76" t="str">
        <f aca="false">IF($I55&gt;0%,IF(AND(AB$16&gt;=$F55,AB$16&lt;$F55+($G55*$I55)),"➤",""),"")</f>
        <v/>
      </c>
      <c r="AC55" s="76" t="str">
        <f aca="false">IF($I55&gt;0%,IF(AND(AC$16&gt;=$F55,AC$16&lt;$F55+($G55*$I55)),"➤",""),"")</f>
        <v/>
      </c>
      <c r="AD55" s="76" t="str">
        <f aca="false">IF($I55&gt;0%,IF(AND(AD$16&gt;=$F55,AD$16&lt;$F55+($G55*$I55)),"➤",""),"")</f>
        <v/>
      </c>
      <c r="AE55" s="76" t="str">
        <f aca="false">IF($I55&gt;0%,IF(AND(AE$16&gt;=$F55,AE$16&lt;$F55+($G55*$I55)),"➤",""),"")</f>
        <v/>
      </c>
      <c r="AF55" s="76" t="str">
        <f aca="false">IF($I55&gt;0%,IF(AND(AF$16&gt;=$F55,AF$16&lt;$F55+($G55*$I55)),"➤",""),"")</f>
        <v/>
      </c>
      <c r="AG55" s="76" t="str">
        <f aca="false">IF($I55&gt;0%,IF(AND(AG$16&gt;=$F55,AG$16&lt;$F55+($G55*$I55)),"➤",""),"")</f>
        <v/>
      </c>
      <c r="AH55" s="76" t="str">
        <f aca="false">IF($I55&gt;0%,IF(AND(AH$16&gt;=$F55,AH$16&lt;$F55+($G55*$I55)),"➤",""),"")</f>
        <v/>
      </c>
      <c r="AI55" s="76" t="str">
        <f aca="false">IF($I55&gt;0%,IF(AND(AI$16&gt;=$F55,AI$16&lt;$F55+($G55*$I55)),"➤",""),"")</f>
        <v/>
      </c>
      <c r="AJ55" s="76" t="str">
        <f aca="false">IF($I55&gt;0%,IF(AND(AJ$16&gt;=$F55,AJ$16&lt;$F55+($G55*$I55)),"➤",""),"")</f>
        <v/>
      </c>
      <c r="AK55" s="76" t="str">
        <f aca="false">IF($I55&gt;0%,IF(AND(AK$16&gt;=$F55,AK$16&lt;$F55+($G55*$I55)),"➤",""),"")</f>
        <v/>
      </c>
      <c r="AL55" s="76" t="str">
        <f aca="false">IF($I55&gt;0%,IF(AND(AL$16&gt;=$F55,AL$16&lt;$F55+($G55*$I55)),"➤",""),"")</f>
        <v/>
      </c>
      <c r="AM55" s="76" t="str">
        <f aca="false">IF($I55&gt;0%,IF(AND(AM$16&gt;=$F55,AM$16&lt;$F55+($G55*$I55)),"➤",""),"")</f>
        <v/>
      </c>
      <c r="AN55" s="76" t="str">
        <f aca="false">IF($I55&gt;0%,IF(AND(AN$16&gt;=$F55,AN$16&lt;$F55+($G55*$I55)),"➤",""),"")</f>
        <v/>
      </c>
      <c r="AO55" s="76" t="str">
        <f aca="false">IF($I55&gt;0%,IF(AND(AO$16&gt;=$F55,AO$16&lt;$F55+($G55*$I55)),"➤",""),"")</f>
        <v/>
      </c>
      <c r="AP55" s="76" t="str">
        <f aca="false">IF($I55&gt;0%,IF(AND(AP$16&gt;=$F55,AP$16&lt;$F55+($G55*$I55)),"➤",""),"")</f>
        <v/>
      </c>
      <c r="AQ55" s="76" t="str">
        <f aca="false">IF($I55&gt;0%,IF(AND(AQ$16&gt;=$F55,AQ$16&lt;$F55+($G55*$I55)),"➤",""),"")</f>
        <v/>
      </c>
      <c r="AR55" s="76" t="str">
        <f aca="false">IF($I55&gt;0%,IF(AND(AR$16&gt;=$F55,AR$16&lt;$F55+($G55*$I55)),"➤",""),"")</f>
        <v/>
      </c>
      <c r="AS55" s="76" t="str">
        <f aca="false">IF($I55&gt;0%,IF(AND(AS$16&gt;=$F55,AS$16&lt;$F55+($G55*$I55)),"➤",""),"")</f>
        <v/>
      </c>
      <c r="AT55" s="76" t="str">
        <f aca="false">IF($I55&gt;0%,IF(AND(AT$16&gt;=$F55,AT$16&lt;$F55+($G55*$I55)),"➤",""),"")</f>
        <v/>
      </c>
      <c r="AU55" s="76" t="str">
        <f aca="false">IF($I55&gt;0%,IF(AND(AU$16&gt;=$F55,AU$16&lt;$F55+($G55*$I55)),"➤",""),"")</f>
        <v/>
      </c>
      <c r="AV55" s="76" t="str">
        <f aca="false">IF($I55&gt;0%,IF(AND(AV$16&gt;=$F55,AV$16&lt;$F55+($G55*$I55)),"➤",""),"")</f>
        <v/>
      </c>
      <c r="AW55" s="76" t="str">
        <f aca="false">IF($I55&gt;0%,IF(AND(AW$16&gt;=$F55,AW$16&lt;$F55+($G55*$I55)),"➤",""),"")</f>
        <v/>
      </c>
      <c r="AX55" s="76" t="str">
        <f aca="false">IF($I55&gt;0%,IF(AND(AX$16&gt;=$F55,AX$16&lt;$F55+($G55*$I55)),"➤",""),"")</f>
        <v/>
      </c>
      <c r="AY55" s="76" t="str">
        <f aca="false">IF($I55&gt;0%,IF(AND(AY$16&gt;=$F55,AY$16&lt;$F55+($G55*$I55)),"➤",""),"")</f>
        <v/>
      </c>
      <c r="AZ55" s="76" t="str">
        <f aca="false">IF($I55&gt;0%,IF(AND(AZ$16&gt;=$F55,AZ$16&lt;$F55+($G55*$I55)),"➤",""),"")</f>
        <v/>
      </c>
      <c r="BA55" s="76" t="str">
        <f aca="false">IF($I55&gt;0%,IF(AND(BA$16&gt;=$F55,BA$16&lt;$F55+($G55*$I55)),"➤",""),"")</f>
        <v/>
      </c>
      <c r="BB55" s="76" t="str">
        <f aca="false">IF($I55&gt;0%,IF(AND(BB$16&gt;=$F55,BB$16&lt;$F55+($G55*$I55)),"➤",""),"")</f>
        <v/>
      </c>
      <c r="BC55" s="76" t="str">
        <f aca="false">IF($I55&gt;0%,IF(AND(BC$16&gt;=$F55,BC$16&lt;$F55+($G55*$I55)),"➤",""),"")</f>
        <v/>
      </c>
      <c r="BD55" s="76" t="str">
        <f aca="false">IF($I55&gt;0%,IF(AND(BD$16&gt;=$F55,BD$16&lt;$F55+($G55*$I55)),"➤",""),"")</f>
        <v/>
      </c>
      <c r="BE55" s="76" t="str">
        <f aca="false">IF($I55&gt;0%,IF(AND(BE$16&gt;=$F55,BE$16&lt;$F55+($G55*$I55)),"➤",""),"")</f>
        <v/>
      </c>
      <c r="BF55" s="76" t="str">
        <f aca="false">IF($I55&gt;0%,IF(AND(BF$16&gt;=$F55,BF$16&lt;$F55+($G55*$I55)),"➤",""),"")</f>
        <v/>
      </c>
      <c r="BG55" s="76" t="str">
        <f aca="false">IF($I55&gt;0%,IF(AND(BG$16&gt;=$F55,BG$16&lt;$F55+($G55*$I55)),"➤",""),"")</f>
        <v/>
      </c>
      <c r="BH55" s="76" t="str">
        <f aca="false">IF($I55&gt;0%,IF(AND(BH$16&gt;=$F55,BH$16&lt;$F55+($G55*$I55)),"➤",""),"")</f>
        <v/>
      </c>
      <c r="BI55" s="76" t="str">
        <f aca="false">IF($I55&gt;0%,IF(AND(BI$16&gt;=$F55,BI$16&lt;$F55+($G55*$I55)),"➤",""),"")</f>
        <v/>
      </c>
      <c r="BJ55" s="76" t="str">
        <f aca="false">IF($I55&gt;0%,IF(AND(BJ$16&gt;=$F55,BJ$16&lt;$F55+($G55*$I55)),"➤",""),"")</f>
        <v/>
      </c>
      <c r="BK55" s="76" t="str">
        <f aca="false">IF($I55&gt;0%,IF(AND(BK$16&gt;=$F55,BK$16&lt;$F55+($G55*$I55)),"➤",""),"")</f>
        <v/>
      </c>
      <c r="BL55" s="76" t="str">
        <f aca="false">IF($I55&gt;0%,IF(AND(BL$16&gt;=$F55,BL$16&lt;$F55+($G55*$I55)),"➤",""),"")</f>
        <v/>
      </c>
      <c r="BM55" s="76" t="str">
        <f aca="false">IF($I55&gt;0%,IF(AND(BM$16&gt;=$F55,BM$16&lt;$F55+($G55*$I55)),"➤",""),"")</f>
        <v/>
      </c>
      <c r="BN55" s="76" t="str">
        <f aca="false">IF($I55&gt;0%,IF(AND(BN$16&gt;=$F55,BN$16&lt;$F55+($G55*$I55)),"➤",""),"")</f>
        <v/>
      </c>
      <c r="BO55" s="76" t="str">
        <f aca="false">IF($I55&gt;0%,IF(AND(BO$16&gt;=$F55,BO$16&lt;$F55+($G55*$I55)),"➤",""),"")</f>
        <v/>
      </c>
      <c r="BP55" s="76" t="str">
        <f aca="false">IF($I55&gt;0%,IF(AND(BP$16&gt;=$F55,BP$16&lt;$F55+($G55*$I55)),"➤",""),"")</f>
        <v/>
      </c>
      <c r="BQ55" s="76" t="str">
        <f aca="false">IF($I55&gt;0%,IF(AND(BQ$16&gt;=$F55,BQ$16&lt;$F55+($G55*$I55)),"➤",""),"")</f>
        <v/>
      </c>
      <c r="BR55" s="76" t="str">
        <f aca="false">IF($I55&gt;0%,IF(AND(BR$16&gt;=$F55,BR$16&lt;$F55+($G55*$I55)),"➤",""),"")</f>
        <v/>
      </c>
      <c r="BS55" s="76" t="str">
        <f aca="false">IF($I55&gt;0%,IF(AND(BS$16&gt;=$F55,BS$16&lt;$F55+($G55*$I55)),"➤",""),"")</f>
        <v/>
      </c>
      <c r="BT55" s="76" t="str">
        <f aca="false">IF($I55&gt;0%,IF(AND(BT$16&gt;=$F55,BT$16&lt;$F55+($G55*$I55)),"➤",""),"")</f>
        <v/>
      </c>
      <c r="BU55" s="76" t="str">
        <f aca="false">IF($I55&gt;0%,IF(AND(BU$16&gt;=$F55,BU$16&lt;$F55+($G55*$I55)),"➤",""),"")</f>
        <v/>
      </c>
      <c r="BV55" s="76" t="str">
        <f aca="false">IF($I55&gt;0%,IF(AND(BV$16&gt;=$F55,BV$16&lt;$F55+($G55*$I55)),"➤",""),"")</f>
        <v/>
      </c>
      <c r="BW55" s="76" t="str">
        <f aca="false">IF($I55&gt;0%,IF(AND(BW$16&gt;=$F55,BW$16&lt;$F55+($G55*$I55)),"➤",""),"")</f>
        <v/>
      </c>
      <c r="BX55" s="76" t="str">
        <f aca="false">IF($I55&gt;0%,IF(AND(BX$16&gt;=$F55,BX$16&lt;$F55+($G55*$I55)),"➤",""),"")</f>
        <v/>
      </c>
      <c r="BY55" s="76" t="str">
        <f aca="false">IF($I55&gt;0%,IF(AND(BY$16&gt;=$F55,BY$16&lt;$F55+($G55*$I55)),"➤",""),"")</f>
        <v/>
      </c>
      <c r="BZ55" s="76" t="str">
        <f aca="false">IF($I55&gt;0%,IF(AND(BZ$16&gt;=$F55,BZ$16&lt;$F55+($G55*$I55)),"➤",""),"")</f>
        <v/>
      </c>
      <c r="CA55" s="76" t="str">
        <f aca="false">IF($I55&gt;0%,IF(AND(CA$16&gt;=$F55,CA$16&lt;$F55+($G55*$I55)),"➤",""),"")</f>
        <v/>
      </c>
      <c r="CB55" s="76" t="str">
        <f aca="false">IF($I55&gt;0%,IF(AND(CB$16&gt;=$F55,CB$16&lt;$F55+($G55*$I55)),"➤",""),"")</f>
        <v/>
      </c>
      <c r="CC55" s="76" t="str">
        <f aca="false">IF($I55&gt;0%,IF(AND(CC$16&gt;=$F55,CC$16&lt;$F55+($G55*$I55)),"➤",""),"")</f>
        <v/>
      </c>
      <c r="CD55" s="76" t="str">
        <f aca="false">IF($I55&gt;0%,IF(AND(CD$16&gt;=$F55,CD$16&lt;$F55+($G55*$I55)),"➤",""),"")</f>
        <v/>
      </c>
      <c r="CE55" s="76" t="str">
        <f aca="false">IF($I55&gt;0%,IF(AND(CE$16&gt;=$F55,CE$16&lt;$F55+($G55*$I55)),"➤",""),"")</f>
        <v/>
      </c>
      <c r="CF55" s="76" t="str">
        <f aca="false">IF($I55&gt;0%,IF(AND(CF$16&gt;=$F55,CF$16&lt;$F55+($G55*$I55)),"➤",""),"")</f>
        <v/>
      </c>
      <c r="CG55" s="76" t="str">
        <f aca="false">IF($I55&gt;0%,IF(AND(CG$16&gt;=$F55,CG$16&lt;$F55+($G55*$I55)),"➤",""),"")</f>
        <v/>
      </c>
      <c r="CH55" s="76" t="str">
        <f aca="false">IF($I55&gt;0%,IF(AND(CH$16&gt;=$F55,CH$16&lt;$F55+($G55*$I55)),"➤",""),"")</f>
        <v/>
      </c>
      <c r="CI55" s="76" t="str">
        <f aca="false">IF($I55&gt;0%,IF(AND(CI$16&gt;=$F55,CI$16&lt;$F55+($G55*$I55)),"➤",""),"")</f>
        <v/>
      </c>
      <c r="CJ55" s="76" t="str">
        <f aca="false">IF($I55&gt;0%,IF(AND(CJ$16&gt;=$F55,CJ$16&lt;$F55+($G55*$I55)),"➤",""),"")</f>
        <v/>
      </c>
      <c r="CK55" s="76" t="str">
        <f aca="false">IF($I55&gt;0%,IF(AND(CK$16&gt;=$F55,CK$16&lt;$F55+($G55*$I55)),"➤",""),"")</f>
        <v/>
      </c>
      <c r="CL55" s="76" t="str">
        <f aca="false">IF($I55&gt;0%,IF(AND(CL$16&gt;=$F55,CL$16&lt;$F55+($G55*$I55)),"➤",""),"")</f>
        <v/>
      </c>
      <c r="CM55" s="76" t="str">
        <f aca="false">IF($I55&gt;0%,IF(AND(CM$16&gt;=$F55,CM$16&lt;$F55+($G55*$I55)),"➤",""),"")</f>
        <v/>
      </c>
      <c r="CN55" s="76" t="str">
        <f aca="false">IF($I55&gt;0%,IF(AND(CN$16&gt;=$F55,CN$16&lt;$F55+($G55*$I55)),"➤",""),"")</f>
        <v/>
      </c>
      <c r="CO55" s="76" t="str">
        <f aca="false">IF($I55&gt;0%,IF(AND(CO$16&gt;=$F55,CO$16&lt;$F55+($G55*$I55)),"➤",""),"")</f>
        <v/>
      </c>
      <c r="CP55" s="76" t="str">
        <f aca="false">IF($I55&gt;0%,IF(AND(CP$16&gt;=$F55,CP$16&lt;$F55+($G55*$I55)),"➤",""),"")</f>
        <v/>
      </c>
      <c r="CQ55" s="76" t="str">
        <f aca="false">IF($I55&gt;0%,IF(AND(CQ$16&gt;=$F55,CQ$16&lt;$F55+($G55*$I55)),"➤",""),"")</f>
        <v/>
      </c>
      <c r="CR55" s="76" t="str">
        <f aca="false">IF($I55&gt;0%,IF(AND(CR$16&gt;=$F55,CR$16&lt;$F55+($G55*$I55)),"➤",""),"")</f>
        <v/>
      </c>
      <c r="CS55" s="76" t="str">
        <f aca="false">IF($I55&gt;0%,IF(AND(CS$16&gt;=$F55,CS$16&lt;$F55+($G55*$I55)),"➤",""),"")</f>
        <v/>
      </c>
      <c r="CT55" s="76" t="str">
        <f aca="false">IF($I55&gt;0%,IF(AND(CT$16&gt;=$F55,CT$16&lt;$F55+($G55*$I55)),"➤",""),"")</f>
        <v/>
      </c>
      <c r="CU55" s="76" t="str">
        <f aca="false">IF($I55&gt;0%,IF(AND(CU$16&gt;=$F55,CU$16&lt;$F55+($G55*$I55)),"➤",""),"")</f>
        <v/>
      </c>
      <c r="CV55" s="76" t="str">
        <f aca="false">IF($I55&gt;0%,IF(AND(CV$16&gt;=$F55,CV$16&lt;$F55+($G55*$I55)),"➤",""),"")</f>
        <v/>
      </c>
      <c r="CW55" s="76" t="str">
        <f aca="false">IF($I55&gt;0%,IF(AND(CW$16&gt;=$F55,CW$16&lt;$F55+($G55*$I55)),"➤",""),"")</f>
        <v/>
      </c>
      <c r="CX55" s="76" t="str">
        <f aca="false">IF($I55&gt;0%,IF(AND(CX$16&gt;=$F55,CX$16&lt;$F55+($G55*$I55)),"➤",""),"")</f>
        <v/>
      </c>
      <c r="CY55" s="76" t="str">
        <f aca="false">IF($I55&gt;0%,IF(AND(CY$16&gt;=$F55,CY$16&lt;$F55+($G55*$I55)),"➤",""),"")</f>
        <v/>
      </c>
      <c r="CZ55" s="76" t="str">
        <f aca="false">IF($I55&gt;0%,IF(AND(CZ$16&gt;=$F55,CZ$16&lt;$F55+($G55*$I55)),"➤",""),"")</f>
        <v/>
      </c>
      <c r="DA55" s="76" t="str">
        <f aca="false">IF($I55&gt;0%,IF(AND(DA$16&gt;=$F55,DA$16&lt;$F55+($G55*$I55)),"➤",""),"")</f>
        <v/>
      </c>
      <c r="DB55" s="76" t="str">
        <f aca="false">IF($I55&gt;0%,IF(AND(DB$16&gt;=$F55,DB$16&lt;$F55+($G55*$I55)),"➤",""),"")</f>
        <v/>
      </c>
      <c r="DC55" s="76" t="str">
        <f aca="false">IF($I55&gt;0%,IF(AND(DC$16&gt;=$F55,DC$16&lt;$F55+($G55*$I55)),"➤",""),"")</f>
        <v/>
      </c>
      <c r="DD55" s="76" t="str">
        <f aca="false">IF($I55&gt;0%,IF(AND(DD$16&gt;=$F55,DD$16&lt;$F55+($G55*$I55)),"➤",""),"")</f>
        <v/>
      </c>
      <c r="DE55" s="76" t="str">
        <f aca="false">IF($I55&gt;0%,IF(AND(DE$16&gt;=$F55,DE$16&lt;$F55+($G55*$I55)),"➤",""),"")</f>
        <v/>
      </c>
      <c r="DF55" s="76" t="str">
        <f aca="false">IF($I55&gt;0%,IF(AND(DF$16&gt;=$F55,DF$16&lt;$F55+($G55*$I55)),"➤",""),"")</f>
        <v/>
      </c>
      <c r="DG55" s="76" t="str">
        <f aca="false">IF($I55&gt;0%,IF(AND(DG$16&gt;=$F55,DG$16&lt;$F55+($G55*$I55)),"➤",""),"")</f>
        <v/>
      </c>
      <c r="DH55" s="76" t="str">
        <f aca="false">IF($I55&gt;0%,IF(AND(DH$16&gt;=$F55,DH$16&lt;$F55+($G55*$I55)),"➤",""),"")</f>
        <v/>
      </c>
      <c r="DI55" s="76" t="str">
        <f aca="false">IF($I55&gt;0%,IF(AND(DI$16&gt;=$F55,DI$16&lt;$F55+($G55*$I55)),"➤",""),"")</f>
        <v/>
      </c>
      <c r="DJ55" s="76" t="str">
        <f aca="false">IF($I55&gt;0%,IF(AND(DJ$16&gt;=$F55,DJ$16&lt;$F55+($G55*$I55)),"➤",""),"")</f>
        <v/>
      </c>
      <c r="DK55" s="76" t="str">
        <f aca="false">IF($I55&gt;0%,IF(AND(DK$16&gt;=$F55,DK$16&lt;$F55+($G55*$I55)),"➤",""),"")</f>
        <v/>
      </c>
      <c r="DL55" s="76" t="str">
        <f aca="false">IF($I55&gt;0%,IF(AND(DL$16&gt;=$F55,DL$16&lt;$F55+($G55*$I55)),"➤",""),"")</f>
        <v/>
      </c>
      <c r="DM55" s="76" t="str">
        <f aca="false">IF($I55&gt;0%,IF(AND(DM$16&gt;=$F55,DM$16&lt;$F55+($G55*$I55)),"➤",""),"")</f>
        <v/>
      </c>
      <c r="DN55" s="76" t="str">
        <f aca="false">IF($I55&gt;0%,IF(AND(DN$16&gt;=$F55,DN$16&lt;$F55+($G55*$I55)),"➤",""),"")</f>
        <v/>
      </c>
      <c r="DO55" s="76" t="str">
        <f aca="false">IF($I55&gt;0%,IF(AND(DO$16&gt;=$F55,DO$16&lt;$F55+($G55*$I55)),"➤",""),"")</f>
        <v/>
      </c>
      <c r="DP55" s="76" t="str">
        <f aca="false">IF($I55&gt;0%,IF(AND(DP$16&gt;=$F55,DP$16&lt;$F55+($G55*$I55)),"➤",""),"")</f>
        <v/>
      </c>
      <c r="DQ55" s="76" t="str">
        <f aca="false">IF($I55&gt;0%,IF(AND(DQ$16&gt;=$F55,DQ$16&lt;$F55+($G55*$I55)),"➤",""),"")</f>
        <v/>
      </c>
      <c r="DR55" s="76" t="str">
        <f aca="false">IF($I55&gt;0%,IF(AND(DR$16&gt;=$F55,DR$16&lt;$F55+($G55*$I55)),"➤",""),"")</f>
        <v/>
      </c>
      <c r="DS55" s="76" t="str">
        <f aca="false">IF($I55&gt;0%,IF(AND(DS$16&gt;=$F55,DS$16&lt;$F55+($G55*$I55)),"➤",""),"")</f>
        <v/>
      </c>
      <c r="DT55" s="76" t="str">
        <f aca="false">IF($I55&gt;0%,IF(AND(DT$16&gt;=$F55,DT$16&lt;$F55+($G55*$I55)),"➤",""),"")</f>
        <v/>
      </c>
      <c r="DU55" s="76" t="str">
        <f aca="false">IF($I55&gt;0%,IF(AND(DU$16&gt;=$F55,DU$16&lt;$F55+($G55*$I55)),"➤",""),"")</f>
        <v/>
      </c>
      <c r="DV55" s="76" t="str">
        <f aca="false">IF($I55&gt;0%,IF(AND(DV$16&gt;=$F55,DV$16&lt;$F55+($G55*$I55)),"➤",""),"")</f>
        <v/>
      </c>
      <c r="DW55" s="76" t="str">
        <f aca="false">IF($I55&gt;0%,IF(AND(DW$16&gt;=$F55,DW$16&lt;$F55+($G55*$I55)),"➤",""),"")</f>
        <v/>
      </c>
      <c r="DX55" s="76" t="str">
        <f aca="false">IF($I55&gt;0%,IF(AND(DX$16&gt;=$F55,DX$16&lt;$F55+($G55*$I55)),"➤",""),"")</f>
        <v/>
      </c>
      <c r="DY55" s="76" t="str">
        <f aca="false">IF($I55&gt;0%,IF(AND(DY$16&gt;=$F55,DY$16&lt;$F55+($G55*$I55)),"➤",""),"")</f>
        <v/>
      </c>
      <c r="DZ55" s="76" t="str">
        <f aca="false">IF($I55&gt;0%,IF(AND(DZ$16&gt;=$F55,DZ$16&lt;$F55+($G55*$I55)),"➤",""),"")</f>
        <v/>
      </c>
      <c r="EA55" s="76" t="str">
        <f aca="false">IF($I55&gt;0%,IF(AND(EA$16&gt;=$F55,EA$16&lt;$F55+($G55*$I55)),"➤",""),"")</f>
        <v/>
      </c>
      <c r="EB55" s="76" t="str">
        <f aca="false">IF($I55&gt;0%,IF(AND(EB$16&gt;=$F55,EB$16&lt;$F55+($G55*$I55)),"➤",""),"")</f>
        <v/>
      </c>
      <c r="EC55" s="76" t="str">
        <f aca="false">IF($I55&gt;0%,IF(AND(EC$16&gt;=$F55,EC$16&lt;$F55+($G55*$I55)),"➤",""),"")</f>
        <v/>
      </c>
      <c r="ED55" s="76" t="str">
        <f aca="false">IF($I55&gt;0%,IF(AND(ED$16&gt;=$F55,ED$16&lt;$F55+($G55*$I55)),"➤",""),"")</f>
        <v/>
      </c>
      <c r="EE55" s="76" t="str">
        <f aca="false">IF($I55&gt;0%,IF(AND(EE$16&gt;=$F55,EE$16&lt;$F55+($G55*$I55)),"➤",""),"")</f>
        <v/>
      </c>
      <c r="EF55" s="76" t="str">
        <f aca="false">IF($I55&gt;0%,IF(AND(EF$16&gt;=$F55,EF$16&lt;$F55+($G55*$I55)),"➤",""),"")</f>
        <v/>
      </c>
      <c r="EG55" s="76" t="str">
        <f aca="false">IF($I55&gt;0%,IF(AND(EG$16&gt;=$F55,EG$16&lt;$F55+($G55*$I55)),"➤",""),"")</f>
        <v/>
      </c>
      <c r="EH55" s="76" t="str">
        <f aca="false">IF($I55&gt;0%,IF(AND(EH$16&gt;=$F55,EH$16&lt;$F55+($G55*$I55)),"➤",""),"")</f>
        <v/>
      </c>
      <c r="EI55" s="76" t="str">
        <f aca="false">IF($I55&gt;0%,IF(AND(EI$16&gt;=$F55,EI$16&lt;$F55+($G55*$I55)),"➤",""),"")</f>
        <v/>
      </c>
      <c r="EJ55" s="76" t="str">
        <f aca="false">IF($I55&gt;0%,IF(AND(EJ$16&gt;=$F55,EJ$16&lt;$F55+($G55*$I55)),"➤",""),"")</f>
        <v/>
      </c>
      <c r="EK55" s="76" t="str">
        <f aca="false">IF($I55&gt;0%,IF(AND(EK$16&gt;=$F55,EK$16&lt;$F55+($G55*$I55)),"➤",""),"")</f>
        <v/>
      </c>
      <c r="EL55" s="76" t="str">
        <f aca="false">IF($I55&gt;0%,IF(AND(EL$16&gt;=$F55,EL$16&lt;$F55+($G55*$I55)),"➤",""),"")</f>
        <v/>
      </c>
      <c r="EM55" s="76" t="str">
        <f aca="false">IF($I55&gt;0%,IF(AND(EM$16&gt;=$F55,EM$16&lt;$F55+($G55*$I55)),"➤",""),"")</f>
        <v/>
      </c>
      <c r="EN55" s="76" t="str">
        <f aca="false">IF($I55&gt;0%,IF(AND(EN$16&gt;=$F55,EN$16&lt;$F55+($G55*$I55)),"➤",""),"")</f>
        <v/>
      </c>
      <c r="EO55" s="76" t="str">
        <f aca="false">IF($I55&gt;0%,IF(AND(EO$16&gt;=$F55,EO$16&lt;$F55+($G55*$I55)),"➤",""),"")</f>
        <v/>
      </c>
      <c r="EP55" s="76" t="str">
        <f aca="false">IF($I55&gt;0%,IF(AND(EP$16&gt;=$F55,EP$16&lt;$F55+($G55*$I55)),"➤",""),"")</f>
        <v/>
      </c>
      <c r="EQ55" s="76" t="str">
        <f aca="false">IF($I55&gt;0%,IF(AND(EQ$16&gt;=$F55,EQ$16&lt;$F55+($G55*$I55)),"➤",""),"")</f>
        <v/>
      </c>
      <c r="ER55" s="76" t="str">
        <f aca="false">IF($I55&gt;0%,IF(AND(ER$16&gt;=$F55,ER$16&lt;$F55+($G55*$I55)),"➤",""),"")</f>
        <v/>
      </c>
      <c r="ES55" s="76" t="str">
        <f aca="false">IF($I55&gt;0%,IF(AND(ES$16&gt;=$F55,ES$16&lt;$F55+($G55*$I55)),"➤",""),"")</f>
        <v/>
      </c>
      <c r="ET55" s="76" t="str">
        <f aca="false">IF($I55&gt;0%,IF(AND(ET$16&gt;=$F55,ET$16&lt;$F55+($G55*$I55)),"➤",""),"")</f>
        <v/>
      </c>
      <c r="EU55" s="76" t="str">
        <f aca="false">IF($I55&gt;0%,IF(AND(EU$16&gt;=$F55,EU$16&lt;$F55+($G55*$I55)),"➤",""),"")</f>
        <v/>
      </c>
      <c r="EV55" s="76" t="str">
        <f aca="false">IF($I55&gt;0%,IF(AND(EV$16&gt;=$F55,EV$16&lt;$F55+($G55*$I55)),"➤",""),"")</f>
        <v/>
      </c>
      <c r="EW55" s="76" t="str">
        <f aca="false">IF($I55&gt;0%,IF(AND(EW$16&gt;=$F55,EW$16&lt;$F55+($G55*$I55)),"➤",""),"")</f>
        <v/>
      </c>
      <c r="EX55" s="76" t="str">
        <f aca="false">IF($I55&gt;0%,IF(AND(EX$16&gt;=$F55,EX$16&lt;$F55+($G55*$I55)),"➤",""),"")</f>
        <v/>
      </c>
      <c r="EY55" s="76" t="str">
        <f aca="false">IF($I55&gt;0%,IF(AND(EY$16&gt;=$F55,EY$16&lt;$F55+($G55*$I55)),"➤",""),"")</f>
        <v/>
      </c>
      <c r="EZ55" s="76" t="str">
        <f aca="false">IF($I55&gt;0%,IF(AND(EZ$16&gt;=$F55,EZ$16&lt;$F55+($G55*$I55)),"➤",""),"")</f>
        <v/>
      </c>
      <c r="FA55" s="76" t="str">
        <f aca="false">IF($I55&gt;0%,IF(AND(FA$16&gt;=$F55,FA$16&lt;$F55+($G55*$I55)),"➤",""),"")</f>
        <v/>
      </c>
      <c r="FB55" s="76" t="str">
        <f aca="false">IF($I55&gt;0%,IF(AND(FB$16&gt;=$F55,FB$16&lt;$F55+($G55*$I55)),"➤",""),"")</f>
        <v/>
      </c>
      <c r="FC55" s="76" t="str">
        <f aca="false">IF($I55&gt;0%,IF(AND(FC$16&gt;=$F55,FC$16&lt;$F55+($G55*$I55)),"➤",""),"")</f>
        <v/>
      </c>
      <c r="FD55" s="76" t="str">
        <f aca="false">IF($I55&gt;0%,IF(AND(FD$16&gt;=$F55,FD$16&lt;$F55+($G55*$I55)),"➤",""),"")</f>
        <v/>
      </c>
      <c r="FE55" s="76" t="str">
        <f aca="false">IF($I55&gt;0%,IF(AND(FE$16&gt;=$F55,FE$16&lt;$F55+($G55*$I55)),"➤",""),"")</f>
        <v/>
      </c>
      <c r="FF55" s="76" t="str">
        <f aca="false">IF($I55&gt;0%,IF(AND(FF$16&gt;=$F55,FF$16&lt;$F55+($G55*$I55)),"➤",""),"")</f>
        <v/>
      </c>
      <c r="FG55" s="76" t="str">
        <f aca="false">IF($I55&gt;0%,IF(AND(FG$16&gt;=$F55,FG$16&lt;$F55+($G55*$I55)),"➤",""),"")</f>
        <v/>
      </c>
      <c r="FH55" s="76" t="str">
        <f aca="false">IF($I55&gt;0%,IF(AND(FH$16&gt;=$F55,FH$16&lt;$F55+($G55*$I55)),"➤",""),"")</f>
        <v/>
      </c>
      <c r="FI55" s="76" t="str">
        <f aca="false">IF($I55&gt;0%,IF(AND(FI$16&gt;=$F55,FI$16&lt;$F55+($G55*$I55)),"➤",""),"")</f>
        <v/>
      </c>
      <c r="FJ55" s="76" t="str">
        <f aca="false">IF($I55&gt;0%,IF(AND(FJ$16&gt;=$F55,FJ$16&lt;$F55+($G55*$I55)),"➤",""),"")</f>
        <v/>
      </c>
      <c r="FK55" s="76" t="str">
        <f aca="false">IF($I55&gt;0%,IF(AND(FK$16&gt;=$F55,FK$16&lt;$F55+($G55*$I55)),"➤",""),"")</f>
        <v/>
      </c>
      <c r="FL55" s="76" t="str">
        <f aca="false">IF($I55&gt;0%,IF(AND(FL$16&gt;=$F55,FL$16&lt;$F55+($G55*$I55)),"➤",""),"")</f>
        <v/>
      </c>
      <c r="FM55" s="76" t="str">
        <f aca="false">IF($I55&gt;0%,IF(AND(FM$16&gt;=$F55,FM$16&lt;$F55+($G55*$I55)),"➤",""),"")</f>
        <v/>
      </c>
      <c r="FN55" s="76" t="str">
        <f aca="false">IF($I55&gt;0%,IF(AND(FN$16&gt;=$F55,FN$16&lt;$F55+($G55*$I55)),"➤",""),"")</f>
        <v/>
      </c>
      <c r="FO55" s="76" t="str">
        <f aca="false">IF($I55&gt;0%,IF(AND(FO$16&gt;=$F55,FO$16&lt;$F55+($G55*$I55)),"➤",""),"")</f>
        <v/>
      </c>
      <c r="FP55" s="76" t="str">
        <f aca="false">IF($I55&gt;0%,IF(AND(FP$16&gt;=$F55,FP$16&lt;$F55+($G55*$I55)),"➤",""),"")</f>
        <v/>
      </c>
      <c r="FQ55" s="76" t="str">
        <f aca="false">IF($I55&gt;0%,IF(AND(FQ$16&gt;=$F55,FQ$16&lt;$F55+($G55*$I55)),"➤",""),"")</f>
        <v/>
      </c>
      <c r="FR55" s="76" t="str">
        <f aca="false">IF($I55&gt;0%,IF(AND(FR$16&gt;=$F55,FR$16&lt;$F55+($G55*$I55)),"➤",""),"")</f>
        <v/>
      </c>
      <c r="FS55" s="76" t="str">
        <f aca="false">IF($I55&gt;0%,IF(AND(FS$16&gt;=$F55,FS$16&lt;$F55+($G55*$I55)),"➤",""),"")</f>
        <v/>
      </c>
      <c r="FT55" s="76" t="str">
        <f aca="false">IF($I55&gt;0%,IF(AND(FT$16&gt;=$F55,FT$16&lt;$F55+($G55*$I55)),"➤",""),"")</f>
        <v/>
      </c>
      <c r="FU55" s="76" t="str">
        <f aca="false">IF($I55&gt;0%,IF(AND(FU$16&gt;=$F55,FU$16&lt;$F55+($G55*$I55)),"➤",""),"")</f>
        <v/>
      </c>
      <c r="FV55" s="76" t="str">
        <f aca="false">IF($I55&gt;0%,IF(AND(FV$16&gt;=$F55,FV$16&lt;$F55+($G55*$I55)),"➤",""),"")</f>
        <v/>
      </c>
      <c r="FW55" s="76" t="str">
        <f aca="false">IF($I55&gt;0%,IF(AND(FW$16&gt;=$F55,FW$16&lt;$F55+($G55*$I55)),"➤",""),"")</f>
        <v/>
      </c>
      <c r="FX55" s="76" t="str">
        <f aca="false">IF($I55&gt;0%,IF(AND(FX$16&gt;=$F55,FX$16&lt;$F55+($G55*$I55)),"➤",""),"")</f>
        <v/>
      </c>
      <c r="FY55" s="76" t="str">
        <f aca="false">IF($I55&gt;0%,IF(AND(FY$16&gt;=$F55,FY$16&lt;$F55+($G55*$I55)),"➤",""),"")</f>
        <v/>
      </c>
      <c r="FZ55" s="76" t="str">
        <f aca="false">IF($I55&gt;0%,IF(AND(FZ$16&gt;=$F55,FZ$16&lt;$F55+($G55*$I55)),"➤",""),"")</f>
        <v/>
      </c>
      <c r="GA55" s="76" t="str">
        <f aca="false">IF($I55&gt;0%,IF(AND(GA$16&gt;=$F55,GA$16&lt;$F55+($G55*$I55)),"➤",""),"")</f>
        <v/>
      </c>
      <c r="GB55" s="76" t="str">
        <f aca="false">IF($I55&gt;0%,IF(AND(GB$16&gt;=$F55,GB$16&lt;$F55+($G55*$I55)),"➤",""),"")</f>
        <v/>
      </c>
      <c r="GC55" s="76" t="str">
        <f aca="false">IF($I55&gt;0%,IF(AND(GC$16&gt;=$F55,GC$16&lt;$F55+($G55*$I55)),"➤",""),"")</f>
        <v/>
      </c>
      <c r="GD55" s="76" t="str">
        <f aca="false">IF($I55&gt;0%,IF(AND(GD$16&gt;=$F55,GD$16&lt;$F55+($G55*$I55)),"➤",""),"")</f>
        <v/>
      </c>
      <c r="GE55" s="76" t="str">
        <f aca="false">IF($I55&gt;0%,IF(AND(GE$16&gt;=$F55,GE$16&lt;$F55+($G55*$I55)),"➤",""),"")</f>
        <v/>
      </c>
      <c r="GF55" s="76" t="str">
        <f aca="false">IF($I55&gt;0%,IF(AND(GF$16&gt;=$F55,GF$16&lt;$F55+($G55*$I55)),"➤",""),"")</f>
        <v/>
      </c>
      <c r="GG55" s="76" t="str">
        <f aca="false">IF($I55&gt;0%,IF(AND(GG$16&gt;=$F55,GG$16&lt;$F55+($G55*$I55)),"➤",""),"")</f>
        <v/>
      </c>
      <c r="GH55" s="76" t="str">
        <f aca="false">IF($I55&gt;0%,IF(AND(GH$16&gt;=$F55,GH$16&lt;$F55+($G55*$I55)),"➤",""),"")</f>
        <v/>
      </c>
      <c r="GI55" s="76" t="str">
        <f aca="false">IF($I55&gt;0%,IF(AND(GI$16&gt;=$F55,GI$16&lt;$F55+($G55*$I55)),"➤",""),"")</f>
        <v/>
      </c>
      <c r="GJ55" s="76" t="str">
        <f aca="false">IF($I55&gt;0%,IF(AND(GJ$16&gt;=$F55,GJ$16&lt;$F55+($G55*$I55)),"➤",""),"")</f>
        <v/>
      </c>
      <c r="GK55" s="76" t="str">
        <f aca="false">IF($I55&gt;0%,IF(AND(GK$16&gt;=$F55,GK$16&lt;$F55+($G55*$I55)),"➤",""),"")</f>
        <v/>
      </c>
      <c r="GL55" s="76" t="str">
        <f aca="false">IF($I55&gt;0%,IF(AND(GL$16&gt;=$F55,GL$16&lt;$F55+($G55*$I55)),"➤",""),"")</f>
        <v/>
      </c>
      <c r="GM55" s="76" t="str">
        <f aca="false">IF($I55&gt;0%,IF(AND(GM$16&gt;=$F55,GM$16&lt;$F55+($G55*$I55)),"➤",""),"")</f>
        <v/>
      </c>
      <c r="GN55" s="76" t="str">
        <f aca="false">IF($I55&gt;0%,IF(AND(GN$16&gt;=$F55,GN$16&lt;$F55+($G55*$I55)),"➤",""),"")</f>
        <v/>
      </c>
      <c r="GO55" s="76" t="str">
        <f aca="false">IF($I55&gt;0%,IF(AND(GO$16&gt;=$F55,GO$16&lt;$F55+($G55*$I55)),"➤",""),"")</f>
        <v/>
      </c>
      <c r="GP55" s="76" t="str">
        <f aca="false">IF($I55&gt;0%,IF(AND(GP$16&gt;=$F55,GP$16&lt;$F55+($G55*$I55)),"➤",""),"")</f>
        <v/>
      </c>
      <c r="GQ55" s="76" t="str">
        <f aca="false">IF($I55&gt;0%,IF(AND(GQ$16&gt;=$F55,GQ$16&lt;$F55+($G55*$I55)),"➤",""),"")</f>
        <v/>
      </c>
      <c r="GR55" s="76" t="str">
        <f aca="false">IF($I55&gt;0%,IF(AND(GR$16&gt;=$F55,GR$16&lt;$F55+($G55*$I55)),"➤",""),"")</f>
        <v/>
      </c>
      <c r="GS55" s="76" t="str">
        <f aca="false">IF($I55&gt;0%,IF(AND(GS$16&gt;=$F55,GS$16&lt;$F55+($G55*$I55)),"➤",""),"")</f>
        <v/>
      </c>
      <c r="GT55" s="76" t="str">
        <f aca="false">IF($I55&gt;0%,IF(AND(GT$16&gt;=$F55,GT$16&lt;$F55+($G55*$I55)),"➤",""),"")</f>
        <v/>
      </c>
      <c r="GU55" s="76" t="str">
        <f aca="false">IF($I55&gt;0%,IF(AND(GU$16&gt;=$F55,GU$16&lt;$F55+($G55*$I55)),"➤",""),"")</f>
        <v/>
      </c>
      <c r="GV55" s="76" t="str">
        <f aca="false">IF($I55&gt;0%,IF(AND(GV$16&gt;=$F55,GV$16&lt;$F55+($G55*$I55)),"➤",""),"")</f>
        <v/>
      </c>
      <c r="GW55" s="76" t="str">
        <f aca="false">IF($I55&gt;0%,IF(AND(GW$16&gt;=$F55,GW$16&lt;$F55+($G55*$I55)),"➤",""),"")</f>
        <v/>
      </c>
      <c r="GX55" s="76" t="str">
        <f aca="false">IF($I55&gt;0%,IF(AND(GX$16&gt;=$F55,GX$16&lt;$F55+($G55*$I55)),"➤",""),"")</f>
        <v/>
      </c>
      <c r="GY55" s="76" t="str">
        <f aca="false">IF($I55&gt;0%,IF(AND(GY$16&gt;=$F55,GY$16&lt;$F55+($G55*$I55)),"➤",""),"")</f>
        <v/>
      </c>
      <c r="GZ55" s="76" t="str">
        <f aca="false">IF($I55&gt;0%,IF(AND(GZ$16&gt;=$F55,GZ$16&lt;$F55+($G55*$I55)),"➤",""),"")</f>
        <v/>
      </c>
      <c r="HA55" s="76" t="str">
        <f aca="false">IF($I55&gt;0%,IF(AND(HA$16&gt;=$F55,HA$16&lt;$F55+($G55*$I55)),"➤",""),"")</f>
        <v/>
      </c>
      <c r="HB55" s="76" t="str">
        <f aca="false">IF($I55&gt;0%,IF(AND(HB$16&gt;=$F55,HB$16&lt;$F55+($G55*$I55)),"➤",""),"")</f>
        <v/>
      </c>
      <c r="HC55" s="76" t="str">
        <f aca="false">IF($I55&gt;0%,IF(AND(HC$16&gt;=$F55,HC$16&lt;$F55+($G55*$I55)),"➤",""),"")</f>
        <v/>
      </c>
      <c r="HD55" s="76" t="str">
        <f aca="false">IF($I55&gt;0%,IF(AND(HD$16&gt;=$F55,HD$16&lt;$F55+($G55*$I55)),"➤",""),"")</f>
        <v/>
      </c>
      <c r="HE55" s="76" t="str">
        <f aca="false">IF($I55&gt;0%,IF(AND(HE$16&gt;=$F55,HE$16&lt;$F55+($G55*$I55)),"➤",""),"")</f>
        <v/>
      </c>
      <c r="HF55" s="76" t="str">
        <f aca="false">IF($I55&gt;0%,IF(AND(HF$16&gt;=$F55,HF$16&lt;$F55+($G55*$I55)),"➤",""),"")</f>
        <v/>
      </c>
      <c r="HG55" s="76" t="str">
        <f aca="false">IF($I55&gt;0%,IF(AND(HG$16&gt;=$F55,HG$16&lt;$F55+($G55*$I55)),"➤",""),"")</f>
        <v/>
      </c>
      <c r="HH55" s="76" t="str">
        <f aca="false">IF($I55&gt;0%,IF(AND(HH$16&gt;=$F55,HH$16&lt;$F55+($G55*$I55)),"➤",""),"")</f>
        <v/>
      </c>
      <c r="HI55" s="76" t="str">
        <f aca="false">IF($I55&gt;0%,IF(AND(HI$16&gt;=$F55,HI$16&lt;$F55+($G55*$I55)),"➤",""),"")</f>
        <v/>
      </c>
      <c r="HJ55" s="76" t="str">
        <f aca="false">IF($I55&gt;0%,IF(AND(HJ$16&gt;=$F55,HJ$16&lt;$F55+($G55*$I55)),"➤",""),"")</f>
        <v/>
      </c>
      <c r="HK55" s="76" t="str">
        <f aca="false">IF($I55&gt;0%,IF(AND(HK$16&gt;=$F55,HK$16&lt;$F55+($G55*$I55)),"➤",""),"")</f>
        <v/>
      </c>
      <c r="HL55" s="76" t="str">
        <f aca="false">IF($I55&gt;0%,IF(AND(HL$16&gt;=$F55,HL$16&lt;$F55+($G55*$I55)),"➤",""),"")</f>
        <v/>
      </c>
      <c r="HM55" s="76" t="str">
        <f aca="false">IF($I55&gt;0%,IF(AND(HM$16&gt;=$F55,HM$16&lt;$F55+($G55*$I55)),"➤",""),"")</f>
        <v/>
      </c>
      <c r="HN55" s="76" t="str">
        <f aca="false">IF($I55&gt;0%,IF(AND(HN$16&gt;=$F55,HN$16&lt;$F55+($G55*$I55)),"➤",""),"")</f>
        <v/>
      </c>
      <c r="HO55" s="76" t="str">
        <f aca="false">IF($I55&gt;0%,IF(AND(HO$16&gt;=$F55,HO$16&lt;$F55+($G55*$I55)),"➤",""),"")</f>
        <v/>
      </c>
      <c r="HP55" s="76" t="str">
        <f aca="false">IF($I55&gt;0%,IF(AND(HP$16&gt;=$F55,HP$16&lt;$F55+($G55*$I55)),"➤",""),"")</f>
        <v/>
      </c>
      <c r="HQ55" s="76" t="str">
        <f aca="false">IF($I55&gt;0%,IF(AND(HQ$16&gt;=$F55,HQ$16&lt;$F55+($G55*$I55)),"➤",""),"")</f>
        <v/>
      </c>
      <c r="HR55" s="76" t="str">
        <f aca="false">IF($I55&gt;0%,IF(AND(HR$16&gt;=$F55,HR$16&lt;$F55+($G55*$I55)),"➤",""),"")</f>
        <v/>
      </c>
      <c r="HS55" s="76" t="str">
        <f aca="false">IF($I55&gt;0%,IF(AND(HS$16&gt;=$F55,HS$16&lt;$F55+($G55*$I55)),"➤",""),"")</f>
        <v/>
      </c>
      <c r="HT55" s="76" t="str">
        <f aca="false">IF($I55&gt;0%,IF(AND(HT$16&gt;=$F55,HT$16&lt;$F55+($G55*$I55)),"➤",""),"")</f>
        <v/>
      </c>
      <c r="HU55" s="76" t="str">
        <f aca="false">IF($I55&gt;0%,IF(AND(HU$16&gt;=$F55,HU$16&lt;$F55+($G55*$I55)),"➤",""),"")</f>
        <v/>
      </c>
      <c r="HV55" s="76" t="str">
        <f aca="false">IF($I55&gt;0%,IF(AND(HV$16&gt;=$F55,HV$16&lt;$F55+($G55*$I55)),"➤",""),"")</f>
        <v/>
      </c>
      <c r="HW55" s="76" t="str">
        <f aca="false">IF($I55&gt;0%,IF(AND(HW$16&gt;=$F55,HW$16&lt;$F55+($G55*$I55)),"➤",""),"")</f>
        <v/>
      </c>
      <c r="HX55" s="76" t="str">
        <f aca="false">IF($I55&gt;0%,IF(AND(HX$16&gt;=$F55,HX$16&lt;$F55+($G55*$I55)),"➤",""),"")</f>
        <v/>
      </c>
      <c r="HY55" s="76" t="str">
        <f aca="false">IF($I55&gt;0%,IF(AND(HY$16&gt;=$F55,HY$16&lt;$F55+($G55*$I55)),"➤",""),"")</f>
        <v/>
      </c>
      <c r="HZ55" s="76" t="str">
        <f aca="false">IF($I55&gt;0%,IF(AND(HZ$16&gt;=$F55,HZ$16&lt;$F55+($G55*$I55)),"➤",""),"")</f>
        <v/>
      </c>
      <c r="IA55" s="76" t="str">
        <f aca="false">IF($I55&gt;0%,IF(AND(IA$16&gt;=$F55,IA$16&lt;$F55+($G55*$I55)),"➤",""),"")</f>
        <v/>
      </c>
      <c r="IB55" s="76" t="str">
        <f aca="false">IF($I55&gt;0%,IF(AND(IB$16&gt;=$F55,IB$16&lt;$F55+($G55*$I55)),"➤",""),"")</f>
        <v/>
      </c>
      <c r="IC55" s="76" t="str">
        <f aca="false">IF($I55&gt;0%,IF(AND(IC$16&gt;=$F55,IC$16&lt;$F55+($G55*$I55)),"➤",""),"")</f>
        <v/>
      </c>
      <c r="ID55" s="76" t="str">
        <f aca="false">IF($I55&gt;0%,IF(AND(ID$16&gt;=$F55,ID$16&lt;$F55+($G55*$I55)),"➤",""),"")</f>
        <v/>
      </c>
      <c r="IE55" s="76" t="str">
        <f aca="false">IF($I55&gt;0%,IF(AND(IE$16&gt;=$F55,IE$16&lt;$F55+($G55*$I55)),"➤",""),"")</f>
        <v/>
      </c>
      <c r="IF55" s="76" t="str">
        <f aca="false">IF($I55&gt;0%,IF(AND(IF$16&gt;=$F55,IF$16&lt;$F55+($G55*$I55)),"➤",""),"")</f>
        <v/>
      </c>
      <c r="IG55" s="76" t="str">
        <f aca="false">IF($I55&gt;0%,IF(AND(IG$16&gt;=$F55,IG$16&lt;$F55+($G55*$I55)),"➤",""),"")</f>
        <v/>
      </c>
      <c r="IH55" s="76" t="str">
        <f aca="false">IF($I55&gt;0%,IF(AND(IH$16&gt;=$F55,IH$16&lt;$F55+($G55*$I55)),"➤",""),"")</f>
        <v/>
      </c>
      <c r="II55" s="76" t="str">
        <f aca="false">IF($I55&gt;0%,IF(AND(II$16&gt;=$F55,II$16&lt;$F55+($G55*$I55)),"➤",""),"")</f>
        <v/>
      </c>
      <c r="IJ55" s="76" t="str">
        <f aca="false">IF($I55&gt;0%,IF(AND(IJ$16&gt;=$F55,IJ$16&lt;$F55+($G55*$I55)),"➤",""),"")</f>
        <v/>
      </c>
      <c r="IK55" s="76" t="str">
        <f aca="false">IF($I55&gt;0%,IF(AND(IK$16&gt;=$F55,IK$16&lt;$F55+($G55*$I55)),"➤",""),"")</f>
        <v/>
      </c>
      <c r="IL55" s="76" t="str">
        <f aca="false">IF($I55&gt;0%,IF(AND(IL$16&gt;=$F55,IL$16&lt;$F55+($G55*$I55)),"➤",""),"")</f>
        <v/>
      </c>
      <c r="IM55" s="76" t="str">
        <f aca="false">IF($I55&gt;0%,IF(AND(IM$16&gt;=$F55,IM$16&lt;$F55+($G55*$I55)),"➤",""),"")</f>
        <v/>
      </c>
      <c r="IN55" s="76" t="str">
        <f aca="false">IF($I55&gt;0%,IF(AND(IN$16&gt;=$F55,IN$16&lt;$F55+($G55*$I55)),"➤",""),"")</f>
        <v/>
      </c>
      <c r="IO55" s="76" t="str">
        <f aca="false">IF($I55&gt;0%,IF(AND(IO$16&gt;=$F55,IO$16&lt;$F55+($G55*$I55)),"➤",""),"")</f>
        <v/>
      </c>
      <c r="IP55" s="76" t="str">
        <f aca="false">IF($I55&gt;0%,IF(AND(IP$16&gt;=$F55,IP$16&lt;$F55+($G55*$I55)),"➤",""),"")</f>
        <v/>
      </c>
      <c r="IQ55" s="76" t="str">
        <f aca="false">IF($I55&gt;0%,IF(AND(IQ$16&gt;=$F55,IQ$16&lt;$F55+($G55*$I55)),"➤",""),"")</f>
        <v/>
      </c>
      <c r="IR55" s="76" t="str">
        <f aca="false">IF($I55&gt;0%,IF(AND(IR$16&gt;=$F55,IR$16&lt;$F55+($G55*$I55)),"➤",""),"")</f>
        <v/>
      </c>
      <c r="IS55" s="76" t="str">
        <f aca="false">IF($I55&gt;0%,IF(AND(IS$16&gt;=$F55,IS$16&lt;$F55+($G55*$I55)),"➤",""),"")</f>
        <v/>
      </c>
      <c r="IT55" s="76" t="str">
        <f aca="false">IF($I55&gt;0%,IF(AND(IT$16&gt;=$F55,IT$16&lt;$F55+($G55*$I55)),"➤",""),"")</f>
        <v/>
      </c>
      <c r="IU55" s="76" t="str">
        <f aca="false">IF($I55&gt;0%,IF(AND(IU$16&gt;=$F55,IU$16&lt;$F55+($G55*$I55)),"➤",""),"")</f>
        <v/>
      </c>
      <c r="IV55" s="76" t="str">
        <f aca="false">IF($I55&gt;0%,IF(AND(IV$16&gt;=$F55,IV$16&lt;$F55+($G55*$I55)),"➤",""),"")</f>
        <v/>
      </c>
      <c r="IW55" s="76" t="str">
        <f aca="false">IF($I55&gt;0%,IF(AND(IW$16&gt;=$F55,IW$16&lt;$F55+($G55*$I55)),"➤",""),"")</f>
        <v/>
      </c>
      <c r="IX55" s="76" t="str">
        <f aca="false">IF($I55&gt;0%,IF(AND(IX$16&gt;=$F55,IX$16&lt;$F55+($G55*$I55)),"➤",""),"")</f>
        <v/>
      </c>
      <c r="IY55" s="76" t="str">
        <f aca="false">IF($I55&gt;0%,IF(AND(IY$16&gt;=$F55,IY$16&lt;$F55+($G55*$I55)),"➤",""),"")</f>
        <v/>
      </c>
      <c r="IZ55" s="76" t="str">
        <f aca="false">IF($I55&gt;0%,IF(AND(IZ$16&gt;=$F55,IZ$16&lt;$F55+($G55*$I55)),"➤",""),"")</f>
        <v/>
      </c>
      <c r="JA55" s="76" t="str">
        <f aca="false">IF($I55&gt;0%,IF(AND(JA$16&gt;=$F55,JA$16&lt;$F55+($G55*$I55)),"➤",""),"")</f>
        <v/>
      </c>
      <c r="JB55" s="76" t="str">
        <f aca="false">IF($I55&gt;0%,IF(AND(JB$16&gt;=$F55,JB$16&lt;$F55+($G55*$I55)),"➤",""),"")</f>
        <v/>
      </c>
      <c r="JC55" s="76" t="str">
        <f aca="false">IF($I55&gt;0%,IF(AND(JC$16&gt;=$F55,JC$16&lt;$F55+($G55*$I55)),"➤",""),"")</f>
        <v/>
      </c>
      <c r="JD55" s="76" t="str">
        <f aca="false">IF($I55&gt;0%,IF(AND(JD$16&gt;=$F55,JD$16&lt;$F55+($G55*$I55)),"➤",""),"")</f>
        <v/>
      </c>
      <c r="JE55" s="76" t="str">
        <f aca="false">IF($I55&gt;0%,IF(AND(JE$16&gt;=$F55,JE$16&lt;$F55+($G55*$I55)),"➤",""),"")</f>
        <v/>
      </c>
      <c r="JF55" s="76" t="str">
        <f aca="false">IF($I55&gt;0%,IF(AND(JF$16&gt;=$F55,JF$16&lt;$F55+($G55*$I55)),"➤",""),"")</f>
        <v/>
      </c>
      <c r="JG55" s="76" t="str">
        <f aca="false">IF($I55&gt;0%,IF(AND(JG$16&gt;=$F55,JG$16&lt;$F55+($G55*$I55)),"➤",""),"")</f>
        <v/>
      </c>
      <c r="JH55" s="76" t="str">
        <f aca="false">IF($I55&gt;0%,IF(AND(JH$16&gt;=$F55,JH$16&lt;$F55+($G55*$I55)),"➤",""),"")</f>
        <v/>
      </c>
      <c r="JI55" s="76" t="str">
        <f aca="false">IF($I55&gt;0%,IF(AND(JI$16&gt;=$F55,JI$16&lt;$F55+($G55*$I55)),"➤",""),"")</f>
        <v/>
      </c>
      <c r="JJ55" s="76" t="str">
        <f aca="false">IF($I55&gt;0%,IF(AND(JJ$16&gt;=$F55,JJ$16&lt;$F55+($G55*$I55)),"➤",""),"")</f>
        <v/>
      </c>
      <c r="JK55" s="76" t="str">
        <f aca="false">IF($I55&gt;0%,IF(AND(JK$16&gt;=$F55,JK$16&lt;$F55+($G55*$I55)),"➤",""),"")</f>
        <v/>
      </c>
      <c r="JL55" s="76" t="str">
        <f aca="false">IF($I55&gt;0%,IF(AND(JL$16&gt;=$F55,JL$16&lt;$F55+($G55*$I55)),"➤",""),"")</f>
        <v/>
      </c>
      <c r="JM55" s="76" t="str">
        <f aca="false">IF($I55&gt;0%,IF(AND(JM$16&gt;=$F55,JM$16&lt;$F55+($G55*$I55)),"➤",""),"")</f>
        <v/>
      </c>
      <c r="JN55" s="76" t="str">
        <f aca="false">IF($I55&gt;0%,IF(AND(JN$16&gt;=$F55,JN$16&lt;$F55+($G55*$I55)),"➤",""),"")</f>
        <v/>
      </c>
      <c r="JO55" s="76" t="str">
        <f aca="false">IF($I55&gt;0%,IF(AND(JO$16&gt;=$F55,JO$16&lt;$F55+($G55*$I55)),"➤",""),"")</f>
        <v/>
      </c>
      <c r="JP55" s="76" t="str">
        <f aca="false">IF($I55&gt;0%,IF(AND(JP$16&gt;=$F55,JP$16&lt;$F55+($G55*$I55)),"➤",""),"")</f>
        <v/>
      </c>
      <c r="JQ55" s="76" t="str">
        <f aca="false">IF($I55&gt;0%,IF(AND(JQ$16&gt;=$F55,JQ$16&lt;$F55+($G55*$I55)),"➤",""),"")</f>
        <v/>
      </c>
      <c r="JR55" s="76" t="str">
        <f aca="false">IF($I55&gt;0%,IF(AND(JR$16&gt;=$F55,JR$16&lt;$F55+($G55*$I55)),"➤",""),"")</f>
        <v/>
      </c>
      <c r="JS55" s="76" t="str">
        <f aca="false">IF($I55&gt;0%,IF(AND(JS$16&gt;=$F55,JS$16&lt;$F55+($G55*$I55)),"➤",""),"")</f>
        <v/>
      </c>
      <c r="JT55" s="76" t="str">
        <f aca="false">IF($I55&gt;0%,IF(AND(JT$16&gt;=$F55,JT$16&lt;$F55+($G55*$I55)),"➤",""),"")</f>
        <v/>
      </c>
      <c r="JU55" s="76" t="str">
        <f aca="false">IF($I55&gt;0%,IF(AND(JU$16&gt;=$F55,JU$16&lt;$F55+($G55*$I55)),"➤",""),"")</f>
        <v/>
      </c>
      <c r="JV55" s="76" t="str">
        <f aca="false">IF($I55&gt;0%,IF(AND(JV$16&gt;=$F55,JV$16&lt;$F55+($G55*$I55)),"➤",""),"")</f>
        <v/>
      </c>
      <c r="JW55" s="76" t="str">
        <f aca="false">IF($I55&gt;0%,IF(AND(JW$16&gt;=$F55,JW$16&lt;$F55+($G55*$I55)),"➤",""),"")</f>
        <v/>
      </c>
      <c r="JX55" s="76" t="str">
        <f aca="false">IF($I55&gt;0%,IF(AND(JX$16&gt;=$F55,JX$16&lt;$F55+($G55*$I55)),"➤",""),"")</f>
        <v/>
      </c>
      <c r="JY55" s="76" t="str">
        <f aca="false">IF($I55&gt;0%,IF(AND(JY$16&gt;=$F55,JY$16&lt;$F55+($G55*$I55)),"➤",""),"")</f>
        <v/>
      </c>
      <c r="JZ55" s="76" t="str">
        <f aca="false">IF($I55&gt;0%,IF(AND(JZ$16&gt;=$F55,JZ$16&lt;$F55+($G55*$I55)),"➤",""),"")</f>
        <v/>
      </c>
      <c r="KA55" s="76" t="str">
        <f aca="false">IF($I55&gt;0%,IF(AND(KA$16&gt;=$F55,KA$16&lt;$F55+($G55*$I55)),"➤",""),"")</f>
        <v/>
      </c>
      <c r="KB55" s="76" t="str">
        <f aca="false">IF($I55&gt;0%,IF(AND(KB$16&gt;=$F55,KB$16&lt;$F55+($G55*$I55)),"➤",""),"")</f>
        <v/>
      </c>
      <c r="KC55" s="76" t="str">
        <f aca="false">IF($I55&gt;0%,IF(AND(KC$16&gt;=$F55,KC$16&lt;$F55+($G55*$I55)),"➤",""),"")</f>
        <v/>
      </c>
      <c r="KD55" s="76" t="str">
        <f aca="false">IF($I55&gt;0%,IF(AND(KD$16&gt;=$F55,KD$16&lt;$F55+($G55*$I55)),"➤",""),"")</f>
        <v/>
      </c>
      <c r="KE55" s="76" t="str">
        <f aca="false">IF($I55&gt;0%,IF(AND(KE$16&gt;=$F55,KE$16&lt;$F55+($G55*$I55)),"➤",""),"")</f>
        <v/>
      </c>
      <c r="KF55" s="76" t="str">
        <f aca="false">IF($I55&gt;0%,IF(AND(KF$16&gt;=$F55,KF$16&lt;$F55+($G55*$I55)),"➤",""),"")</f>
        <v/>
      </c>
      <c r="KG55" s="76" t="str">
        <f aca="false">IF($I55&gt;0%,IF(AND(KG$16&gt;=$F55,KG$16&lt;$F55+($G55*$I55)),"➤",""),"")</f>
        <v/>
      </c>
      <c r="KH55" s="76" t="str">
        <f aca="false">IF($I55&gt;0%,IF(AND(KH$16&gt;=$F55,KH$16&lt;$F55+($G55*$I55)),"➤",""),"")</f>
        <v/>
      </c>
      <c r="KI55" s="76" t="str">
        <f aca="false">IF($I55&gt;0%,IF(AND(KI$16&gt;=$F55,KI$16&lt;$F55+($G55*$I55)),"➤",""),"")</f>
        <v/>
      </c>
      <c r="KJ55" s="76" t="str">
        <f aca="false">IF($I55&gt;0%,IF(AND(KJ$16&gt;=$F55,KJ$16&lt;$F55+($G55*$I55)),"➤",""),"")</f>
        <v/>
      </c>
      <c r="KK55" s="76" t="str">
        <f aca="false">IF($I55&gt;0%,IF(AND(KK$16&gt;=$F55,KK$16&lt;$F55+($G55*$I55)),"➤",""),"")</f>
        <v/>
      </c>
      <c r="KL55" s="76" t="str">
        <f aca="false">IF($I55&gt;0%,IF(AND(KL$16&gt;=$F55,KL$16&lt;$F55+($G55*$I55)),"➤",""),"")</f>
        <v/>
      </c>
      <c r="KM55" s="76" t="str">
        <f aca="false">IF($I55&gt;0%,IF(AND(KM$16&gt;=$F55,KM$16&lt;$F55+($G55*$I55)),"➤",""),"")</f>
        <v/>
      </c>
      <c r="KN55" s="76" t="str">
        <f aca="false">IF($I55&gt;0%,IF(AND(KN$16&gt;=$F55,KN$16&lt;$F55+($G55*$I55)),"➤",""),"")</f>
        <v/>
      </c>
      <c r="KO55" s="76" t="str">
        <f aca="false">IF($I55&gt;0%,IF(AND(KO$16&gt;=$F55,KO$16&lt;$F55+($G55*$I55)),"➤",""),"")</f>
        <v/>
      </c>
      <c r="KP55" s="76" t="str">
        <f aca="false">IF($I55&gt;0%,IF(AND(KP$16&gt;=$F55,KP$16&lt;$F55+($G55*$I55)),"➤",""),"")</f>
        <v/>
      </c>
      <c r="KQ55" s="76" t="str">
        <f aca="false">IF($I55&gt;0%,IF(AND(KQ$16&gt;=$F55,KQ$16&lt;$F55+($G55*$I55)),"➤",""),"")</f>
        <v/>
      </c>
      <c r="KR55" s="76" t="str">
        <f aca="false">IF($I55&gt;0%,IF(AND(KR$16&gt;=$F55,KR$16&lt;$F55+($G55*$I55)),"➤",""),"")</f>
        <v/>
      </c>
      <c r="KS55" s="76" t="str">
        <f aca="false">IF($I55&gt;0%,IF(AND(KS$16&gt;=$F55,KS$16&lt;$F55+($G55*$I55)),"➤",""),"")</f>
        <v/>
      </c>
      <c r="KT55" s="76" t="str">
        <f aca="false">IF($I55&gt;0%,IF(AND(KT$16&gt;=$F55,KT$16&lt;$F55+($G55*$I55)),"➤",""),"")</f>
        <v/>
      </c>
      <c r="KU55" s="76" t="str">
        <f aca="false">IF($I55&gt;0%,IF(AND(KU$16&gt;=$F55,KU$16&lt;$F55+($G55*$I55)),"➤",""),"")</f>
        <v/>
      </c>
      <c r="KV55" s="76" t="str">
        <f aca="false">IF($I55&gt;0%,IF(AND(KV$16&gt;=$F55,KV$16&lt;$F55+($G55*$I55)),"➤",""),"")</f>
        <v/>
      </c>
      <c r="KW55" s="76" t="str">
        <f aca="false">IF($I55&gt;0%,IF(AND(KW$16&gt;=$F55,KW$16&lt;$F55+($G55*$I55)),"➤",""),"")</f>
        <v/>
      </c>
      <c r="KX55" s="76" t="str">
        <f aca="false">IF($I55&gt;0%,IF(AND(KX$16&gt;=$F55,KX$16&lt;$F55+($G55*$I55)),"➤",""),"")</f>
        <v/>
      </c>
      <c r="KY55" s="76" t="str">
        <f aca="false">IF($I55&gt;0%,IF(AND(KY$16&gt;=$F55,KY$16&lt;$F55+($G55*$I55)),"➤",""),"")</f>
        <v/>
      </c>
      <c r="KZ55" s="76" t="str">
        <f aca="false">IF($I55&gt;0%,IF(AND(KZ$16&gt;=$F55,KZ$16&lt;$F55+($G55*$I55)),"➤",""),"")</f>
        <v/>
      </c>
      <c r="LA55" s="76" t="str">
        <f aca="false">IF($I55&gt;0%,IF(AND(LA$16&gt;=$F55,LA$16&lt;$F55+($G55*$I55)),"➤",""),"")</f>
        <v/>
      </c>
      <c r="LB55" s="76" t="str">
        <f aca="false">IF($I55&gt;0%,IF(AND(LB$16&gt;=$F55,LB$16&lt;$F55+($G55*$I55)),"➤",""),"")</f>
        <v/>
      </c>
      <c r="LC55" s="76" t="str">
        <f aca="false">IF($I55&gt;0%,IF(AND(LC$16&gt;=$F55,LC$16&lt;$F55+($G55*$I55)),"➤",""),"")</f>
        <v/>
      </c>
      <c r="LD55" s="76" t="str">
        <f aca="false">IF($I55&gt;0%,IF(AND(LD$16&gt;=$F55,LD$16&lt;$F55+($G55*$I55)),"➤",""),"")</f>
        <v/>
      </c>
      <c r="LE55" s="76" t="str">
        <f aca="false">IF($I55&gt;0%,IF(AND(LE$16&gt;=$F55,LE$16&lt;$F55+($G55*$I55)),"➤",""),"")</f>
        <v/>
      </c>
      <c r="LF55" s="76" t="str">
        <f aca="false">IF($I55&gt;0%,IF(AND(LF$16&gt;=$F55,LF$16&lt;$F55+($G55*$I55)),"➤",""),"")</f>
        <v/>
      </c>
      <c r="LG55" s="76" t="str">
        <f aca="false">IF($I55&gt;0%,IF(AND(LG$16&gt;=$F55,LG$16&lt;$F55+($G55*$I55)),"➤",""),"")</f>
        <v/>
      </c>
      <c r="LH55" s="76" t="str">
        <f aca="false">IF($I55&gt;0%,IF(AND(LH$16&gt;=$F55,LH$16&lt;$F55+($G55*$I55)),"➤",""),"")</f>
        <v/>
      </c>
      <c r="LI55" s="76" t="str">
        <f aca="false">IF($I55&gt;0%,IF(AND(LI$16&gt;=$F55,LI$16&lt;$F55+($G55*$I55)),"➤",""),"")</f>
        <v/>
      </c>
      <c r="LJ55" s="76" t="str">
        <f aca="false">IF($I55&gt;0%,IF(AND(LJ$16&gt;=$F55,LJ$16&lt;$F55+($G55*$I55)),"➤",""),"")</f>
        <v/>
      </c>
      <c r="LK55" s="76" t="str">
        <f aca="false">IF($I55&gt;0%,IF(AND(LK$16&gt;=$F55,LK$16&lt;$F55+($G55*$I55)),"➤",""),"")</f>
        <v/>
      </c>
      <c r="LL55" s="76" t="str">
        <f aca="false">IF($I55&gt;0%,IF(AND(LL$16&gt;=$F55,LL$16&lt;$F55+($G55*$I55)),"➤",""),"")</f>
        <v/>
      </c>
      <c r="LM55" s="76" t="str">
        <f aca="false">IF($I55&gt;0%,IF(AND(LM$16&gt;=$F55,LM$16&lt;$F55+($G55*$I55)),"➤",""),"")</f>
        <v/>
      </c>
      <c r="LN55" s="76" t="str">
        <f aca="false">IF($I55&gt;0%,IF(AND(LN$16&gt;=$F55,LN$16&lt;$F55+($G55*$I55)),"➤",""),"")</f>
        <v/>
      </c>
      <c r="LO55" s="76" t="str">
        <f aca="false">IF($I55&gt;0%,IF(AND(LO$16&gt;=$F55,LO$16&lt;$F55+($G55*$I55)),"➤",""),"")</f>
        <v/>
      </c>
      <c r="LP55" s="76" t="str">
        <f aca="false">IF($I55&gt;0%,IF(AND(LP$16&gt;=$F55,LP$16&lt;$F55+($G55*$I55)),"➤",""),"")</f>
        <v/>
      </c>
      <c r="LQ55" s="76" t="str">
        <f aca="false">IF($I55&gt;0%,IF(AND(LQ$16&gt;=$F55,LQ$16&lt;$F55+($G55*$I55)),"➤",""),"")</f>
        <v/>
      </c>
      <c r="LR55" s="76" t="str">
        <f aca="false">IF($I55&gt;0%,IF(AND(LR$16&gt;=$F55,LR$16&lt;$F55+($G55*$I55)),"➤",""),"")</f>
        <v/>
      </c>
      <c r="LS55" s="76" t="str">
        <f aca="false">IF($I55&gt;0%,IF(AND(LS$16&gt;=$F55,LS$16&lt;$F55+($G55*$I55)),"➤",""),"")</f>
        <v/>
      </c>
      <c r="LT55" s="76" t="str">
        <f aca="false">IF($I55&gt;0%,IF(AND(LT$16&gt;=$F55,LT$16&lt;$F55+($G55*$I55)),"➤",""),"")</f>
        <v/>
      </c>
      <c r="LU55" s="76" t="str">
        <f aca="false">IF($I55&gt;0%,IF(AND(LU$16&gt;=$F55,LU$16&lt;$F55+($G55*$I55)),"➤",""),"")</f>
        <v/>
      </c>
      <c r="LV55" s="76" t="str">
        <f aca="false">IF($I55&gt;0%,IF(AND(LV$16&gt;=$F55,LV$16&lt;$F55+($G55*$I55)),"➤",""),"")</f>
        <v/>
      </c>
      <c r="LW55" s="76" t="str">
        <f aca="false">IF($I55&gt;0%,IF(AND(LW$16&gt;=$F55,LW$16&lt;$F55+($G55*$I55)),"➤",""),"")</f>
        <v/>
      </c>
      <c r="LX55" s="76" t="str">
        <f aca="false">IF($I55&gt;0%,IF(AND(LX$16&gt;=$F55,LX$16&lt;$F55+($G55*$I55)),"➤",""),"")</f>
        <v/>
      </c>
      <c r="LY55" s="76" t="str">
        <f aca="false">IF($I55&gt;0%,IF(AND(LY$16&gt;=$F55,LY$16&lt;$F55+($G55*$I55)),"➤",""),"")</f>
        <v/>
      </c>
      <c r="LZ55" s="76" t="str">
        <f aca="false">IF($I55&gt;0%,IF(AND(LZ$16&gt;=$F55,LZ$16&lt;$F55+($G55*$I55)),"➤",""),"")</f>
        <v/>
      </c>
      <c r="MA55" s="76" t="str">
        <f aca="false">IF($I55&gt;0%,IF(AND(MA$16&gt;=$F55,MA$16&lt;$F55+($G55*$I55)),"➤",""),"")</f>
        <v/>
      </c>
      <c r="MB55" s="76" t="str">
        <f aca="false">IF($I55&gt;0%,IF(AND(MB$16&gt;=$F55,MB$16&lt;$F55+($G55*$I55)),"➤",""),"")</f>
        <v/>
      </c>
      <c r="MC55" s="76" t="str">
        <f aca="false">IF($I55&gt;0%,IF(AND(MC$16&gt;=$F55,MC$16&lt;$F55+($G55*$I55)),"➤",""),"")</f>
        <v/>
      </c>
      <c r="MD55" s="76" t="str">
        <f aca="false">IF($I55&gt;0%,IF(AND(MD$16&gt;=$F55,MD$16&lt;$F55+($G55*$I55)),"➤",""),"")</f>
        <v/>
      </c>
      <c r="ME55" s="76" t="str">
        <f aca="false">IF($I55&gt;0%,IF(AND(ME$16&gt;=$F55,ME$16&lt;$F55+($G55*$I55)),"➤",""),"")</f>
        <v/>
      </c>
      <c r="MF55" s="76" t="str">
        <f aca="false">IF($I55&gt;0%,IF(AND(MF$16&gt;=$F55,MF$16&lt;$F55+($G55*$I55)),"➤",""),"")</f>
        <v/>
      </c>
      <c r="MG55" s="76" t="str">
        <f aca="false">IF($I55&gt;0%,IF(AND(MG$16&gt;=$F55,MG$16&lt;$F55+($G55*$I55)),"➤",""),"")</f>
        <v/>
      </c>
      <c r="MH55" s="76" t="str">
        <f aca="false">IF($I55&gt;0%,IF(AND(MH$16&gt;=$F55,MH$16&lt;$F55+($G55*$I55)),"➤",""),"")</f>
        <v/>
      </c>
      <c r="MI55" s="76" t="str">
        <f aca="false">IF($I55&gt;0%,IF(AND(MI$16&gt;=$F55,MI$16&lt;$F55+($G55*$I55)),"➤",""),"")</f>
        <v/>
      </c>
      <c r="MJ55" s="76" t="str">
        <f aca="false">IF($I55&gt;0%,IF(AND(MJ$16&gt;=$F55,MJ$16&lt;$F55+($G55*$I55)),"➤",""),"")</f>
        <v/>
      </c>
      <c r="MK55" s="76" t="str">
        <f aca="false">IF($I55&gt;0%,IF(AND(MK$16&gt;=$F55,MK$16&lt;$F55+($G55*$I55)),"➤",""),"")</f>
        <v/>
      </c>
      <c r="ML55" s="76" t="str">
        <f aca="false">IF($I55&gt;0%,IF(AND(ML$16&gt;=$F55,ML$16&lt;$F55+($G55*$I55)),"➤",""),"")</f>
        <v/>
      </c>
      <c r="MM55" s="76" t="str">
        <f aca="false">IF($I55&gt;0%,IF(AND(MM$16&gt;=$F55,MM$16&lt;$F55+($G55*$I55)),"➤",""),"")</f>
        <v/>
      </c>
      <c r="MN55" s="76" t="str">
        <f aca="false">IF($I55&gt;0%,IF(AND(MN$16&gt;=$F55,MN$16&lt;$F55+($G55*$I55)),"➤",""),"")</f>
        <v/>
      </c>
      <c r="MO55" s="76" t="str">
        <f aca="false">IF($I55&gt;0%,IF(AND(MO$16&gt;=$F55,MO$16&lt;$F55+($G55*$I55)),"➤",""),"")</f>
        <v/>
      </c>
      <c r="MP55" s="76" t="str">
        <f aca="false">IF($I55&gt;0%,IF(AND(MP$16&gt;=$F55,MP$16&lt;$F55+($G55*$I55)),"➤",""),"")</f>
        <v/>
      </c>
      <c r="MQ55" s="76" t="str">
        <f aca="false">IF($I55&gt;0%,IF(AND(MQ$16&gt;=$F55,MQ$16&lt;$F55+($G55*$I55)),"➤",""),"")</f>
        <v/>
      </c>
      <c r="MR55" s="76" t="str">
        <f aca="false">IF($I55&gt;0%,IF(AND(MR$16&gt;=$F55,MR$16&lt;$F55+($G55*$I55)),"➤",""),"")</f>
        <v/>
      </c>
      <c r="MS55" s="76" t="str">
        <f aca="false">IF($I55&gt;0%,IF(AND(MS$16&gt;=$F55,MS$16&lt;$F55+($G55*$I55)),"➤",""),"")</f>
        <v/>
      </c>
      <c r="MT55" s="76" t="str">
        <f aca="false">IF($I55&gt;0%,IF(AND(MT$16&gt;=$F55,MT$16&lt;$F55+($G55*$I55)),"➤",""),"")</f>
        <v/>
      </c>
      <c r="MU55" s="76" t="str">
        <f aca="false">IF($I55&gt;0%,IF(AND(MU$16&gt;=$F55,MU$16&lt;$F55+($G55*$I55)),"➤",""),"")</f>
        <v/>
      </c>
      <c r="MV55" s="76" t="str">
        <f aca="false">IF($I55&gt;0%,IF(AND(MV$16&gt;=$F55,MV$16&lt;$F55+($G55*$I55)),"➤",""),"")</f>
        <v/>
      </c>
      <c r="MW55" s="76" t="str">
        <f aca="false">IF($I55&gt;0%,IF(AND(MW$16&gt;=$F55,MW$16&lt;$F55+($G55*$I55)),"➤",""),"")</f>
        <v/>
      </c>
      <c r="MX55" s="76" t="str">
        <f aca="false">IF($I55&gt;0%,IF(AND(MX$16&gt;=$F55,MX$16&lt;$F55+($G55*$I55)),"➤",""),"")</f>
        <v/>
      </c>
      <c r="MY55" s="76" t="str">
        <f aca="false">IF($I55&gt;0%,IF(AND(MY$16&gt;=$F55,MY$16&lt;$F55+($G55*$I55)),"➤",""),"")</f>
        <v/>
      </c>
      <c r="MZ55" s="76" t="str">
        <f aca="false">IF($I55&gt;0%,IF(AND(MZ$16&gt;=$F55,MZ$16&lt;$F55+($G55*$I55)),"➤",""),"")</f>
        <v/>
      </c>
      <c r="NA55" s="76" t="str">
        <f aca="false">IF($I55&gt;0%,IF(AND(NA$16&gt;=$F55,NA$16&lt;$F55+($G55*$I55)),"➤",""),"")</f>
        <v/>
      </c>
      <c r="NB55" s="76" t="str">
        <f aca="false">IF($I55&gt;0%,IF(AND(NB$16&gt;=$F55,NB$16&lt;$F55+($G55*$I55)),"➤",""),"")</f>
        <v/>
      </c>
      <c r="NC55" s="76" t="str">
        <f aca="false">IF($I55&gt;0%,IF(AND(NC$16&gt;=$F55,NC$16&lt;$F55+($G55*$I55)),"➤",""),"")</f>
        <v/>
      </c>
      <c r="ND55" s="76" t="str">
        <f aca="false">IF($I55&gt;0%,IF(AND(ND$16&gt;=$F55,ND$16&lt;$F55+($G55*$I55)),"➤",""),"")</f>
        <v/>
      </c>
      <c r="NE55" s="76" t="str">
        <f aca="false">IF($I55&gt;0%,IF(AND(NE$16&gt;=$F55,NE$16&lt;$F55+($G55*$I55)),"➤",""),"")</f>
        <v/>
      </c>
      <c r="NF55" s="76" t="str">
        <f aca="false">IF($I55&gt;0%,IF(AND(NF$16&gt;=$F55,NF$16&lt;$F55+($G55*$I55)),"➤",""),"")</f>
        <v/>
      </c>
      <c r="NG55" s="76" t="str">
        <f aca="false">IF($I55&gt;0%,IF(AND(NG$16&gt;=$F55,NG$16&lt;$F55+($G55*$I55)),"➤",""),"")</f>
        <v/>
      </c>
      <c r="NH55" s="76" t="str">
        <f aca="false">IF($I55&gt;0%,IF(AND(NH$16&gt;=$F55,NH$16&lt;$F55+($G55*$I55)),"➤",""),"")</f>
        <v/>
      </c>
      <c r="NI55" s="76" t="str">
        <f aca="false">IF($I55&gt;0%,IF(AND(NI$16&gt;=$F55,NI$16&lt;$F55+($G55*$I55)),"➤",""),"")</f>
        <v/>
      </c>
      <c r="NJ55" s="76" t="str">
        <f aca="false">IF($I55&gt;0%,IF(AND(NJ$16&gt;=$F55,NJ$16&lt;$F55+($G55*$I55)),"➤",""),"")</f>
        <v/>
      </c>
      <c r="NK55" s="76" t="str">
        <f aca="false">IF($I55&gt;0%,IF(AND(NK$16&gt;=$F55,NK$16&lt;$F55+($G55*$I55)),"➤",""),"")</f>
        <v/>
      </c>
      <c r="NL55" s="76" t="str">
        <f aca="false">IF($I55&gt;0%,IF(AND(NL$16&gt;=$F55,NL$16&lt;$F55+($G55*$I55)),"➤",""),"")</f>
        <v/>
      </c>
      <c r="NM55" s="76" t="str">
        <f aca="false">IF($I55&gt;0%,IF(AND(NM$16&gt;=$F55,NM$16&lt;$F55+($G55*$I55)),"➤",""),"")</f>
        <v/>
      </c>
      <c r="NN55" s="76" t="str">
        <f aca="false">IF($I55&gt;0%,IF(AND(NN$16&gt;=$F55,NN$16&lt;$F55+($G55*$I55)),"➤",""),"")</f>
        <v/>
      </c>
      <c r="NO55" s="76" t="str">
        <f aca="false">IF($I55&gt;0%,IF(AND(NO$16&gt;=$F55,NO$16&lt;$F55+($G55*$I55)),"➤",""),"")</f>
        <v/>
      </c>
      <c r="NP55" s="76" t="str">
        <f aca="false">IF($I55&gt;0%,IF(AND(NP$16&gt;=$F55,NP$16&lt;$F55+($G55*$I55)),"➤",""),"")</f>
        <v/>
      </c>
      <c r="NQ55" s="76" t="str">
        <f aca="false">IF($I55&gt;0%,IF(AND(NQ$16&gt;=$F55,NQ$16&lt;$F55+($G55*$I55)),"➤",""),"")</f>
        <v/>
      </c>
      <c r="NR55" s="76" t="str">
        <f aca="false">IF($I55&gt;0%,IF(AND(NR$16&gt;=$F55,NR$16&lt;$F55+($G55*$I55)),"➤",""),"")</f>
        <v/>
      </c>
      <c r="NS55" s="76" t="str">
        <f aca="false">IF($I55&gt;0%,IF(AND(NS$16&gt;=$F55,NS$16&lt;$F55+($G55*$I55)),"➤",""),"")</f>
        <v/>
      </c>
      <c r="NT55" s="76" t="str">
        <f aca="false">IF($I55&gt;0%,IF(AND(NT$16&gt;=$F55,NT$16&lt;$F55+($G55*$I55)),"➤",""),"")</f>
        <v/>
      </c>
      <c r="NU55" s="76" t="str">
        <f aca="false">IF($I55&gt;0%,IF(AND(NU$16&gt;=$F55,NU$16&lt;$F55+($G55*$I55)),"➤",""),"")</f>
        <v/>
      </c>
      <c r="NV55" s="76" t="str">
        <f aca="false">IF($I55&gt;0%,IF(AND(NV$16&gt;=$F55,NV$16&lt;$F55+($G55*$I55)),"➤",""),"")</f>
        <v/>
      </c>
      <c r="NW55" s="76" t="str">
        <f aca="false">IF($I55&gt;0%,IF(AND(NW$16&gt;=$F55,NW$16&lt;$F55+($G55*$I55)),"➤",""),"")</f>
        <v/>
      </c>
      <c r="NX55" s="76" t="str">
        <f aca="false">IF($I55&gt;0%,IF(AND(NX$16&gt;=$F55,NX$16&lt;$F55+($G55*$I55)),"➤",""),"")</f>
        <v/>
      </c>
      <c r="NY55" s="76" t="str">
        <f aca="false">IF($I55&gt;0%,IF(AND(NY$16&gt;=$F55,NY$16&lt;$F55+($G55*$I55)),"➤",""),"")</f>
        <v/>
      </c>
      <c r="NZ55" s="76" t="str">
        <f aca="false">IF($I55&gt;0%,IF(AND(NZ$16&gt;=$F55,NZ$16&lt;$F55+($G55*$I55)),"➤",""),"")</f>
        <v/>
      </c>
      <c r="OA55" s="76" t="str">
        <f aca="false">IF($I55&gt;0%,IF(AND(OA$16&gt;=$F55,OA$16&lt;$F55+($G55*$I55)),"➤",""),"")</f>
        <v/>
      </c>
      <c r="OB55" s="76" t="str">
        <f aca="false">IF($I55&gt;0%,IF(AND(OB$16&gt;=$F55,OB$16&lt;$F55+($G55*$I55)),"➤",""),"")</f>
        <v/>
      </c>
      <c r="OC55" s="76" t="str">
        <f aca="false">IF($I55&gt;0%,IF(AND(OC$16&gt;=$F55,OC$16&lt;$F55+($G55*$I55)),"➤",""),"")</f>
        <v/>
      </c>
      <c r="OD55" s="76" t="str">
        <f aca="false">IF($I55&gt;0%,IF(AND(OD$16&gt;=$F55,OD$16&lt;$F55+($G55*$I55)),"➤",""),"")</f>
        <v/>
      </c>
      <c r="OE55" s="76" t="str">
        <f aca="false">IF($I55&gt;0%,IF(AND(OE$16&gt;=$F55,OE$16&lt;$F55+($G55*$I55)),"➤",""),"")</f>
        <v/>
      </c>
      <c r="OF55" s="76" t="str">
        <f aca="false">IF($I55&gt;0%,IF(AND(OF$16&gt;=$F55,OF$16&lt;$F55+($G55*$I55)),"➤",""),"")</f>
        <v/>
      </c>
      <c r="OG55" s="76" t="str">
        <f aca="false">IF($I55&gt;0%,IF(AND(OG$16&gt;=$F55,OG$16&lt;$F55+($G55*$I55)),"➤",""),"")</f>
        <v/>
      </c>
      <c r="OH55" s="76" t="str">
        <f aca="false">IF($I55&gt;0%,IF(AND(OH$16&gt;=$F55,OH$16&lt;$F55+($G55*$I55)),"➤",""),"")</f>
        <v/>
      </c>
      <c r="OI55" s="76" t="str">
        <f aca="false">IF($I55&gt;0%,IF(AND(OI$16&gt;=$F55,OI$16&lt;$F55+($G55*$I55)),"➤",""),"")</f>
        <v/>
      </c>
      <c r="OJ55" s="76" t="str">
        <f aca="false">IF($I55&gt;0%,IF(AND(OJ$16&gt;=$F55,OJ$16&lt;$F55+($G55*$I55)),"➤",""),"")</f>
        <v/>
      </c>
      <c r="OK55" s="76" t="str">
        <f aca="false">IF($I55&gt;0%,IF(AND(OK$16&gt;=$F55,OK$16&lt;$F55+($G55*$I55)),"➤",""),"")</f>
        <v/>
      </c>
      <c r="OL55" s="76" t="str">
        <f aca="false">IF($I55&gt;0%,IF(AND(OL$16&gt;=$F55,OL$16&lt;$F55+($G55*$I55)),"➤",""),"")</f>
        <v/>
      </c>
      <c r="OM55" s="76" t="str">
        <f aca="false">IF($I55&gt;0%,IF(AND(OM$16&gt;=$F55,OM$16&lt;$F55+($G55*$I55)),"➤",""),"")</f>
        <v/>
      </c>
      <c r="ON55" s="76" t="str">
        <f aca="false">IF($I55&gt;0%,IF(AND(ON$16&gt;=$F55,ON$16&lt;$F55+($G55*$I55)),"➤",""),"")</f>
        <v/>
      </c>
      <c r="OO55" s="76" t="str">
        <f aca="false">IF($I55&gt;0%,IF(AND(OO$16&gt;=$F55,OO$16&lt;$F55+($G55*$I55)),"➤",""),"")</f>
        <v/>
      </c>
      <c r="OP55" s="76" t="str">
        <f aca="false">IF($I55&gt;0%,IF(AND(OP$16&gt;=$F55,OP$16&lt;$F55+($G55*$I55)),"➤",""),"")</f>
        <v/>
      </c>
      <c r="OQ55" s="76" t="str">
        <f aca="false">IF($I55&gt;0%,IF(AND(OQ$16&gt;=$F55,OQ$16&lt;$F55+($G55*$I55)),"➤",""),"")</f>
        <v/>
      </c>
      <c r="OR55" s="76" t="str">
        <f aca="false">IF($I55&gt;0%,IF(AND(OR$16&gt;=$F55,OR$16&lt;$F55+($G55*$I55)),"➤",""),"")</f>
        <v/>
      </c>
      <c r="OS55" s="76" t="str">
        <f aca="false">IF($I55&gt;0%,IF(AND(OS$16&gt;=$F55,OS$16&lt;$F55+($G55*$I55)),"➤",""),"")</f>
        <v/>
      </c>
      <c r="OT55" s="76" t="str">
        <f aca="false">IF($I55&gt;0%,IF(AND(OT$16&gt;=$F55,OT$16&lt;$F55+($G55*$I55)),"➤",""),"")</f>
        <v/>
      </c>
      <c r="OU55" s="76" t="str">
        <f aca="false">IF($I55&gt;0%,IF(AND(OU$16&gt;=$F55,OU$16&lt;$F55+($G55*$I55)),"➤",""),"")</f>
        <v/>
      </c>
      <c r="OV55" s="76" t="str">
        <f aca="false">IF($I55&gt;0%,IF(AND(OV$16&gt;=$F55,OV$16&lt;$F55+($G55*$I55)),"➤",""),"")</f>
        <v/>
      </c>
      <c r="OW55" s="76" t="str">
        <f aca="false">IF($I55&gt;0%,IF(AND(OW$16&gt;=$F55,OW$16&lt;$F55+($G55*$I55)),"➤",""),"")</f>
        <v/>
      </c>
      <c r="OX55" s="76" t="str">
        <f aca="false">IF($I55&gt;0%,IF(AND(OX$16&gt;=$F55,OX$16&lt;$F55+($G55*$I55)),"➤",""),"")</f>
        <v/>
      </c>
      <c r="OY55" s="76" t="str">
        <f aca="false">IF($I55&gt;0%,IF(AND(OY$16&gt;=$F55,OY$16&lt;$F55+($G55*$I55)),"➤",""),"")</f>
        <v/>
      </c>
      <c r="OZ55" s="76" t="str">
        <f aca="false">IF($I55&gt;0%,IF(AND(OZ$16&gt;=$F55,OZ$16&lt;$F55+($G55*$I55)),"➤",""),"")</f>
        <v/>
      </c>
      <c r="PA55" s="76" t="str">
        <f aca="false">IF($I55&gt;0%,IF(AND(PA$16&gt;=$F55,PA$16&lt;$F55+($G55*$I55)),"➤",""),"")</f>
        <v/>
      </c>
      <c r="PB55" s="76" t="str">
        <f aca="false">IF($I55&gt;0%,IF(AND(PB$16&gt;=$F55,PB$16&lt;$F55+($G55*$I55)),"➤",""),"")</f>
        <v/>
      </c>
      <c r="PC55" s="76" t="str">
        <f aca="false">IF($I55&gt;0%,IF(AND(PC$16&gt;=$F55,PC$16&lt;$F55+($G55*$I55)),"➤",""),"")</f>
        <v/>
      </c>
      <c r="PD55" s="76" t="str">
        <f aca="false">IF($I55&gt;0%,IF(AND(PD$16&gt;=$F55,PD$16&lt;$F55+($G55*$I55)),"➤",""),"")</f>
        <v/>
      </c>
      <c r="PE55" s="76" t="str">
        <f aca="false">IF($I55&gt;0%,IF(AND(PE$16&gt;=$F55,PE$16&lt;$F55+($G55*$I55)),"➤",""),"")</f>
        <v/>
      </c>
      <c r="PF55" s="76" t="str">
        <f aca="false">IF($I55&gt;0%,IF(AND(PF$16&gt;=$F55,PF$16&lt;$F55+($G55*$I55)),"➤",""),"")</f>
        <v/>
      </c>
      <c r="PG55" s="76" t="str">
        <f aca="false">IF($I55&gt;0%,IF(AND(PG$16&gt;=$F55,PG$16&lt;$F55+($G55*$I55)),"➤",""),"")</f>
        <v/>
      </c>
      <c r="PH55" s="76" t="str">
        <f aca="false">IF($I55&gt;0%,IF(AND(PH$16&gt;=$F55,PH$16&lt;$F55+($G55*$I55)),"➤",""),"")</f>
        <v/>
      </c>
      <c r="PI55" s="76" t="str">
        <f aca="false">IF($I55&gt;0%,IF(AND(PI$16&gt;=$F55,PI$16&lt;$F55+($G55*$I55)),"➤",""),"")</f>
        <v/>
      </c>
      <c r="PJ55" s="76" t="str">
        <f aca="false">IF($I55&gt;0%,IF(AND(PJ$16&gt;=$F55,PJ$16&lt;$F55+($G55*$I55)),"➤",""),"")</f>
        <v/>
      </c>
      <c r="PK55" s="76" t="str">
        <f aca="false">IF($I55&gt;0%,IF(AND(PK$16&gt;=$F55,PK$16&lt;$F55+($G55*$I55)),"➤",""),"")</f>
        <v/>
      </c>
      <c r="PL55" s="76" t="str">
        <f aca="false">IF($I55&gt;0%,IF(AND(PL$16&gt;=$F55,PL$16&lt;$F55+($G55*$I55)),"➤",""),"")</f>
        <v/>
      </c>
      <c r="PM55" s="76" t="str">
        <f aca="false">IF($I55&gt;0%,IF(AND(PM$16&gt;=$F55,PM$16&lt;$F55+($G55*$I55)),"➤",""),"")</f>
        <v/>
      </c>
      <c r="PN55" s="76" t="str">
        <f aca="false">IF($I55&gt;0%,IF(AND(PN$16&gt;=$F55,PN$16&lt;$F55+($G55*$I55)),"➤",""),"")</f>
        <v/>
      </c>
      <c r="PO55" s="76" t="str">
        <f aca="false">IF($I55&gt;0%,IF(AND(PO$16&gt;=$F55,PO$16&lt;$F55+($G55*$I55)),"➤",""),"")</f>
        <v/>
      </c>
      <c r="PP55" s="76" t="str">
        <f aca="false">IF($I55&gt;0%,IF(AND(PP$16&gt;=$F55,PP$16&lt;$F55+($G55*$I55)),"➤",""),"")</f>
        <v/>
      </c>
      <c r="PQ55" s="76" t="str">
        <f aca="false">IF($I55&gt;0%,IF(AND(PQ$16&gt;=$F55,PQ$16&lt;$F55+($G55*$I55)),"➤",""),"")</f>
        <v/>
      </c>
      <c r="PR55" s="76" t="str">
        <f aca="false">IF($I55&gt;0%,IF(AND(PR$16&gt;=$F55,PR$16&lt;$F55+($G55*$I55)),"➤",""),"")</f>
        <v/>
      </c>
      <c r="PS55" s="76" t="str">
        <f aca="false">IF($I55&gt;0%,IF(AND(PS$16&gt;=$F55,PS$16&lt;$F55+($G55*$I55)),"➤",""),"")</f>
        <v/>
      </c>
      <c r="PT55" s="76" t="str">
        <f aca="false">IF($I55&gt;0%,IF(AND(PT$16&gt;=$F55,PT$16&lt;$F55+($G55*$I55)),"➤",""),"")</f>
        <v/>
      </c>
      <c r="PU55" s="76" t="str">
        <f aca="false">IF($I55&gt;0%,IF(AND(PU$16&gt;=$F55,PU$16&lt;$F55+($G55*$I55)),"➤",""),"")</f>
        <v/>
      </c>
      <c r="PV55" s="76" t="str">
        <f aca="false">IF($I55&gt;0%,IF(AND(PV$16&gt;=$F55,PV$16&lt;$F55+($G55*$I55)),"➤",""),"")</f>
        <v/>
      </c>
      <c r="PW55" s="76" t="str">
        <f aca="false">IF($I55&gt;0%,IF(AND(PW$16&gt;=$F55,PW$16&lt;$F55+($G55*$I55)),"➤",""),"")</f>
        <v/>
      </c>
      <c r="PX55" s="76" t="str">
        <f aca="false">IF($I55&gt;0%,IF(AND(PX$16&gt;=$F55,PX$16&lt;$F55+($G55*$I55)),"➤",""),"")</f>
        <v/>
      </c>
      <c r="PY55" s="76" t="str">
        <f aca="false">IF($I55&gt;0%,IF(AND(PY$16&gt;=$F55,PY$16&lt;$F55+($G55*$I55)),"➤",""),"")</f>
        <v/>
      </c>
      <c r="PZ55" s="76" t="str">
        <f aca="false">IF($I55&gt;0%,IF(AND(PZ$16&gt;=$F55,PZ$16&lt;$F55+($G55*$I55)),"➤",""),"")</f>
        <v/>
      </c>
      <c r="QA55" s="76" t="str">
        <f aca="false">IF($I55&gt;0%,IF(AND(QA$16&gt;=$F55,QA$16&lt;$F55+($G55*$I55)),"➤",""),"")</f>
        <v/>
      </c>
      <c r="QB55" s="76" t="str">
        <f aca="false">IF($I55&gt;0%,IF(AND(QB$16&gt;=$F55,QB$16&lt;$F55+($G55*$I55)),"➤",""),"")</f>
        <v/>
      </c>
      <c r="QC55" s="76" t="str">
        <f aca="false">IF($I55&gt;0%,IF(AND(QC$16&gt;=$F55,QC$16&lt;$F55+($G55*$I55)),"➤",""),"")</f>
        <v/>
      </c>
      <c r="QD55" s="76" t="str">
        <f aca="false">IF($I55&gt;0%,IF(AND(QD$16&gt;=$F55,QD$16&lt;$F55+($G55*$I55)),"➤",""),"")</f>
        <v/>
      </c>
      <c r="QE55" s="76" t="str">
        <f aca="false">IF($I55&gt;0%,IF(AND(QE$16&gt;=$F55,QE$16&lt;$F55+($G55*$I55)),"➤",""),"")</f>
        <v/>
      </c>
      <c r="QF55" s="76" t="str">
        <f aca="false">IF($I55&gt;0%,IF(AND(QF$16&gt;=$F55,QF$16&lt;$F55+($G55*$I55)),"➤",""),"")</f>
        <v/>
      </c>
      <c r="QG55" s="76" t="str">
        <f aca="false">IF($I55&gt;0%,IF(AND(QG$16&gt;=$F55,QG$16&lt;$F55+($G55*$I55)),"➤",""),"")</f>
        <v/>
      </c>
      <c r="QH55" s="76" t="str">
        <f aca="false">IF($I55&gt;0%,IF(AND(QH$16&gt;=$F55,QH$16&lt;$F55+($G55*$I55)),"➤",""),"")</f>
        <v/>
      </c>
      <c r="QI55" s="76" t="str">
        <f aca="false">IF($I55&gt;0%,IF(AND(QI$16&gt;=$F55,QI$16&lt;$F55+($G55*$I55)),"➤",""),"")</f>
        <v/>
      </c>
      <c r="QJ55" s="76" t="str">
        <f aca="false">IF($I55&gt;0%,IF(AND(QJ$16&gt;=$F55,QJ$16&lt;$F55+($G55*$I55)),"➤",""),"")</f>
        <v/>
      </c>
      <c r="QK55" s="76" t="str">
        <f aca="false">IF($I55&gt;0%,IF(AND(QK$16&gt;=$F55,QK$16&lt;$F55+($G55*$I55)),"➤",""),"")</f>
        <v/>
      </c>
      <c r="QL55" s="76" t="str">
        <f aca="false">IF($I55&gt;0%,IF(AND(QL$16&gt;=$F55,QL$16&lt;$F55+($G55*$I55)),"➤",""),"")</f>
        <v/>
      </c>
      <c r="QM55" s="76" t="str">
        <f aca="false">IF($I55&gt;0%,IF(AND(QM$16&gt;=$F55,QM$16&lt;$F55+($G55*$I55)),"➤",""),"")</f>
        <v/>
      </c>
      <c r="QN55" s="76" t="str">
        <f aca="false">IF($I55&gt;0%,IF(AND(QN$16&gt;=$F55,QN$16&lt;$F55+($G55*$I55)),"➤",""),"")</f>
        <v/>
      </c>
      <c r="QO55" s="76" t="str">
        <f aca="false">IF($I55&gt;0%,IF(AND(QO$16&gt;=$F55,QO$16&lt;$F55+($G55*$I55)),"➤",""),"")</f>
        <v/>
      </c>
      <c r="QP55" s="76" t="str">
        <f aca="false">IF($I55&gt;0%,IF(AND(QP$16&gt;=$F55,QP$16&lt;$F55+($G55*$I55)),"➤",""),"")</f>
        <v/>
      </c>
      <c r="QQ55" s="76" t="str">
        <f aca="false">IF($I55&gt;0%,IF(AND(QQ$16&gt;=$F55,QQ$16&lt;$F55+($G55*$I55)),"➤",""),"")</f>
        <v/>
      </c>
      <c r="QR55" s="76" t="str">
        <f aca="false">IF($I55&gt;0%,IF(AND(QR$16&gt;=$F55,QR$16&lt;$F55+($G55*$I55)),"➤",""),"")</f>
        <v/>
      </c>
      <c r="QS55" s="76" t="str">
        <f aca="false">IF($I55&gt;0%,IF(AND(QS$16&gt;=$F55,QS$16&lt;$F55+($G55*$I55)),"➤",""),"")</f>
        <v/>
      </c>
      <c r="QT55" s="76" t="str">
        <f aca="false">IF($I55&gt;0%,IF(AND(QT$16&gt;=$F55,QT$16&lt;$F55+($G55*$I55)),"➤",""),"")</f>
        <v/>
      </c>
      <c r="QU55" s="76" t="str">
        <f aca="false">IF($I55&gt;0%,IF(AND(QU$16&gt;=$F55,QU$16&lt;$F55+($G55*$I55)),"➤",""),"")</f>
        <v/>
      </c>
      <c r="QV55" s="76" t="str">
        <f aca="false">IF($I55&gt;0%,IF(AND(QV$16&gt;=$F55,QV$16&lt;$F55+($G55*$I55)),"➤",""),"")</f>
        <v/>
      </c>
      <c r="QW55" s="76" t="str">
        <f aca="false">IF($I55&gt;0%,IF(AND(QW$16&gt;=$F55,QW$16&lt;$F55+($G55*$I55)),"➤",""),"")</f>
        <v/>
      </c>
      <c r="QX55" s="76" t="str">
        <f aca="false">IF($I55&gt;0%,IF(AND(QX$16&gt;=$F55,QX$16&lt;$F55+($G55*$I55)),"➤",""),"")</f>
        <v/>
      </c>
      <c r="QY55" s="76" t="str">
        <f aca="false">IF($I55&gt;0%,IF(AND(QY$16&gt;=$F55,QY$16&lt;$F55+($G55*$I55)),"➤",""),"")</f>
        <v/>
      </c>
      <c r="QZ55" s="76" t="str">
        <f aca="false">IF($I55&gt;0%,IF(AND(QZ$16&gt;=$F55,QZ$16&lt;$F55+($G55*$I55)),"➤",""),"")</f>
        <v/>
      </c>
      <c r="RA55" s="76" t="str">
        <f aca="false">IF($I55&gt;0%,IF(AND(RA$16&gt;=$F55,RA$16&lt;$F55+($G55*$I55)),"➤",""),"")</f>
        <v/>
      </c>
      <c r="RB55" s="76" t="str">
        <f aca="false">IF($I55&gt;0%,IF(AND(RB$16&gt;=$F55,RB$16&lt;$F55+($G55*$I55)),"➤",""),"")</f>
        <v/>
      </c>
      <c r="RC55" s="76" t="str">
        <f aca="false">IF($I55&gt;0%,IF(AND(RC$16&gt;=$F55,RC$16&lt;$F55+($G55*$I55)),"➤",""),"")</f>
        <v/>
      </c>
      <c r="RD55" s="76" t="str">
        <f aca="false">IF($I55&gt;0%,IF(AND(RD$16&gt;=$F55,RD$16&lt;$F55+($G55*$I55)),"➤",""),"")</f>
        <v/>
      </c>
      <c r="RE55" s="76" t="str">
        <f aca="false">IF($I55&gt;0%,IF(AND(RE$16&gt;=$F55,RE$16&lt;$F55+($G55*$I55)),"➤",""),"")</f>
        <v/>
      </c>
      <c r="RF55" s="76" t="str">
        <f aca="false">IF($I55&gt;0%,IF(AND(RF$16&gt;=$F55,RF$16&lt;$F55+($G55*$I55)),"➤",""),"")</f>
        <v/>
      </c>
      <c r="RG55" s="76" t="str">
        <f aca="false">IF($I55&gt;0%,IF(AND(RG$16&gt;=$F55,RG$16&lt;$F55+($G55*$I55)),"➤",""),"")</f>
        <v/>
      </c>
      <c r="RH55" s="76" t="str">
        <f aca="false">IF($I55&gt;0%,IF(AND(RH$16&gt;=$F55,RH$16&lt;$F55+($G55*$I55)),"➤",""),"")</f>
        <v/>
      </c>
      <c r="RI55" s="76" t="str">
        <f aca="false">IF($I55&gt;0%,IF(AND(RI$16&gt;=$F55,RI$16&lt;$F55+($G55*$I55)),"➤",""),"")</f>
        <v/>
      </c>
      <c r="RJ55" s="76" t="str">
        <f aca="false">IF($I55&gt;0%,IF(AND(RJ$16&gt;=$F55,RJ$16&lt;$F55+($G55*$I55)),"➤",""),"")</f>
        <v/>
      </c>
      <c r="RK55" s="76" t="str">
        <f aca="false">IF($I55&gt;0%,IF(AND(RK$16&gt;=$F55,RK$16&lt;$F55+($G55*$I55)),"➤",""),"")</f>
        <v/>
      </c>
      <c r="RL55" s="76" t="str">
        <f aca="false">IF($I55&gt;0%,IF(AND(RL$16&gt;=$F55,RL$16&lt;$F55+($G55*$I55)),"➤",""),"")</f>
        <v/>
      </c>
      <c r="RM55" s="76" t="str">
        <f aca="false">IF($I55&gt;0%,IF(AND(RM$16&gt;=$F55,RM$16&lt;$F55+($G55*$I55)),"➤",""),"")</f>
        <v/>
      </c>
      <c r="RN55" s="76" t="str">
        <f aca="false">IF($I55&gt;0%,IF(AND(RN$16&gt;=$F55,RN$16&lt;$F55+($G55*$I55)),"➤",""),"")</f>
        <v/>
      </c>
      <c r="RO55" s="76" t="str">
        <f aca="false">IF($I55&gt;0%,IF(AND(RO$16&gt;=$F55,RO$16&lt;$F55+($G55*$I55)),"➤",""),"")</f>
        <v/>
      </c>
      <c r="RP55" s="76" t="str">
        <f aca="false">IF($I55&gt;0%,IF(AND(RP$16&gt;=$F55,RP$16&lt;$F55+($G55*$I55)),"➤",""),"")</f>
        <v/>
      </c>
      <c r="RQ55" s="76" t="str">
        <f aca="false">IF($I55&gt;0%,IF(AND(RQ$16&gt;=$F55,RQ$16&lt;$F55+($G55*$I55)),"➤",""),"")</f>
        <v/>
      </c>
      <c r="RR55" s="76" t="str">
        <f aca="false">IF($I55&gt;0%,IF(AND(RR$16&gt;=$F55,RR$16&lt;$F55+($G55*$I55)),"➤",""),"")</f>
        <v/>
      </c>
      <c r="RS55" s="76" t="str">
        <f aca="false">IF($I55&gt;0%,IF(AND(RS$16&gt;=$F55,RS$16&lt;$F55+($G55*$I55)),"➤",""),"")</f>
        <v/>
      </c>
      <c r="RT55" s="76" t="str">
        <f aca="false">IF($I55&gt;0%,IF(AND(RT$16&gt;=$F55,RT$16&lt;$F55+($G55*$I55)),"➤",""),"")</f>
        <v/>
      </c>
      <c r="RU55" s="76" t="str">
        <f aca="false">IF($I55&gt;0%,IF(AND(RU$16&gt;=$F55,RU$16&lt;$F55+($G55*$I55)),"➤",""),"")</f>
        <v/>
      </c>
      <c r="RV55" s="76" t="str">
        <f aca="false">IF($I55&gt;0%,IF(AND(RV$16&gt;=$F55,RV$16&lt;$F55+($G55*$I55)),"➤",""),"")</f>
        <v/>
      </c>
      <c r="RW55" s="76" t="str">
        <f aca="false">IF($I55&gt;0%,IF(AND(RW$16&gt;=$F55,RW$16&lt;$F55+($G55*$I55)),"➤",""),"")</f>
        <v/>
      </c>
      <c r="RX55" s="76" t="str">
        <f aca="false">IF($I55&gt;0%,IF(AND(RX$16&gt;=$F55,RX$16&lt;$F55+($G55*$I55)),"➤",""),"")</f>
        <v/>
      </c>
      <c r="RY55" s="76" t="str">
        <f aca="false">IF($I55&gt;0%,IF(AND(RY$16&gt;=$F55,RY$16&lt;$F55+($G55*$I55)),"➤",""),"")</f>
        <v/>
      </c>
      <c r="RZ55" s="76" t="str">
        <f aca="false">IF($I55&gt;0%,IF(AND(RZ$16&gt;=$F55,RZ$16&lt;$F55+($G55*$I55)),"➤",""),"")</f>
        <v/>
      </c>
      <c r="SA55" s="76" t="str">
        <f aca="false">IF($I55&gt;0%,IF(AND(SA$16&gt;=$F55,SA$16&lt;$F55+($G55*$I55)),"➤",""),"")</f>
        <v/>
      </c>
      <c r="SB55" s="76" t="str">
        <f aca="false">IF($I55&gt;0%,IF(AND(SB$16&gt;=$F55,SB$16&lt;$F55+($G55*$I55)),"➤",""),"")</f>
        <v/>
      </c>
      <c r="SC55" s="76" t="str">
        <f aca="false">IF($I55&gt;0%,IF(AND(SC$16&gt;=$F55,SC$16&lt;$F55+($G55*$I55)),"➤",""),"")</f>
        <v/>
      </c>
      <c r="SD55" s="76" t="str">
        <f aca="false">IF($I55&gt;0%,IF(AND(SD$16&gt;=$F55,SD$16&lt;$F55+($G55*$I55)),"➤",""),"")</f>
        <v/>
      </c>
      <c r="SE55" s="76" t="str">
        <f aca="false">IF($I55&gt;0%,IF(AND(SE$16&gt;=$F55,SE$16&lt;$F55+($G55*$I55)),"➤",""),"")</f>
        <v/>
      </c>
      <c r="SF55" s="76" t="str">
        <f aca="false">IF($I55&gt;0%,IF(AND(SF$16&gt;=$F55,SF$16&lt;$F55+($G55*$I55)),"➤",""),"")</f>
        <v/>
      </c>
      <c r="SG55" s="76" t="str">
        <f aca="false">IF($I55&gt;0%,IF(AND(SG$16&gt;=$F55,SG$16&lt;$F55+($G55*$I55)),"➤",""),"")</f>
        <v/>
      </c>
      <c r="SH55" s="76" t="str">
        <f aca="false">IF($I55&gt;0%,IF(AND(SH$16&gt;=$F55,SH$16&lt;$F55+($G55*$I55)),"➤",""),"")</f>
        <v/>
      </c>
      <c r="SI55" s="76" t="str">
        <f aca="false">IF($I55&gt;0%,IF(AND(SI$16&gt;=$F55,SI$16&lt;$F55+($G55*$I55)),"➤",""),"")</f>
        <v/>
      </c>
      <c r="SJ55" s="76" t="str">
        <f aca="false">IF($I55&gt;0%,IF(AND(SJ$16&gt;=$F55,SJ$16&lt;$F55+($G55*$I55)),"➤",""),"")</f>
        <v/>
      </c>
      <c r="SK55" s="76" t="str">
        <f aca="false">IF($I55&gt;0%,IF(AND(SK$16&gt;=$F55,SK$16&lt;$F55+($G55*$I55)),"➤",""),"")</f>
        <v/>
      </c>
      <c r="SL55" s="76" t="str">
        <f aca="false">IF($I55&gt;0%,IF(AND(SL$16&gt;=$F55,SL$16&lt;$F55+($G55*$I55)),"➤",""),"")</f>
        <v/>
      </c>
      <c r="SM55" s="76" t="str">
        <f aca="false">IF($I55&gt;0%,IF(AND(SM$16&gt;=$F55,SM$16&lt;$F55+($G55*$I55)),"➤",""),"")</f>
        <v/>
      </c>
      <c r="SN55" s="76" t="str">
        <f aca="false">IF($I55&gt;0%,IF(AND(SN$16&gt;=$F55,SN$16&lt;$F55+($G55*$I55)),"➤",""),"")</f>
        <v/>
      </c>
      <c r="SO55" s="76" t="str">
        <f aca="false">IF($I55&gt;0%,IF(AND(SO$16&gt;=$F55,SO$16&lt;$F55+($G55*$I55)),"➤",""),"")</f>
        <v/>
      </c>
      <c r="SP55" s="76" t="str">
        <f aca="false">IF($I55&gt;0%,IF(AND(SP$16&gt;=$F55,SP$16&lt;$F55+($G55*$I55)),"➤",""),"")</f>
        <v/>
      </c>
      <c r="SQ55" s="76" t="str">
        <f aca="false">IF($I55&gt;0%,IF(AND(SQ$16&gt;=$F55,SQ$16&lt;$F55+($G55*$I55)),"➤",""),"")</f>
        <v/>
      </c>
      <c r="SR55" s="76" t="str">
        <f aca="false">IF($I55&gt;0%,IF(AND(SR$16&gt;=$F55,SR$16&lt;$F55+($G55*$I55)),"➤",""),"")</f>
        <v/>
      </c>
      <c r="SS55" s="76" t="str">
        <f aca="false">IF($I55&gt;0%,IF(AND(SS$16&gt;=$F55,SS$16&lt;$F55+($G55*$I55)),"➤",""),"")</f>
        <v/>
      </c>
      <c r="ST55" s="76" t="str">
        <f aca="false">IF($I55&gt;0%,IF(AND(ST$16&gt;=$F55,ST$16&lt;$F55+($G55*$I55)),"➤",""),"")</f>
        <v/>
      </c>
      <c r="SU55" s="76" t="str">
        <f aca="false">IF($I55&gt;0%,IF(AND(SU$16&gt;=$F55,SU$16&lt;$F55+($G55*$I55)),"➤",""),"")</f>
        <v/>
      </c>
      <c r="SV55" s="76" t="str">
        <f aca="false">IF($I55&gt;0%,IF(AND(SV$16&gt;=$F55,SV$16&lt;$F55+($G55*$I55)),"➤",""),"")</f>
        <v/>
      </c>
      <c r="SW55" s="77" t="str">
        <f aca="false">IF($I55&gt;0%,IF(AND(SW$16&gt;=$F55,SW$16&lt;$F55+($G55*$I55)),"➤",""),"")</f>
        <v/>
      </c>
    </row>
    <row r="56" customFormat="false" ht="14.25" hidden="false" customHeight="false" outlineLevel="1" collapsed="false">
      <c r="C56" s="10"/>
      <c r="D56" s="112"/>
      <c r="E56" s="79"/>
      <c r="F56" s="80" t="n">
        <v>44193</v>
      </c>
      <c r="G56" s="81" t="n">
        <v>10</v>
      </c>
      <c r="H56" s="94" t="n">
        <f aca="false">(F56+G56)-1</f>
        <v>44202</v>
      </c>
      <c r="I56" s="95" t="n">
        <v>0</v>
      </c>
      <c r="J56" s="84"/>
      <c r="K56" s="85"/>
      <c r="L56" s="75" t="str">
        <f aca="false">IF($I56&gt;0%,IF(AND(L$16&gt;=$F56,L$16&lt;$F56+($G56*$I56)),"➤",""),"")</f>
        <v/>
      </c>
      <c r="M56" s="76" t="str">
        <f aca="false">IF($I56&gt;0%,IF(AND(M$16&gt;=$F56,M$16&lt;$F56+($G56*$I56)),"➤",""),"")</f>
        <v/>
      </c>
      <c r="N56" s="76" t="str">
        <f aca="false">IF($I56&gt;0%,IF(AND(N$16&gt;=$F56,N$16&lt;$F56+($G56*$I56)),"➤",""),"")</f>
        <v/>
      </c>
      <c r="O56" s="76" t="str">
        <f aca="false">IF($I56&gt;0%,IF(AND(O$16&gt;=$F56,O$16&lt;$F56+($G56*$I56)),"➤",""),"")</f>
        <v/>
      </c>
      <c r="P56" s="76" t="str">
        <f aca="false">IF($I56&gt;0%,IF(AND(P$16&gt;=$F56,P$16&lt;$F56+($G56*$I56)),"➤",""),"")</f>
        <v/>
      </c>
      <c r="Q56" s="76" t="str">
        <f aca="false">IF($I56&gt;0%,IF(AND(Q$16&gt;=$F56,Q$16&lt;$F56+($G56*$I56)),"➤",""),"")</f>
        <v/>
      </c>
      <c r="R56" s="76" t="str">
        <f aca="false">IF($I56&gt;0%,IF(AND(R$16&gt;=$F56,R$16&lt;$F56+($G56*$I56)),"➤",""),"")</f>
        <v/>
      </c>
      <c r="S56" s="76" t="str">
        <f aca="false">IF($I56&gt;0%,IF(AND(S$16&gt;=$F56,S$16&lt;$F56+($G56*$I56)),"➤",""),"")</f>
        <v/>
      </c>
      <c r="T56" s="76" t="str">
        <f aca="false">IF($I56&gt;0%,IF(AND(T$16&gt;=$F56,T$16&lt;$F56+($G56*$I56)),"➤",""),"")</f>
        <v/>
      </c>
      <c r="U56" s="76" t="str">
        <f aca="false">IF($I56&gt;0%,IF(AND(U$16&gt;=$F56,U$16&lt;$F56+($G56*$I56)),"➤",""),"")</f>
        <v/>
      </c>
      <c r="V56" s="76" t="str">
        <f aca="false">IF($I56&gt;0%,IF(AND(V$16&gt;=$F56,V$16&lt;$F56+($G56*$I56)),"➤",""),"")</f>
        <v/>
      </c>
      <c r="W56" s="76" t="str">
        <f aca="false">IF($I56&gt;0%,IF(AND(W$16&gt;=$F56,W$16&lt;$F56+($G56*$I56)),"➤",""),"")</f>
        <v/>
      </c>
      <c r="X56" s="76" t="str">
        <f aca="false">IF($I56&gt;0%,IF(AND(X$16&gt;=$F56,X$16&lt;$F56+($G56*$I56)),"➤",""),"")</f>
        <v/>
      </c>
      <c r="Y56" s="76" t="str">
        <f aca="false">IF($I56&gt;0%,IF(AND(Y$16&gt;=$F56,Y$16&lt;$F56+($G56*$I56)),"➤",""),"")</f>
        <v/>
      </c>
      <c r="Z56" s="76" t="str">
        <f aca="false">IF($I56&gt;0%,IF(AND(Z$16&gt;=$F56,Z$16&lt;$F56+($G56*$I56)),"➤",""),"")</f>
        <v/>
      </c>
      <c r="AA56" s="76" t="str">
        <f aca="false">IF($I56&gt;0%,IF(AND(AA$16&gt;=$F56,AA$16&lt;$F56+($G56*$I56)),"➤",""),"")</f>
        <v/>
      </c>
      <c r="AB56" s="76" t="str">
        <f aca="false">IF($I56&gt;0%,IF(AND(AB$16&gt;=$F56,AB$16&lt;$F56+($G56*$I56)),"➤",""),"")</f>
        <v/>
      </c>
      <c r="AC56" s="76" t="str">
        <f aca="false">IF($I56&gt;0%,IF(AND(AC$16&gt;=$F56,AC$16&lt;$F56+($G56*$I56)),"➤",""),"")</f>
        <v/>
      </c>
      <c r="AD56" s="76" t="str">
        <f aca="false">IF($I56&gt;0%,IF(AND(AD$16&gt;=$F56,AD$16&lt;$F56+($G56*$I56)),"➤",""),"")</f>
        <v/>
      </c>
      <c r="AE56" s="76" t="str">
        <f aca="false">IF($I56&gt;0%,IF(AND(AE$16&gt;=$F56,AE$16&lt;$F56+($G56*$I56)),"➤",""),"")</f>
        <v/>
      </c>
      <c r="AF56" s="76" t="str">
        <f aca="false">IF($I56&gt;0%,IF(AND(AF$16&gt;=$F56,AF$16&lt;$F56+($G56*$I56)),"➤",""),"")</f>
        <v/>
      </c>
      <c r="AG56" s="76" t="str">
        <f aca="false">IF($I56&gt;0%,IF(AND(AG$16&gt;=$F56,AG$16&lt;$F56+($G56*$I56)),"➤",""),"")</f>
        <v/>
      </c>
      <c r="AH56" s="76" t="str">
        <f aca="false">IF($I56&gt;0%,IF(AND(AH$16&gt;=$F56,AH$16&lt;$F56+($G56*$I56)),"➤",""),"")</f>
        <v/>
      </c>
      <c r="AI56" s="76" t="str">
        <f aca="false">IF($I56&gt;0%,IF(AND(AI$16&gt;=$F56,AI$16&lt;$F56+($G56*$I56)),"➤",""),"")</f>
        <v/>
      </c>
      <c r="AJ56" s="76" t="str">
        <f aca="false">IF($I56&gt;0%,IF(AND(AJ$16&gt;=$F56,AJ$16&lt;$F56+($G56*$I56)),"➤",""),"")</f>
        <v/>
      </c>
      <c r="AK56" s="76" t="str">
        <f aca="false">IF($I56&gt;0%,IF(AND(AK$16&gt;=$F56,AK$16&lt;$F56+($G56*$I56)),"➤",""),"")</f>
        <v/>
      </c>
      <c r="AL56" s="76" t="str">
        <f aca="false">IF($I56&gt;0%,IF(AND(AL$16&gt;=$F56,AL$16&lt;$F56+($G56*$I56)),"➤",""),"")</f>
        <v/>
      </c>
      <c r="AM56" s="76" t="str">
        <f aca="false">IF($I56&gt;0%,IF(AND(AM$16&gt;=$F56,AM$16&lt;$F56+($G56*$I56)),"➤",""),"")</f>
        <v/>
      </c>
      <c r="AN56" s="76" t="str">
        <f aca="false">IF($I56&gt;0%,IF(AND(AN$16&gt;=$F56,AN$16&lt;$F56+($G56*$I56)),"➤",""),"")</f>
        <v/>
      </c>
      <c r="AO56" s="76" t="str">
        <f aca="false">IF($I56&gt;0%,IF(AND(AO$16&gt;=$F56,AO$16&lt;$F56+($G56*$I56)),"➤",""),"")</f>
        <v/>
      </c>
      <c r="AP56" s="76" t="str">
        <f aca="false">IF($I56&gt;0%,IF(AND(AP$16&gt;=$F56,AP$16&lt;$F56+($G56*$I56)),"➤",""),"")</f>
        <v/>
      </c>
      <c r="AQ56" s="76" t="str">
        <f aca="false">IF($I56&gt;0%,IF(AND(AQ$16&gt;=$F56,AQ$16&lt;$F56+($G56*$I56)),"➤",""),"")</f>
        <v/>
      </c>
      <c r="AR56" s="76" t="str">
        <f aca="false">IF($I56&gt;0%,IF(AND(AR$16&gt;=$F56,AR$16&lt;$F56+($G56*$I56)),"➤",""),"")</f>
        <v/>
      </c>
      <c r="AS56" s="76" t="str">
        <f aca="false">IF($I56&gt;0%,IF(AND(AS$16&gt;=$F56,AS$16&lt;$F56+($G56*$I56)),"➤",""),"")</f>
        <v/>
      </c>
      <c r="AT56" s="76" t="str">
        <f aca="false">IF($I56&gt;0%,IF(AND(AT$16&gt;=$F56,AT$16&lt;$F56+($G56*$I56)),"➤",""),"")</f>
        <v/>
      </c>
      <c r="AU56" s="76" t="str">
        <f aca="false">IF($I56&gt;0%,IF(AND(AU$16&gt;=$F56,AU$16&lt;$F56+($G56*$I56)),"➤",""),"")</f>
        <v/>
      </c>
      <c r="AV56" s="76" t="str">
        <f aca="false">IF($I56&gt;0%,IF(AND(AV$16&gt;=$F56,AV$16&lt;$F56+($G56*$I56)),"➤",""),"")</f>
        <v/>
      </c>
      <c r="AW56" s="76" t="str">
        <f aca="false">IF($I56&gt;0%,IF(AND(AW$16&gt;=$F56,AW$16&lt;$F56+($G56*$I56)),"➤",""),"")</f>
        <v/>
      </c>
      <c r="AX56" s="76" t="str">
        <f aca="false">IF($I56&gt;0%,IF(AND(AX$16&gt;=$F56,AX$16&lt;$F56+($G56*$I56)),"➤",""),"")</f>
        <v/>
      </c>
      <c r="AY56" s="76" t="str">
        <f aca="false">IF($I56&gt;0%,IF(AND(AY$16&gt;=$F56,AY$16&lt;$F56+($G56*$I56)),"➤",""),"")</f>
        <v/>
      </c>
      <c r="AZ56" s="76" t="str">
        <f aca="false">IF($I56&gt;0%,IF(AND(AZ$16&gt;=$F56,AZ$16&lt;$F56+($G56*$I56)),"➤",""),"")</f>
        <v/>
      </c>
      <c r="BA56" s="76" t="str">
        <f aca="false">IF($I56&gt;0%,IF(AND(BA$16&gt;=$F56,BA$16&lt;$F56+($G56*$I56)),"➤",""),"")</f>
        <v/>
      </c>
      <c r="BB56" s="76" t="str">
        <f aca="false">IF($I56&gt;0%,IF(AND(BB$16&gt;=$F56,BB$16&lt;$F56+($G56*$I56)),"➤",""),"")</f>
        <v/>
      </c>
      <c r="BC56" s="76" t="str">
        <f aca="false">IF($I56&gt;0%,IF(AND(BC$16&gt;=$F56,BC$16&lt;$F56+($G56*$I56)),"➤",""),"")</f>
        <v/>
      </c>
      <c r="BD56" s="76" t="str">
        <f aca="false">IF($I56&gt;0%,IF(AND(BD$16&gt;=$F56,BD$16&lt;$F56+($G56*$I56)),"➤",""),"")</f>
        <v/>
      </c>
      <c r="BE56" s="76" t="str">
        <f aca="false">IF($I56&gt;0%,IF(AND(BE$16&gt;=$F56,BE$16&lt;$F56+($G56*$I56)),"➤",""),"")</f>
        <v/>
      </c>
      <c r="BF56" s="76" t="str">
        <f aca="false">IF($I56&gt;0%,IF(AND(BF$16&gt;=$F56,BF$16&lt;$F56+($G56*$I56)),"➤",""),"")</f>
        <v/>
      </c>
      <c r="BG56" s="76" t="str">
        <f aca="false">IF($I56&gt;0%,IF(AND(BG$16&gt;=$F56,BG$16&lt;$F56+($G56*$I56)),"➤",""),"")</f>
        <v/>
      </c>
      <c r="BH56" s="76" t="str">
        <f aca="false">IF($I56&gt;0%,IF(AND(BH$16&gt;=$F56,BH$16&lt;$F56+($G56*$I56)),"➤",""),"")</f>
        <v/>
      </c>
      <c r="BI56" s="76" t="str">
        <f aca="false">IF($I56&gt;0%,IF(AND(BI$16&gt;=$F56,BI$16&lt;$F56+($G56*$I56)),"➤",""),"")</f>
        <v/>
      </c>
      <c r="BJ56" s="76" t="str">
        <f aca="false">IF($I56&gt;0%,IF(AND(BJ$16&gt;=$F56,BJ$16&lt;$F56+($G56*$I56)),"➤",""),"")</f>
        <v/>
      </c>
      <c r="BK56" s="76" t="str">
        <f aca="false">IF($I56&gt;0%,IF(AND(BK$16&gt;=$F56,BK$16&lt;$F56+($G56*$I56)),"➤",""),"")</f>
        <v/>
      </c>
      <c r="BL56" s="76" t="str">
        <f aca="false">IF($I56&gt;0%,IF(AND(BL$16&gt;=$F56,BL$16&lt;$F56+($G56*$I56)),"➤",""),"")</f>
        <v/>
      </c>
      <c r="BM56" s="76" t="str">
        <f aca="false">IF($I56&gt;0%,IF(AND(BM$16&gt;=$F56,BM$16&lt;$F56+($G56*$I56)),"➤",""),"")</f>
        <v/>
      </c>
      <c r="BN56" s="76" t="str">
        <f aca="false">IF($I56&gt;0%,IF(AND(BN$16&gt;=$F56,BN$16&lt;$F56+($G56*$I56)),"➤",""),"")</f>
        <v/>
      </c>
      <c r="BO56" s="76" t="str">
        <f aca="false">IF($I56&gt;0%,IF(AND(BO$16&gt;=$F56,BO$16&lt;$F56+($G56*$I56)),"➤",""),"")</f>
        <v/>
      </c>
      <c r="BP56" s="76" t="str">
        <f aca="false">IF($I56&gt;0%,IF(AND(BP$16&gt;=$F56,BP$16&lt;$F56+($G56*$I56)),"➤",""),"")</f>
        <v/>
      </c>
      <c r="BQ56" s="76" t="str">
        <f aca="false">IF($I56&gt;0%,IF(AND(BQ$16&gt;=$F56,BQ$16&lt;$F56+($G56*$I56)),"➤",""),"")</f>
        <v/>
      </c>
      <c r="BR56" s="76" t="str">
        <f aca="false">IF($I56&gt;0%,IF(AND(BR$16&gt;=$F56,BR$16&lt;$F56+($G56*$I56)),"➤",""),"")</f>
        <v/>
      </c>
      <c r="BS56" s="76" t="str">
        <f aca="false">IF($I56&gt;0%,IF(AND(BS$16&gt;=$F56,BS$16&lt;$F56+($G56*$I56)),"➤",""),"")</f>
        <v/>
      </c>
      <c r="BT56" s="76" t="str">
        <f aca="false">IF($I56&gt;0%,IF(AND(BT$16&gt;=$F56,BT$16&lt;$F56+($G56*$I56)),"➤",""),"")</f>
        <v/>
      </c>
      <c r="BU56" s="76" t="str">
        <f aca="false">IF($I56&gt;0%,IF(AND(BU$16&gt;=$F56,BU$16&lt;$F56+($G56*$I56)),"➤",""),"")</f>
        <v/>
      </c>
      <c r="BV56" s="76" t="str">
        <f aca="false">IF($I56&gt;0%,IF(AND(BV$16&gt;=$F56,BV$16&lt;$F56+($G56*$I56)),"➤",""),"")</f>
        <v/>
      </c>
      <c r="BW56" s="76" t="str">
        <f aca="false">IF($I56&gt;0%,IF(AND(BW$16&gt;=$F56,BW$16&lt;$F56+($G56*$I56)),"➤",""),"")</f>
        <v/>
      </c>
      <c r="BX56" s="76" t="str">
        <f aca="false">IF($I56&gt;0%,IF(AND(BX$16&gt;=$F56,BX$16&lt;$F56+($G56*$I56)),"➤",""),"")</f>
        <v/>
      </c>
      <c r="BY56" s="76" t="str">
        <f aca="false">IF($I56&gt;0%,IF(AND(BY$16&gt;=$F56,BY$16&lt;$F56+($G56*$I56)),"➤",""),"")</f>
        <v/>
      </c>
      <c r="BZ56" s="76" t="str">
        <f aca="false">IF($I56&gt;0%,IF(AND(BZ$16&gt;=$F56,BZ$16&lt;$F56+($G56*$I56)),"➤",""),"")</f>
        <v/>
      </c>
      <c r="CA56" s="76" t="str">
        <f aca="false">IF($I56&gt;0%,IF(AND(CA$16&gt;=$F56,CA$16&lt;$F56+($G56*$I56)),"➤",""),"")</f>
        <v/>
      </c>
      <c r="CB56" s="76" t="str">
        <f aca="false">IF($I56&gt;0%,IF(AND(CB$16&gt;=$F56,CB$16&lt;$F56+($G56*$I56)),"➤",""),"")</f>
        <v/>
      </c>
      <c r="CC56" s="76" t="str">
        <f aca="false">IF($I56&gt;0%,IF(AND(CC$16&gt;=$F56,CC$16&lt;$F56+($G56*$I56)),"➤",""),"")</f>
        <v/>
      </c>
      <c r="CD56" s="76" t="str">
        <f aca="false">IF($I56&gt;0%,IF(AND(CD$16&gt;=$F56,CD$16&lt;$F56+($G56*$I56)),"➤",""),"")</f>
        <v/>
      </c>
      <c r="CE56" s="76" t="str">
        <f aca="false">IF($I56&gt;0%,IF(AND(CE$16&gt;=$F56,CE$16&lt;$F56+($G56*$I56)),"➤",""),"")</f>
        <v/>
      </c>
      <c r="CF56" s="76" t="str">
        <f aca="false">IF($I56&gt;0%,IF(AND(CF$16&gt;=$F56,CF$16&lt;$F56+($G56*$I56)),"➤",""),"")</f>
        <v/>
      </c>
      <c r="CG56" s="76" t="str">
        <f aca="false">IF($I56&gt;0%,IF(AND(CG$16&gt;=$F56,CG$16&lt;$F56+($G56*$I56)),"➤",""),"")</f>
        <v/>
      </c>
      <c r="CH56" s="76" t="str">
        <f aca="false">IF($I56&gt;0%,IF(AND(CH$16&gt;=$F56,CH$16&lt;$F56+($G56*$I56)),"➤",""),"")</f>
        <v/>
      </c>
      <c r="CI56" s="76" t="str">
        <f aca="false">IF($I56&gt;0%,IF(AND(CI$16&gt;=$F56,CI$16&lt;$F56+($G56*$I56)),"➤",""),"")</f>
        <v/>
      </c>
      <c r="CJ56" s="76" t="str">
        <f aca="false">IF($I56&gt;0%,IF(AND(CJ$16&gt;=$F56,CJ$16&lt;$F56+($G56*$I56)),"➤",""),"")</f>
        <v/>
      </c>
      <c r="CK56" s="76" t="str">
        <f aca="false">IF($I56&gt;0%,IF(AND(CK$16&gt;=$F56,CK$16&lt;$F56+($G56*$I56)),"➤",""),"")</f>
        <v/>
      </c>
      <c r="CL56" s="76" t="str">
        <f aca="false">IF($I56&gt;0%,IF(AND(CL$16&gt;=$F56,CL$16&lt;$F56+($G56*$I56)),"➤",""),"")</f>
        <v/>
      </c>
      <c r="CM56" s="76" t="str">
        <f aca="false">IF($I56&gt;0%,IF(AND(CM$16&gt;=$F56,CM$16&lt;$F56+($G56*$I56)),"➤",""),"")</f>
        <v/>
      </c>
      <c r="CN56" s="76" t="str">
        <f aca="false">IF($I56&gt;0%,IF(AND(CN$16&gt;=$F56,CN$16&lt;$F56+($G56*$I56)),"➤",""),"")</f>
        <v/>
      </c>
      <c r="CO56" s="76" t="str">
        <f aca="false">IF($I56&gt;0%,IF(AND(CO$16&gt;=$F56,CO$16&lt;$F56+($G56*$I56)),"➤",""),"")</f>
        <v/>
      </c>
      <c r="CP56" s="76" t="str">
        <f aca="false">IF($I56&gt;0%,IF(AND(CP$16&gt;=$F56,CP$16&lt;$F56+($G56*$I56)),"➤",""),"")</f>
        <v/>
      </c>
      <c r="CQ56" s="76" t="str">
        <f aca="false">IF($I56&gt;0%,IF(AND(CQ$16&gt;=$F56,CQ$16&lt;$F56+($G56*$I56)),"➤",""),"")</f>
        <v/>
      </c>
      <c r="CR56" s="76" t="str">
        <f aca="false">IF($I56&gt;0%,IF(AND(CR$16&gt;=$F56,CR$16&lt;$F56+($G56*$I56)),"➤",""),"")</f>
        <v/>
      </c>
      <c r="CS56" s="76" t="str">
        <f aca="false">IF($I56&gt;0%,IF(AND(CS$16&gt;=$F56,CS$16&lt;$F56+($G56*$I56)),"➤",""),"")</f>
        <v/>
      </c>
      <c r="CT56" s="76" t="str">
        <f aca="false">IF($I56&gt;0%,IF(AND(CT$16&gt;=$F56,CT$16&lt;$F56+($G56*$I56)),"➤",""),"")</f>
        <v/>
      </c>
      <c r="CU56" s="76" t="str">
        <f aca="false">IF($I56&gt;0%,IF(AND(CU$16&gt;=$F56,CU$16&lt;$F56+($G56*$I56)),"➤",""),"")</f>
        <v/>
      </c>
      <c r="CV56" s="76" t="str">
        <f aca="false">IF($I56&gt;0%,IF(AND(CV$16&gt;=$F56,CV$16&lt;$F56+($G56*$I56)),"➤",""),"")</f>
        <v/>
      </c>
      <c r="CW56" s="76" t="str">
        <f aca="false">IF($I56&gt;0%,IF(AND(CW$16&gt;=$F56,CW$16&lt;$F56+($G56*$I56)),"➤",""),"")</f>
        <v/>
      </c>
      <c r="CX56" s="76" t="str">
        <f aca="false">IF($I56&gt;0%,IF(AND(CX$16&gt;=$F56,CX$16&lt;$F56+($G56*$I56)),"➤",""),"")</f>
        <v/>
      </c>
      <c r="CY56" s="76" t="str">
        <f aca="false">IF($I56&gt;0%,IF(AND(CY$16&gt;=$F56,CY$16&lt;$F56+($G56*$I56)),"➤",""),"")</f>
        <v/>
      </c>
      <c r="CZ56" s="76" t="str">
        <f aca="false">IF($I56&gt;0%,IF(AND(CZ$16&gt;=$F56,CZ$16&lt;$F56+($G56*$I56)),"➤",""),"")</f>
        <v/>
      </c>
      <c r="DA56" s="76" t="str">
        <f aca="false">IF($I56&gt;0%,IF(AND(DA$16&gt;=$F56,DA$16&lt;$F56+($G56*$I56)),"➤",""),"")</f>
        <v/>
      </c>
      <c r="DB56" s="76" t="str">
        <f aca="false">IF($I56&gt;0%,IF(AND(DB$16&gt;=$F56,DB$16&lt;$F56+($G56*$I56)),"➤",""),"")</f>
        <v/>
      </c>
      <c r="DC56" s="76" t="str">
        <f aca="false">IF($I56&gt;0%,IF(AND(DC$16&gt;=$F56,DC$16&lt;$F56+($G56*$I56)),"➤",""),"")</f>
        <v/>
      </c>
      <c r="DD56" s="76" t="str">
        <f aca="false">IF($I56&gt;0%,IF(AND(DD$16&gt;=$F56,DD$16&lt;$F56+($G56*$I56)),"➤",""),"")</f>
        <v/>
      </c>
      <c r="DE56" s="76" t="str">
        <f aca="false">IF($I56&gt;0%,IF(AND(DE$16&gt;=$F56,DE$16&lt;$F56+($G56*$I56)),"➤",""),"")</f>
        <v/>
      </c>
      <c r="DF56" s="76" t="str">
        <f aca="false">IF($I56&gt;0%,IF(AND(DF$16&gt;=$F56,DF$16&lt;$F56+($G56*$I56)),"➤",""),"")</f>
        <v/>
      </c>
      <c r="DG56" s="76" t="str">
        <f aca="false">IF($I56&gt;0%,IF(AND(DG$16&gt;=$F56,DG$16&lt;$F56+($G56*$I56)),"➤",""),"")</f>
        <v/>
      </c>
      <c r="DH56" s="76" t="str">
        <f aca="false">IF($I56&gt;0%,IF(AND(DH$16&gt;=$F56,DH$16&lt;$F56+($G56*$I56)),"➤",""),"")</f>
        <v/>
      </c>
      <c r="DI56" s="76" t="str">
        <f aca="false">IF($I56&gt;0%,IF(AND(DI$16&gt;=$F56,DI$16&lt;$F56+($G56*$I56)),"➤",""),"")</f>
        <v/>
      </c>
      <c r="DJ56" s="76" t="str">
        <f aca="false">IF($I56&gt;0%,IF(AND(DJ$16&gt;=$F56,DJ$16&lt;$F56+($G56*$I56)),"➤",""),"")</f>
        <v/>
      </c>
      <c r="DK56" s="76" t="str">
        <f aca="false">IF($I56&gt;0%,IF(AND(DK$16&gt;=$F56,DK$16&lt;$F56+($G56*$I56)),"➤",""),"")</f>
        <v/>
      </c>
      <c r="DL56" s="76" t="str">
        <f aca="false">IF($I56&gt;0%,IF(AND(DL$16&gt;=$F56,DL$16&lt;$F56+($G56*$I56)),"➤",""),"")</f>
        <v/>
      </c>
      <c r="DM56" s="76" t="str">
        <f aca="false">IF($I56&gt;0%,IF(AND(DM$16&gt;=$F56,DM$16&lt;$F56+($G56*$I56)),"➤",""),"")</f>
        <v/>
      </c>
      <c r="DN56" s="76" t="str">
        <f aca="false">IF($I56&gt;0%,IF(AND(DN$16&gt;=$F56,DN$16&lt;$F56+($G56*$I56)),"➤",""),"")</f>
        <v/>
      </c>
      <c r="DO56" s="76" t="str">
        <f aca="false">IF($I56&gt;0%,IF(AND(DO$16&gt;=$F56,DO$16&lt;$F56+($G56*$I56)),"➤",""),"")</f>
        <v/>
      </c>
      <c r="DP56" s="76" t="str">
        <f aca="false">IF($I56&gt;0%,IF(AND(DP$16&gt;=$F56,DP$16&lt;$F56+($G56*$I56)),"➤",""),"")</f>
        <v/>
      </c>
      <c r="DQ56" s="76" t="str">
        <f aca="false">IF($I56&gt;0%,IF(AND(DQ$16&gt;=$F56,DQ$16&lt;$F56+($G56*$I56)),"➤",""),"")</f>
        <v/>
      </c>
      <c r="DR56" s="76" t="str">
        <f aca="false">IF($I56&gt;0%,IF(AND(DR$16&gt;=$F56,DR$16&lt;$F56+($G56*$I56)),"➤",""),"")</f>
        <v/>
      </c>
      <c r="DS56" s="76" t="str">
        <f aca="false">IF($I56&gt;0%,IF(AND(DS$16&gt;=$F56,DS$16&lt;$F56+($G56*$I56)),"➤",""),"")</f>
        <v/>
      </c>
      <c r="DT56" s="76" t="str">
        <f aca="false">IF($I56&gt;0%,IF(AND(DT$16&gt;=$F56,DT$16&lt;$F56+($G56*$I56)),"➤",""),"")</f>
        <v/>
      </c>
      <c r="DU56" s="76" t="str">
        <f aca="false">IF($I56&gt;0%,IF(AND(DU$16&gt;=$F56,DU$16&lt;$F56+($G56*$I56)),"➤",""),"")</f>
        <v/>
      </c>
      <c r="DV56" s="76" t="str">
        <f aca="false">IF($I56&gt;0%,IF(AND(DV$16&gt;=$F56,DV$16&lt;$F56+($G56*$I56)),"➤",""),"")</f>
        <v/>
      </c>
      <c r="DW56" s="76" t="str">
        <f aca="false">IF($I56&gt;0%,IF(AND(DW$16&gt;=$F56,DW$16&lt;$F56+($G56*$I56)),"➤",""),"")</f>
        <v/>
      </c>
      <c r="DX56" s="76" t="str">
        <f aca="false">IF($I56&gt;0%,IF(AND(DX$16&gt;=$F56,DX$16&lt;$F56+($G56*$I56)),"➤",""),"")</f>
        <v/>
      </c>
      <c r="DY56" s="76" t="str">
        <f aca="false">IF($I56&gt;0%,IF(AND(DY$16&gt;=$F56,DY$16&lt;$F56+($G56*$I56)),"➤",""),"")</f>
        <v/>
      </c>
      <c r="DZ56" s="76" t="str">
        <f aca="false">IF($I56&gt;0%,IF(AND(DZ$16&gt;=$F56,DZ$16&lt;$F56+($G56*$I56)),"➤",""),"")</f>
        <v/>
      </c>
      <c r="EA56" s="76" t="str">
        <f aca="false">IF($I56&gt;0%,IF(AND(EA$16&gt;=$F56,EA$16&lt;$F56+($G56*$I56)),"➤",""),"")</f>
        <v/>
      </c>
      <c r="EB56" s="76" t="str">
        <f aca="false">IF($I56&gt;0%,IF(AND(EB$16&gt;=$F56,EB$16&lt;$F56+($G56*$I56)),"➤",""),"")</f>
        <v/>
      </c>
      <c r="EC56" s="76" t="str">
        <f aca="false">IF($I56&gt;0%,IF(AND(EC$16&gt;=$F56,EC$16&lt;$F56+($G56*$I56)),"➤",""),"")</f>
        <v/>
      </c>
      <c r="ED56" s="76" t="str">
        <f aca="false">IF($I56&gt;0%,IF(AND(ED$16&gt;=$F56,ED$16&lt;$F56+($G56*$I56)),"➤",""),"")</f>
        <v/>
      </c>
      <c r="EE56" s="76" t="str">
        <f aca="false">IF($I56&gt;0%,IF(AND(EE$16&gt;=$F56,EE$16&lt;$F56+($G56*$I56)),"➤",""),"")</f>
        <v/>
      </c>
      <c r="EF56" s="76" t="str">
        <f aca="false">IF($I56&gt;0%,IF(AND(EF$16&gt;=$F56,EF$16&lt;$F56+($G56*$I56)),"➤",""),"")</f>
        <v/>
      </c>
      <c r="EG56" s="76" t="str">
        <f aca="false">IF($I56&gt;0%,IF(AND(EG$16&gt;=$F56,EG$16&lt;$F56+($G56*$I56)),"➤",""),"")</f>
        <v/>
      </c>
      <c r="EH56" s="76" t="str">
        <f aca="false">IF($I56&gt;0%,IF(AND(EH$16&gt;=$F56,EH$16&lt;$F56+($G56*$I56)),"➤",""),"")</f>
        <v/>
      </c>
      <c r="EI56" s="76" t="str">
        <f aca="false">IF($I56&gt;0%,IF(AND(EI$16&gt;=$F56,EI$16&lt;$F56+($G56*$I56)),"➤",""),"")</f>
        <v/>
      </c>
      <c r="EJ56" s="76" t="str">
        <f aca="false">IF($I56&gt;0%,IF(AND(EJ$16&gt;=$F56,EJ$16&lt;$F56+($G56*$I56)),"➤",""),"")</f>
        <v/>
      </c>
      <c r="EK56" s="76" t="str">
        <f aca="false">IF($I56&gt;0%,IF(AND(EK$16&gt;=$F56,EK$16&lt;$F56+($G56*$I56)),"➤",""),"")</f>
        <v/>
      </c>
      <c r="EL56" s="76" t="str">
        <f aca="false">IF($I56&gt;0%,IF(AND(EL$16&gt;=$F56,EL$16&lt;$F56+($G56*$I56)),"➤",""),"")</f>
        <v/>
      </c>
      <c r="EM56" s="76" t="str">
        <f aca="false">IF($I56&gt;0%,IF(AND(EM$16&gt;=$F56,EM$16&lt;$F56+($G56*$I56)),"➤",""),"")</f>
        <v/>
      </c>
      <c r="EN56" s="76" t="str">
        <f aca="false">IF($I56&gt;0%,IF(AND(EN$16&gt;=$F56,EN$16&lt;$F56+($G56*$I56)),"➤",""),"")</f>
        <v/>
      </c>
      <c r="EO56" s="76" t="str">
        <f aca="false">IF($I56&gt;0%,IF(AND(EO$16&gt;=$F56,EO$16&lt;$F56+($G56*$I56)),"➤",""),"")</f>
        <v/>
      </c>
      <c r="EP56" s="76" t="str">
        <f aca="false">IF($I56&gt;0%,IF(AND(EP$16&gt;=$F56,EP$16&lt;$F56+($G56*$I56)),"➤",""),"")</f>
        <v/>
      </c>
      <c r="EQ56" s="76" t="str">
        <f aca="false">IF($I56&gt;0%,IF(AND(EQ$16&gt;=$F56,EQ$16&lt;$F56+($G56*$I56)),"➤",""),"")</f>
        <v/>
      </c>
      <c r="ER56" s="76" t="str">
        <f aca="false">IF($I56&gt;0%,IF(AND(ER$16&gt;=$F56,ER$16&lt;$F56+($G56*$I56)),"➤",""),"")</f>
        <v/>
      </c>
      <c r="ES56" s="76" t="str">
        <f aca="false">IF($I56&gt;0%,IF(AND(ES$16&gt;=$F56,ES$16&lt;$F56+($G56*$I56)),"➤",""),"")</f>
        <v/>
      </c>
      <c r="ET56" s="76" t="str">
        <f aca="false">IF($I56&gt;0%,IF(AND(ET$16&gt;=$F56,ET$16&lt;$F56+($G56*$I56)),"➤",""),"")</f>
        <v/>
      </c>
      <c r="EU56" s="76" t="str">
        <f aca="false">IF($I56&gt;0%,IF(AND(EU$16&gt;=$F56,EU$16&lt;$F56+($G56*$I56)),"➤",""),"")</f>
        <v/>
      </c>
      <c r="EV56" s="76" t="str">
        <f aca="false">IF($I56&gt;0%,IF(AND(EV$16&gt;=$F56,EV$16&lt;$F56+($G56*$I56)),"➤",""),"")</f>
        <v/>
      </c>
      <c r="EW56" s="76" t="str">
        <f aca="false">IF($I56&gt;0%,IF(AND(EW$16&gt;=$F56,EW$16&lt;$F56+($G56*$I56)),"➤",""),"")</f>
        <v/>
      </c>
      <c r="EX56" s="76" t="str">
        <f aca="false">IF($I56&gt;0%,IF(AND(EX$16&gt;=$F56,EX$16&lt;$F56+($G56*$I56)),"➤",""),"")</f>
        <v/>
      </c>
      <c r="EY56" s="76" t="str">
        <f aca="false">IF($I56&gt;0%,IF(AND(EY$16&gt;=$F56,EY$16&lt;$F56+($G56*$I56)),"➤",""),"")</f>
        <v/>
      </c>
      <c r="EZ56" s="76" t="str">
        <f aca="false">IF($I56&gt;0%,IF(AND(EZ$16&gt;=$F56,EZ$16&lt;$F56+($G56*$I56)),"➤",""),"")</f>
        <v/>
      </c>
      <c r="FA56" s="76" t="str">
        <f aca="false">IF($I56&gt;0%,IF(AND(FA$16&gt;=$F56,FA$16&lt;$F56+($G56*$I56)),"➤",""),"")</f>
        <v/>
      </c>
      <c r="FB56" s="76" t="str">
        <f aca="false">IF($I56&gt;0%,IF(AND(FB$16&gt;=$F56,FB$16&lt;$F56+($G56*$I56)),"➤",""),"")</f>
        <v/>
      </c>
      <c r="FC56" s="76" t="str">
        <f aca="false">IF($I56&gt;0%,IF(AND(FC$16&gt;=$F56,FC$16&lt;$F56+($G56*$I56)),"➤",""),"")</f>
        <v/>
      </c>
      <c r="FD56" s="76" t="str">
        <f aca="false">IF($I56&gt;0%,IF(AND(FD$16&gt;=$F56,FD$16&lt;$F56+($G56*$I56)),"➤",""),"")</f>
        <v/>
      </c>
      <c r="FE56" s="76" t="str">
        <f aca="false">IF($I56&gt;0%,IF(AND(FE$16&gt;=$F56,FE$16&lt;$F56+($G56*$I56)),"➤",""),"")</f>
        <v/>
      </c>
      <c r="FF56" s="76" t="str">
        <f aca="false">IF($I56&gt;0%,IF(AND(FF$16&gt;=$F56,FF$16&lt;$F56+($G56*$I56)),"➤",""),"")</f>
        <v/>
      </c>
      <c r="FG56" s="76" t="str">
        <f aca="false">IF($I56&gt;0%,IF(AND(FG$16&gt;=$F56,FG$16&lt;$F56+($G56*$I56)),"➤",""),"")</f>
        <v/>
      </c>
      <c r="FH56" s="76" t="str">
        <f aca="false">IF($I56&gt;0%,IF(AND(FH$16&gt;=$F56,FH$16&lt;$F56+($G56*$I56)),"➤",""),"")</f>
        <v/>
      </c>
      <c r="FI56" s="76" t="str">
        <f aca="false">IF($I56&gt;0%,IF(AND(FI$16&gt;=$F56,FI$16&lt;$F56+($G56*$I56)),"➤",""),"")</f>
        <v/>
      </c>
      <c r="FJ56" s="76" t="str">
        <f aca="false">IF($I56&gt;0%,IF(AND(FJ$16&gt;=$F56,FJ$16&lt;$F56+($G56*$I56)),"➤",""),"")</f>
        <v/>
      </c>
      <c r="FK56" s="76" t="str">
        <f aca="false">IF($I56&gt;0%,IF(AND(FK$16&gt;=$F56,FK$16&lt;$F56+($G56*$I56)),"➤",""),"")</f>
        <v/>
      </c>
      <c r="FL56" s="76" t="str">
        <f aca="false">IF($I56&gt;0%,IF(AND(FL$16&gt;=$F56,FL$16&lt;$F56+($G56*$I56)),"➤",""),"")</f>
        <v/>
      </c>
      <c r="FM56" s="76" t="str">
        <f aca="false">IF($I56&gt;0%,IF(AND(FM$16&gt;=$F56,FM$16&lt;$F56+($G56*$I56)),"➤",""),"")</f>
        <v/>
      </c>
      <c r="FN56" s="76" t="str">
        <f aca="false">IF($I56&gt;0%,IF(AND(FN$16&gt;=$F56,FN$16&lt;$F56+($G56*$I56)),"➤",""),"")</f>
        <v/>
      </c>
      <c r="FO56" s="76" t="str">
        <f aca="false">IF($I56&gt;0%,IF(AND(FO$16&gt;=$F56,FO$16&lt;$F56+($G56*$I56)),"➤",""),"")</f>
        <v/>
      </c>
      <c r="FP56" s="76" t="str">
        <f aca="false">IF($I56&gt;0%,IF(AND(FP$16&gt;=$F56,FP$16&lt;$F56+($G56*$I56)),"➤",""),"")</f>
        <v/>
      </c>
      <c r="FQ56" s="76" t="str">
        <f aca="false">IF($I56&gt;0%,IF(AND(FQ$16&gt;=$F56,FQ$16&lt;$F56+($G56*$I56)),"➤",""),"")</f>
        <v/>
      </c>
      <c r="FR56" s="76" t="str">
        <f aca="false">IF($I56&gt;0%,IF(AND(FR$16&gt;=$F56,FR$16&lt;$F56+($G56*$I56)),"➤",""),"")</f>
        <v/>
      </c>
      <c r="FS56" s="76" t="str">
        <f aca="false">IF($I56&gt;0%,IF(AND(FS$16&gt;=$F56,FS$16&lt;$F56+($G56*$I56)),"➤",""),"")</f>
        <v/>
      </c>
      <c r="FT56" s="76" t="str">
        <f aca="false">IF($I56&gt;0%,IF(AND(FT$16&gt;=$F56,FT$16&lt;$F56+($G56*$I56)),"➤",""),"")</f>
        <v/>
      </c>
      <c r="FU56" s="76" t="str">
        <f aca="false">IF($I56&gt;0%,IF(AND(FU$16&gt;=$F56,FU$16&lt;$F56+($G56*$I56)),"➤",""),"")</f>
        <v/>
      </c>
      <c r="FV56" s="76" t="str">
        <f aca="false">IF($I56&gt;0%,IF(AND(FV$16&gt;=$F56,FV$16&lt;$F56+($G56*$I56)),"➤",""),"")</f>
        <v/>
      </c>
      <c r="FW56" s="76" t="str">
        <f aca="false">IF($I56&gt;0%,IF(AND(FW$16&gt;=$F56,FW$16&lt;$F56+($G56*$I56)),"➤",""),"")</f>
        <v/>
      </c>
      <c r="FX56" s="76" t="str">
        <f aca="false">IF($I56&gt;0%,IF(AND(FX$16&gt;=$F56,FX$16&lt;$F56+($G56*$I56)),"➤",""),"")</f>
        <v/>
      </c>
      <c r="FY56" s="76" t="str">
        <f aca="false">IF($I56&gt;0%,IF(AND(FY$16&gt;=$F56,FY$16&lt;$F56+($G56*$I56)),"➤",""),"")</f>
        <v/>
      </c>
      <c r="FZ56" s="76" t="str">
        <f aca="false">IF($I56&gt;0%,IF(AND(FZ$16&gt;=$F56,FZ$16&lt;$F56+($G56*$I56)),"➤",""),"")</f>
        <v/>
      </c>
      <c r="GA56" s="76" t="str">
        <f aca="false">IF($I56&gt;0%,IF(AND(GA$16&gt;=$F56,GA$16&lt;$F56+($G56*$I56)),"➤",""),"")</f>
        <v/>
      </c>
      <c r="GB56" s="76" t="str">
        <f aca="false">IF($I56&gt;0%,IF(AND(GB$16&gt;=$F56,GB$16&lt;$F56+($G56*$I56)),"➤",""),"")</f>
        <v/>
      </c>
      <c r="GC56" s="76" t="str">
        <f aca="false">IF($I56&gt;0%,IF(AND(GC$16&gt;=$F56,GC$16&lt;$F56+($G56*$I56)),"➤",""),"")</f>
        <v/>
      </c>
      <c r="GD56" s="76" t="str">
        <f aca="false">IF($I56&gt;0%,IF(AND(GD$16&gt;=$F56,GD$16&lt;$F56+($G56*$I56)),"➤",""),"")</f>
        <v/>
      </c>
      <c r="GE56" s="76" t="str">
        <f aca="false">IF($I56&gt;0%,IF(AND(GE$16&gt;=$F56,GE$16&lt;$F56+($G56*$I56)),"➤",""),"")</f>
        <v/>
      </c>
      <c r="GF56" s="76" t="str">
        <f aca="false">IF($I56&gt;0%,IF(AND(GF$16&gt;=$F56,GF$16&lt;$F56+($G56*$I56)),"➤",""),"")</f>
        <v/>
      </c>
      <c r="GG56" s="76" t="str">
        <f aca="false">IF($I56&gt;0%,IF(AND(GG$16&gt;=$F56,GG$16&lt;$F56+($G56*$I56)),"➤",""),"")</f>
        <v/>
      </c>
      <c r="GH56" s="76" t="str">
        <f aca="false">IF($I56&gt;0%,IF(AND(GH$16&gt;=$F56,GH$16&lt;$F56+($G56*$I56)),"➤",""),"")</f>
        <v/>
      </c>
      <c r="GI56" s="76" t="str">
        <f aca="false">IF($I56&gt;0%,IF(AND(GI$16&gt;=$F56,GI$16&lt;$F56+($G56*$I56)),"➤",""),"")</f>
        <v/>
      </c>
      <c r="GJ56" s="76" t="str">
        <f aca="false">IF($I56&gt;0%,IF(AND(GJ$16&gt;=$F56,GJ$16&lt;$F56+($G56*$I56)),"➤",""),"")</f>
        <v/>
      </c>
      <c r="GK56" s="76" t="str">
        <f aca="false">IF($I56&gt;0%,IF(AND(GK$16&gt;=$F56,GK$16&lt;$F56+($G56*$I56)),"➤",""),"")</f>
        <v/>
      </c>
      <c r="GL56" s="76" t="str">
        <f aca="false">IF($I56&gt;0%,IF(AND(GL$16&gt;=$F56,GL$16&lt;$F56+($G56*$I56)),"➤",""),"")</f>
        <v/>
      </c>
      <c r="GM56" s="76" t="str">
        <f aca="false">IF($I56&gt;0%,IF(AND(GM$16&gt;=$F56,GM$16&lt;$F56+($G56*$I56)),"➤",""),"")</f>
        <v/>
      </c>
      <c r="GN56" s="76" t="str">
        <f aca="false">IF($I56&gt;0%,IF(AND(GN$16&gt;=$F56,GN$16&lt;$F56+($G56*$I56)),"➤",""),"")</f>
        <v/>
      </c>
      <c r="GO56" s="76" t="str">
        <f aca="false">IF($I56&gt;0%,IF(AND(GO$16&gt;=$F56,GO$16&lt;$F56+($G56*$I56)),"➤",""),"")</f>
        <v/>
      </c>
      <c r="GP56" s="76" t="str">
        <f aca="false">IF($I56&gt;0%,IF(AND(GP$16&gt;=$F56,GP$16&lt;$F56+($G56*$I56)),"➤",""),"")</f>
        <v/>
      </c>
      <c r="GQ56" s="76" t="str">
        <f aca="false">IF($I56&gt;0%,IF(AND(GQ$16&gt;=$F56,GQ$16&lt;$F56+($G56*$I56)),"➤",""),"")</f>
        <v/>
      </c>
      <c r="GR56" s="76" t="str">
        <f aca="false">IF($I56&gt;0%,IF(AND(GR$16&gt;=$F56,GR$16&lt;$F56+($G56*$I56)),"➤",""),"")</f>
        <v/>
      </c>
      <c r="GS56" s="76" t="str">
        <f aca="false">IF($I56&gt;0%,IF(AND(GS$16&gt;=$F56,GS$16&lt;$F56+($G56*$I56)),"➤",""),"")</f>
        <v/>
      </c>
      <c r="GT56" s="76" t="str">
        <f aca="false">IF($I56&gt;0%,IF(AND(GT$16&gt;=$F56,GT$16&lt;$F56+($G56*$I56)),"➤",""),"")</f>
        <v/>
      </c>
      <c r="GU56" s="76" t="str">
        <f aca="false">IF($I56&gt;0%,IF(AND(GU$16&gt;=$F56,GU$16&lt;$F56+($G56*$I56)),"➤",""),"")</f>
        <v/>
      </c>
      <c r="GV56" s="76" t="str">
        <f aca="false">IF($I56&gt;0%,IF(AND(GV$16&gt;=$F56,GV$16&lt;$F56+($G56*$I56)),"➤",""),"")</f>
        <v/>
      </c>
      <c r="GW56" s="76" t="str">
        <f aca="false">IF($I56&gt;0%,IF(AND(GW$16&gt;=$F56,GW$16&lt;$F56+($G56*$I56)),"➤",""),"")</f>
        <v/>
      </c>
      <c r="GX56" s="76" t="str">
        <f aca="false">IF($I56&gt;0%,IF(AND(GX$16&gt;=$F56,GX$16&lt;$F56+($G56*$I56)),"➤",""),"")</f>
        <v/>
      </c>
      <c r="GY56" s="76" t="str">
        <f aca="false">IF($I56&gt;0%,IF(AND(GY$16&gt;=$F56,GY$16&lt;$F56+($G56*$I56)),"➤",""),"")</f>
        <v/>
      </c>
      <c r="GZ56" s="76" t="str">
        <f aca="false">IF($I56&gt;0%,IF(AND(GZ$16&gt;=$F56,GZ$16&lt;$F56+($G56*$I56)),"➤",""),"")</f>
        <v/>
      </c>
      <c r="HA56" s="76" t="str">
        <f aca="false">IF($I56&gt;0%,IF(AND(HA$16&gt;=$F56,HA$16&lt;$F56+($G56*$I56)),"➤",""),"")</f>
        <v/>
      </c>
      <c r="HB56" s="76" t="str">
        <f aca="false">IF($I56&gt;0%,IF(AND(HB$16&gt;=$F56,HB$16&lt;$F56+($G56*$I56)),"➤",""),"")</f>
        <v/>
      </c>
      <c r="HC56" s="76" t="str">
        <f aca="false">IF($I56&gt;0%,IF(AND(HC$16&gt;=$F56,HC$16&lt;$F56+($G56*$I56)),"➤",""),"")</f>
        <v/>
      </c>
      <c r="HD56" s="76" t="str">
        <f aca="false">IF($I56&gt;0%,IF(AND(HD$16&gt;=$F56,HD$16&lt;$F56+($G56*$I56)),"➤",""),"")</f>
        <v/>
      </c>
      <c r="HE56" s="76" t="str">
        <f aca="false">IF($I56&gt;0%,IF(AND(HE$16&gt;=$F56,HE$16&lt;$F56+($G56*$I56)),"➤",""),"")</f>
        <v/>
      </c>
      <c r="HF56" s="76" t="str">
        <f aca="false">IF($I56&gt;0%,IF(AND(HF$16&gt;=$F56,HF$16&lt;$F56+($G56*$I56)),"➤",""),"")</f>
        <v/>
      </c>
      <c r="HG56" s="76" t="str">
        <f aca="false">IF($I56&gt;0%,IF(AND(HG$16&gt;=$F56,HG$16&lt;$F56+($G56*$I56)),"➤",""),"")</f>
        <v/>
      </c>
      <c r="HH56" s="76" t="str">
        <f aca="false">IF($I56&gt;0%,IF(AND(HH$16&gt;=$F56,HH$16&lt;$F56+($G56*$I56)),"➤",""),"")</f>
        <v/>
      </c>
      <c r="HI56" s="76" t="str">
        <f aca="false">IF($I56&gt;0%,IF(AND(HI$16&gt;=$F56,HI$16&lt;$F56+($G56*$I56)),"➤",""),"")</f>
        <v/>
      </c>
      <c r="HJ56" s="76" t="str">
        <f aca="false">IF($I56&gt;0%,IF(AND(HJ$16&gt;=$F56,HJ$16&lt;$F56+($G56*$I56)),"➤",""),"")</f>
        <v/>
      </c>
      <c r="HK56" s="76" t="str">
        <f aca="false">IF($I56&gt;0%,IF(AND(HK$16&gt;=$F56,HK$16&lt;$F56+($G56*$I56)),"➤",""),"")</f>
        <v/>
      </c>
      <c r="HL56" s="76" t="str">
        <f aca="false">IF($I56&gt;0%,IF(AND(HL$16&gt;=$F56,HL$16&lt;$F56+($G56*$I56)),"➤",""),"")</f>
        <v/>
      </c>
      <c r="HM56" s="76" t="str">
        <f aca="false">IF($I56&gt;0%,IF(AND(HM$16&gt;=$F56,HM$16&lt;$F56+($G56*$I56)),"➤",""),"")</f>
        <v/>
      </c>
      <c r="HN56" s="76" t="str">
        <f aca="false">IF($I56&gt;0%,IF(AND(HN$16&gt;=$F56,HN$16&lt;$F56+($G56*$I56)),"➤",""),"")</f>
        <v/>
      </c>
      <c r="HO56" s="76" t="str">
        <f aca="false">IF($I56&gt;0%,IF(AND(HO$16&gt;=$F56,HO$16&lt;$F56+($G56*$I56)),"➤",""),"")</f>
        <v/>
      </c>
      <c r="HP56" s="76" t="str">
        <f aca="false">IF($I56&gt;0%,IF(AND(HP$16&gt;=$F56,HP$16&lt;$F56+($G56*$I56)),"➤",""),"")</f>
        <v/>
      </c>
      <c r="HQ56" s="76" t="str">
        <f aca="false">IF($I56&gt;0%,IF(AND(HQ$16&gt;=$F56,HQ$16&lt;$F56+($G56*$I56)),"➤",""),"")</f>
        <v/>
      </c>
      <c r="HR56" s="76" t="str">
        <f aca="false">IF($I56&gt;0%,IF(AND(HR$16&gt;=$F56,HR$16&lt;$F56+($G56*$I56)),"➤",""),"")</f>
        <v/>
      </c>
      <c r="HS56" s="76" t="str">
        <f aca="false">IF($I56&gt;0%,IF(AND(HS$16&gt;=$F56,HS$16&lt;$F56+($G56*$I56)),"➤",""),"")</f>
        <v/>
      </c>
      <c r="HT56" s="76" t="str">
        <f aca="false">IF($I56&gt;0%,IF(AND(HT$16&gt;=$F56,HT$16&lt;$F56+($G56*$I56)),"➤",""),"")</f>
        <v/>
      </c>
      <c r="HU56" s="76" t="str">
        <f aca="false">IF($I56&gt;0%,IF(AND(HU$16&gt;=$F56,HU$16&lt;$F56+($G56*$I56)),"➤",""),"")</f>
        <v/>
      </c>
      <c r="HV56" s="76" t="str">
        <f aca="false">IF($I56&gt;0%,IF(AND(HV$16&gt;=$F56,HV$16&lt;$F56+($G56*$I56)),"➤",""),"")</f>
        <v/>
      </c>
      <c r="HW56" s="76" t="str">
        <f aca="false">IF($I56&gt;0%,IF(AND(HW$16&gt;=$F56,HW$16&lt;$F56+($G56*$I56)),"➤",""),"")</f>
        <v/>
      </c>
      <c r="HX56" s="76" t="str">
        <f aca="false">IF($I56&gt;0%,IF(AND(HX$16&gt;=$F56,HX$16&lt;$F56+($G56*$I56)),"➤",""),"")</f>
        <v/>
      </c>
      <c r="HY56" s="76" t="str">
        <f aca="false">IF($I56&gt;0%,IF(AND(HY$16&gt;=$F56,HY$16&lt;$F56+($G56*$I56)),"➤",""),"")</f>
        <v/>
      </c>
      <c r="HZ56" s="76" t="str">
        <f aca="false">IF($I56&gt;0%,IF(AND(HZ$16&gt;=$F56,HZ$16&lt;$F56+($G56*$I56)),"➤",""),"")</f>
        <v/>
      </c>
      <c r="IA56" s="76" t="str">
        <f aca="false">IF($I56&gt;0%,IF(AND(IA$16&gt;=$F56,IA$16&lt;$F56+($G56*$I56)),"➤",""),"")</f>
        <v/>
      </c>
      <c r="IB56" s="76" t="str">
        <f aca="false">IF($I56&gt;0%,IF(AND(IB$16&gt;=$F56,IB$16&lt;$F56+($G56*$I56)),"➤",""),"")</f>
        <v/>
      </c>
      <c r="IC56" s="76" t="str">
        <f aca="false">IF($I56&gt;0%,IF(AND(IC$16&gt;=$F56,IC$16&lt;$F56+($G56*$I56)),"➤",""),"")</f>
        <v/>
      </c>
      <c r="ID56" s="76" t="str">
        <f aca="false">IF($I56&gt;0%,IF(AND(ID$16&gt;=$F56,ID$16&lt;$F56+($G56*$I56)),"➤",""),"")</f>
        <v/>
      </c>
      <c r="IE56" s="76" t="str">
        <f aca="false">IF($I56&gt;0%,IF(AND(IE$16&gt;=$F56,IE$16&lt;$F56+($G56*$I56)),"➤",""),"")</f>
        <v/>
      </c>
      <c r="IF56" s="76" t="str">
        <f aca="false">IF($I56&gt;0%,IF(AND(IF$16&gt;=$F56,IF$16&lt;$F56+($G56*$I56)),"➤",""),"")</f>
        <v/>
      </c>
      <c r="IG56" s="76" t="str">
        <f aca="false">IF($I56&gt;0%,IF(AND(IG$16&gt;=$F56,IG$16&lt;$F56+($G56*$I56)),"➤",""),"")</f>
        <v/>
      </c>
      <c r="IH56" s="76" t="str">
        <f aca="false">IF($I56&gt;0%,IF(AND(IH$16&gt;=$F56,IH$16&lt;$F56+($G56*$I56)),"➤",""),"")</f>
        <v/>
      </c>
      <c r="II56" s="76" t="str">
        <f aca="false">IF($I56&gt;0%,IF(AND(II$16&gt;=$F56,II$16&lt;$F56+($G56*$I56)),"➤",""),"")</f>
        <v/>
      </c>
      <c r="IJ56" s="76" t="str">
        <f aca="false">IF($I56&gt;0%,IF(AND(IJ$16&gt;=$F56,IJ$16&lt;$F56+($G56*$I56)),"➤",""),"")</f>
        <v/>
      </c>
      <c r="IK56" s="76" t="str">
        <f aca="false">IF($I56&gt;0%,IF(AND(IK$16&gt;=$F56,IK$16&lt;$F56+($G56*$I56)),"➤",""),"")</f>
        <v/>
      </c>
      <c r="IL56" s="76" t="str">
        <f aca="false">IF($I56&gt;0%,IF(AND(IL$16&gt;=$F56,IL$16&lt;$F56+($G56*$I56)),"➤",""),"")</f>
        <v/>
      </c>
      <c r="IM56" s="76" t="str">
        <f aca="false">IF($I56&gt;0%,IF(AND(IM$16&gt;=$F56,IM$16&lt;$F56+($G56*$I56)),"➤",""),"")</f>
        <v/>
      </c>
      <c r="IN56" s="76" t="str">
        <f aca="false">IF($I56&gt;0%,IF(AND(IN$16&gt;=$F56,IN$16&lt;$F56+($G56*$I56)),"➤",""),"")</f>
        <v/>
      </c>
      <c r="IO56" s="76" t="str">
        <f aca="false">IF($I56&gt;0%,IF(AND(IO$16&gt;=$F56,IO$16&lt;$F56+($G56*$I56)),"➤",""),"")</f>
        <v/>
      </c>
      <c r="IP56" s="76" t="str">
        <f aca="false">IF($I56&gt;0%,IF(AND(IP$16&gt;=$F56,IP$16&lt;$F56+($G56*$I56)),"➤",""),"")</f>
        <v/>
      </c>
      <c r="IQ56" s="76" t="str">
        <f aca="false">IF($I56&gt;0%,IF(AND(IQ$16&gt;=$F56,IQ$16&lt;$F56+($G56*$I56)),"➤",""),"")</f>
        <v/>
      </c>
      <c r="IR56" s="76" t="str">
        <f aca="false">IF($I56&gt;0%,IF(AND(IR$16&gt;=$F56,IR$16&lt;$F56+($G56*$I56)),"➤",""),"")</f>
        <v/>
      </c>
      <c r="IS56" s="76" t="str">
        <f aca="false">IF($I56&gt;0%,IF(AND(IS$16&gt;=$F56,IS$16&lt;$F56+($G56*$I56)),"➤",""),"")</f>
        <v/>
      </c>
      <c r="IT56" s="76" t="str">
        <f aca="false">IF($I56&gt;0%,IF(AND(IT$16&gt;=$F56,IT$16&lt;$F56+($G56*$I56)),"➤",""),"")</f>
        <v/>
      </c>
      <c r="IU56" s="76" t="str">
        <f aca="false">IF($I56&gt;0%,IF(AND(IU$16&gt;=$F56,IU$16&lt;$F56+($G56*$I56)),"➤",""),"")</f>
        <v/>
      </c>
      <c r="IV56" s="76" t="str">
        <f aca="false">IF($I56&gt;0%,IF(AND(IV$16&gt;=$F56,IV$16&lt;$F56+($G56*$I56)),"➤",""),"")</f>
        <v/>
      </c>
      <c r="IW56" s="76" t="str">
        <f aca="false">IF($I56&gt;0%,IF(AND(IW$16&gt;=$F56,IW$16&lt;$F56+($G56*$I56)),"➤",""),"")</f>
        <v/>
      </c>
      <c r="IX56" s="76" t="str">
        <f aca="false">IF($I56&gt;0%,IF(AND(IX$16&gt;=$F56,IX$16&lt;$F56+($G56*$I56)),"➤",""),"")</f>
        <v/>
      </c>
      <c r="IY56" s="76" t="str">
        <f aca="false">IF($I56&gt;0%,IF(AND(IY$16&gt;=$F56,IY$16&lt;$F56+($G56*$I56)),"➤",""),"")</f>
        <v/>
      </c>
      <c r="IZ56" s="76" t="str">
        <f aca="false">IF($I56&gt;0%,IF(AND(IZ$16&gt;=$F56,IZ$16&lt;$F56+($G56*$I56)),"➤",""),"")</f>
        <v/>
      </c>
      <c r="JA56" s="76" t="str">
        <f aca="false">IF($I56&gt;0%,IF(AND(JA$16&gt;=$F56,JA$16&lt;$F56+($G56*$I56)),"➤",""),"")</f>
        <v/>
      </c>
      <c r="JB56" s="76" t="str">
        <f aca="false">IF($I56&gt;0%,IF(AND(JB$16&gt;=$F56,JB$16&lt;$F56+($G56*$I56)),"➤",""),"")</f>
        <v/>
      </c>
      <c r="JC56" s="76" t="str">
        <f aca="false">IF($I56&gt;0%,IF(AND(JC$16&gt;=$F56,JC$16&lt;$F56+($G56*$I56)),"➤",""),"")</f>
        <v/>
      </c>
      <c r="JD56" s="76" t="str">
        <f aca="false">IF($I56&gt;0%,IF(AND(JD$16&gt;=$F56,JD$16&lt;$F56+($G56*$I56)),"➤",""),"")</f>
        <v/>
      </c>
      <c r="JE56" s="76" t="str">
        <f aca="false">IF($I56&gt;0%,IF(AND(JE$16&gt;=$F56,JE$16&lt;$F56+($G56*$I56)),"➤",""),"")</f>
        <v/>
      </c>
      <c r="JF56" s="76" t="str">
        <f aca="false">IF($I56&gt;0%,IF(AND(JF$16&gt;=$F56,JF$16&lt;$F56+($G56*$I56)),"➤",""),"")</f>
        <v/>
      </c>
      <c r="JG56" s="76" t="str">
        <f aca="false">IF($I56&gt;0%,IF(AND(JG$16&gt;=$F56,JG$16&lt;$F56+($G56*$I56)),"➤",""),"")</f>
        <v/>
      </c>
      <c r="JH56" s="76" t="str">
        <f aca="false">IF($I56&gt;0%,IF(AND(JH$16&gt;=$F56,JH$16&lt;$F56+($G56*$I56)),"➤",""),"")</f>
        <v/>
      </c>
      <c r="JI56" s="76" t="str">
        <f aca="false">IF($I56&gt;0%,IF(AND(JI$16&gt;=$F56,JI$16&lt;$F56+($G56*$I56)),"➤",""),"")</f>
        <v/>
      </c>
      <c r="JJ56" s="76" t="str">
        <f aca="false">IF($I56&gt;0%,IF(AND(JJ$16&gt;=$F56,JJ$16&lt;$F56+($G56*$I56)),"➤",""),"")</f>
        <v/>
      </c>
      <c r="JK56" s="76" t="str">
        <f aca="false">IF($I56&gt;0%,IF(AND(JK$16&gt;=$F56,JK$16&lt;$F56+($G56*$I56)),"➤",""),"")</f>
        <v/>
      </c>
      <c r="JL56" s="76" t="str">
        <f aca="false">IF($I56&gt;0%,IF(AND(JL$16&gt;=$F56,JL$16&lt;$F56+($G56*$I56)),"➤",""),"")</f>
        <v/>
      </c>
      <c r="JM56" s="76" t="str">
        <f aca="false">IF($I56&gt;0%,IF(AND(JM$16&gt;=$F56,JM$16&lt;$F56+($G56*$I56)),"➤",""),"")</f>
        <v/>
      </c>
      <c r="JN56" s="76" t="str">
        <f aca="false">IF($I56&gt;0%,IF(AND(JN$16&gt;=$F56,JN$16&lt;$F56+($G56*$I56)),"➤",""),"")</f>
        <v/>
      </c>
      <c r="JO56" s="76" t="str">
        <f aca="false">IF($I56&gt;0%,IF(AND(JO$16&gt;=$F56,JO$16&lt;$F56+($G56*$I56)),"➤",""),"")</f>
        <v/>
      </c>
      <c r="JP56" s="76" t="str">
        <f aca="false">IF($I56&gt;0%,IF(AND(JP$16&gt;=$F56,JP$16&lt;$F56+($G56*$I56)),"➤",""),"")</f>
        <v/>
      </c>
      <c r="JQ56" s="76" t="str">
        <f aca="false">IF($I56&gt;0%,IF(AND(JQ$16&gt;=$F56,JQ$16&lt;$F56+($G56*$I56)),"➤",""),"")</f>
        <v/>
      </c>
      <c r="JR56" s="76" t="str">
        <f aca="false">IF($I56&gt;0%,IF(AND(JR$16&gt;=$F56,JR$16&lt;$F56+($G56*$I56)),"➤",""),"")</f>
        <v/>
      </c>
      <c r="JS56" s="76" t="str">
        <f aca="false">IF($I56&gt;0%,IF(AND(JS$16&gt;=$F56,JS$16&lt;$F56+($G56*$I56)),"➤",""),"")</f>
        <v/>
      </c>
      <c r="JT56" s="76" t="str">
        <f aca="false">IF($I56&gt;0%,IF(AND(JT$16&gt;=$F56,JT$16&lt;$F56+($G56*$I56)),"➤",""),"")</f>
        <v/>
      </c>
      <c r="JU56" s="76" t="str">
        <f aca="false">IF($I56&gt;0%,IF(AND(JU$16&gt;=$F56,JU$16&lt;$F56+($G56*$I56)),"➤",""),"")</f>
        <v/>
      </c>
      <c r="JV56" s="76" t="str">
        <f aca="false">IF($I56&gt;0%,IF(AND(JV$16&gt;=$F56,JV$16&lt;$F56+($G56*$I56)),"➤",""),"")</f>
        <v/>
      </c>
      <c r="JW56" s="76" t="str">
        <f aca="false">IF($I56&gt;0%,IF(AND(JW$16&gt;=$F56,JW$16&lt;$F56+($G56*$I56)),"➤",""),"")</f>
        <v/>
      </c>
      <c r="JX56" s="76" t="str">
        <f aca="false">IF($I56&gt;0%,IF(AND(JX$16&gt;=$F56,JX$16&lt;$F56+($G56*$I56)),"➤",""),"")</f>
        <v/>
      </c>
      <c r="JY56" s="76" t="str">
        <f aca="false">IF($I56&gt;0%,IF(AND(JY$16&gt;=$F56,JY$16&lt;$F56+($G56*$I56)),"➤",""),"")</f>
        <v/>
      </c>
      <c r="JZ56" s="76" t="str">
        <f aca="false">IF($I56&gt;0%,IF(AND(JZ$16&gt;=$F56,JZ$16&lt;$F56+($G56*$I56)),"➤",""),"")</f>
        <v/>
      </c>
      <c r="KA56" s="76" t="str">
        <f aca="false">IF($I56&gt;0%,IF(AND(KA$16&gt;=$F56,KA$16&lt;$F56+($G56*$I56)),"➤",""),"")</f>
        <v/>
      </c>
      <c r="KB56" s="76" t="str">
        <f aca="false">IF($I56&gt;0%,IF(AND(KB$16&gt;=$F56,KB$16&lt;$F56+($G56*$I56)),"➤",""),"")</f>
        <v/>
      </c>
      <c r="KC56" s="76" t="str">
        <f aca="false">IF($I56&gt;0%,IF(AND(KC$16&gt;=$F56,KC$16&lt;$F56+($G56*$I56)),"➤",""),"")</f>
        <v/>
      </c>
      <c r="KD56" s="76" t="str">
        <f aca="false">IF($I56&gt;0%,IF(AND(KD$16&gt;=$F56,KD$16&lt;$F56+($G56*$I56)),"➤",""),"")</f>
        <v/>
      </c>
      <c r="KE56" s="76" t="str">
        <f aca="false">IF($I56&gt;0%,IF(AND(KE$16&gt;=$F56,KE$16&lt;$F56+($G56*$I56)),"➤",""),"")</f>
        <v/>
      </c>
      <c r="KF56" s="76" t="str">
        <f aca="false">IF($I56&gt;0%,IF(AND(KF$16&gt;=$F56,KF$16&lt;$F56+($G56*$I56)),"➤",""),"")</f>
        <v/>
      </c>
      <c r="KG56" s="76" t="str">
        <f aca="false">IF($I56&gt;0%,IF(AND(KG$16&gt;=$F56,KG$16&lt;$F56+($G56*$I56)),"➤",""),"")</f>
        <v/>
      </c>
      <c r="KH56" s="76" t="str">
        <f aca="false">IF($I56&gt;0%,IF(AND(KH$16&gt;=$F56,KH$16&lt;$F56+($G56*$I56)),"➤",""),"")</f>
        <v/>
      </c>
      <c r="KI56" s="76" t="str">
        <f aca="false">IF($I56&gt;0%,IF(AND(KI$16&gt;=$F56,KI$16&lt;$F56+($G56*$I56)),"➤",""),"")</f>
        <v/>
      </c>
      <c r="KJ56" s="76" t="str">
        <f aca="false">IF($I56&gt;0%,IF(AND(KJ$16&gt;=$F56,KJ$16&lt;$F56+($G56*$I56)),"➤",""),"")</f>
        <v/>
      </c>
      <c r="KK56" s="76" t="str">
        <f aca="false">IF($I56&gt;0%,IF(AND(KK$16&gt;=$F56,KK$16&lt;$F56+($G56*$I56)),"➤",""),"")</f>
        <v/>
      </c>
      <c r="KL56" s="76" t="str">
        <f aca="false">IF($I56&gt;0%,IF(AND(KL$16&gt;=$F56,KL$16&lt;$F56+($G56*$I56)),"➤",""),"")</f>
        <v/>
      </c>
      <c r="KM56" s="76" t="str">
        <f aca="false">IF($I56&gt;0%,IF(AND(KM$16&gt;=$F56,KM$16&lt;$F56+($G56*$I56)),"➤",""),"")</f>
        <v/>
      </c>
      <c r="KN56" s="76" t="str">
        <f aca="false">IF($I56&gt;0%,IF(AND(KN$16&gt;=$F56,KN$16&lt;$F56+($G56*$I56)),"➤",""),"")</f>
        <v/>
      </c>
      <c r="KO56" s="76" t="str">
        <f aca="false">IF($I56&gt;0%,IF(AND(KO$16&gt;=$F56,KO$16&lt;$F56+($G56*$I56)),"➤",""),"")</f>
        <v/>
      </c>
      <c r="KP56" s="76" t="str">
        <f aca="false">IF($I56&gt;0%,IF(AND(KP$16&gt;=$F56,KP$16&lt;$F56+($G56*$I56)),"➤",""),"")</f>
        <v/>
      </c>
      <c r="KQ56" s="76" t="str">
        <f aca="false">IF($I56&gt;0%,IF(AND(KQ$16&gt;=$F56,KQ$16&lt;$F56+($G56*$I56)),"➤",""),"")</f>
        <v/>
      </c>
      <c r="KR56" s="76" t="str">
        <f aca="false">IF($I56&gt;0%,IF(AND(KR$16&gt;=$F56,KR$16&lt;$F56+($G56*$I56)),"➤",""),"")</f>
        <v/>
      </c>
      <c r="KS56" s="76" t="str">
        <f aca="false">IF($I56&gt;0%,IF(AND(KS$16&gt;=$F56,KS$16&lt;$F56+($G56*$I56)),"➤",""),"")</f>
        <v/>
      </c>
      <c r="KT56" s="76" t="str">
        <f aca="false">IF($I56&gt;0%,IF(AND(KT$16&gt;=$F56,KT$16&lt;$F56+($G56*$I56)),"➤",""),"")</f>
        <v/>
      </c>
      <c r="KU56" s="76" t="str">
        <f aca="false">IF($I56&gt;0%,IF(AND(KU$16&gt;=$F56,KU$16&lt;$F56+($G56*$I56)),"➤",""),"")</f>
        <v/>
      </c>
      <c r="KV56" s="76" t="str">
        <f aca="false">IF($I56&gt;0%,IF(AND(KV$16&gt;=$F56,KV$16&lt;$F56+($G56*$I56)),"➤",""),"")</f>
        <v/>
      </c>
      <c r="KW56" s="76" t="str">
        <f aca="false">IF($I56&gt;0%,IF(AND(KW$16&gt;=$F56,KW$16&lt;$F56+($G56*$I56)),"➤",""),"")</f>
        <v/>
      </c>
      <c r="KX56" s="76" t="str">
        <f aca="false">IF($I56&gt;0%,IF(AND(KX$16&gt;=$F56,KX$16&lt;$F56+($G56*$I56)),"➤",""),"")</f>
        <v/>
      </c>
      <c r="KY56" s="76" t="str">
        <f aca="false">IF($I56&gt;0%,IF(AND(KY$16&gt;=$F56,KY$16&lt;$F56+($G56*$I56)),"➤",""),"")</f>
        <v/>
      </c>
      <c r="KZ56" s="76" t="str">
        <f aca="false">IF($I56&gt;0%,IF(AND(KZ$16&gt;=$F56,KZ$16&lt;$F56+($G56*$I56)),"➤",""),"")</f>
        <v/>
      </c>
      <c r="LA56" s="76" t="str">
        <f aca="false">IF($I56&gt;0%,IF(AND(LA$16&gt;=$F56,LA$16&lt;$F56+($G56*$I56)),"➤",""),"")</f>
        <v/>
      </c>
      <c r="LB56" s="76" t="str">
        <f aca="false">IF($I56&gt;0%,IF(AND(LB$16&gt;=$F56,LB$16&lt;$F56+($G56*$I56)),"➤",""),"")</f>
        <v/>
      </c>
      <c r="LC56" s="76" t="str">
        <f aca="false">IF($I56&gt;0%,IF(AND(LC$16&gt;=$F56,LC$16&lt;$F56+($G56*$I56)),"➤",""),"")</f>
        <v/>
      </c>
      <c r="LD56" s="76" t="str">
        <f aca="false">IF($I56&gt;0%,IF(AND(LD$16&gt;=$F56,LD$16&lt;$F56+($G56*$I56)),"➤",""),"")</f>
        <v/>
      </c>
      <c r="LE56" s="76" t="str">
        <f aca="false">IF($I56&gt;0%,IF(AND(LE$16&gt;=$F56,LE$16&lt;$F56+($G56*$I56)),"➤",""),"")</f>
        <v/>
      </c>
      <c r="LF56" s="76" t="str">
        <f aca="false">IF($I56&gt;0%,IF(AND(LF$16&gt;=$F56,LF$16&lt;$F56+($G56*$I56)),"➤",""),"")</f>
        <v/>
      </c>
      <c r="LG56" s="76" t="str">
        <f aca="false">IF($I56&gt;0%,IF(AND(LG$16&gt;=$F56,LG$16&lt;$F56+($G56*$I56)),"➤",""),"")</f>
        <v/>
      </c>
      <c r="LH56" s="76" t="str">
        <f aca="false">IF($I56&gt;0%,IF(AND(LH$16&gt;=$F56,LH$16&lt;$F56+($G56*$I56)),"➤",""),"")</f>
        <v/>
      </c>
      <c r="LI56" s="76" t="str">
        <f aca="false">IF($I56&gt;0%,IF(AND(LI$16&gt;=$F56,LI$16&lt;$F56+($G56*$I56)),"➤",""),"")</f>
        <v/>
      </c>
      <c r="LJ56" s="76" t="str">
        <f aca="false">IF($I56&gt;0%,IF(AND(LJ$16&gt;=$F56,LJ$16&lt;$F56+($G56*$I56)),"➤",""),"")</f>
        <v/>
      </c>
      <c r="LK56" s="76" t="str">
        <f aca="false">IF($I56&gt;0%,IF(AND(LK$16&gt;=$F56,LK$16&lt;$F56+($G56*$I56)),"➤",""),"")</f>
        <v/>
      </c>
      <c r="LL56" s="76" t="str">
        <f aca="false">IF($I56&gt;0%,IF(AND(LL$16&gt;=$F56,LL$16&lt;$F56+($G56*$I56)),"➤",""),"")</f>
        <v/>
      </c>
      <c r="LM56" s="76" t="str">
        <f aca="false">IF($I56&gt;0%,IF(AND(LM$16&gt;=$F56,LM$16&lt;$F56+($G56*$I56)),"➤",""),"")</f>
        <v/>
      </c>
      <c r="LN56" s="76" t="str">
        <f aca="false">IF($I56&gt;0%,IF(AND(LN$16&gt;=$F56,LN$16&lt;$F56+($G56*$I56)),"➤",""),"")</f>
        <v/>
      </c>
      <c r="LO56" s="76" t="str">
        <f aca="false">IF($I56&gt;0%,IF(AND(LO$16&gt;=$F56,LO$16&lt;$F56+($G56*$I56)),"➤",""),"")</f>
        <v/>
      </c>
      <c r="LP56" s="76" t="str">
        <f aca="false">IF($I56&gt;0%,IF(AND(LP$16&gt;=$F56,LP$16&lt;$F56+($G56*$I56)),"➤",""),"")</f>
        <v/>
      </c>
      <c r="LQ56" s="76" t="str">
        <f aca="false">IF($I56&gt;0%,IF(AND(LQ$16&gt;=$F56,LQ$16&lt;$F56+($G56*$I56)),"➤",""),"")</f>
        <v/>
      </c>
      <c r="LR56" s="76" t="str">
        <f aca="false">IF($I56&gt;0%,IF(AND(LR$16&gt;=$F56,LR$16&lt;$F56+($G56*$I56)),"➤",""),"")</f>
        <v/>
      </c>
      <c r="LS56" s="76" t="str">
        <f aca="false">IF($I56&gt;0%,IF(AND(LS$16&gt;=$F56,LS$16&lt;$F56+($G56*$I56)),"➤",""),"")</f>
        <v/>
      </c>
      <c r="LT56" s="76" t="str">
        <f aca="false">IF($I56&gt;0%,IF(AND(LT$16&gt;=$F56,LT$16&lt;$F56+($G56*$I56)),"➤",""),"")</f>
        <v/>
      </c>
      <c r="LU56" s="76" t="str">
        <f aca="false">IF($I56&gt;0%,IF(AND(LU$16&gt;=$F56,LU$16&lt;$F56+($G56*$I56)),"➤",""),"")</f>
        <v/>
      </c>
      <c r="LV56" s="76" t="str">
        <f aca="false">IF($I56&gt;0%,IF(AND(LV$16&gt;=$F56,LV$16&lt;$F56+($G56*$I56)),"➤",""),"")</f>
        <v/>
      </c>
      <c r="LW56" s="76" t="str">
        <f aca="false">IF($I56&gt;0%,IF(AND(LW$16&gt;=$F56,LW$16&lt;$F56+($G56*$I56)),"➤",""),"")</f>
        <v/>
      </c>
      <c r="LX56" s="76" t="str">
        <f aca="false">IF($I56&gt;0%,IF(AND(LX$16&gt;=$F56,LX$16&lt;$F56+($G56*$I56)),"➤",""),"")</f>
        <v/>
      </c>
      <c r="LY56" s="76" t="str">
        <f aca="false">IF($I56&gt;0%,IF(AND(LY$16&gt;=$F56,LY$16&lt;$F56+($G56*$I56)),"➤",""),"")</f>
        <v/>
      </c>
      <c r="LZ56" s="76" t="str">
        <f aca="false">IF($I56&gt;0%,IF(AND(LZ$16&gt;=$F56,LZ$16&lt;$F56+($G56*$I56)),"➤",""),"")</f>
        <v/>
      </c>
      <c r="MA56" s="76" t="str">
        <f aca="false">IF($I56&gt;0%,IF(AND(MA$16&gt;=$F56,MA$16&lt;$F56+($G56*$I56)),"➤",""),"")</f>
        <v/>
      </c>
      <c r="MB56" s="76" t="str">
        <f aca="false">IF($I56&gt;0%,IF(AND(MB$16&gt;=$F56,MB$16&lt;$F56+($G56*$I56)),"➤",""),"")</f>
        <v/>
      </c>
      <c r="MC56" s="76" t="str">
        <f aca="false">IF($I56&gt;0%,IF(AND(MC$16&gt;=$F56,MC$16&lt;$F56+($G56*$I56)),"➤",""),"")</f>
        <v/>
      </c>
      <c r="MD56" s="76" t="str">
        <f aca="false">IF($I56&gt;0%,IF(AND(MD$16&gt;=$F56,MD$16&lt;$F56+($G56*$I56)),"➤",""),"")</f>
        <v/>
      </c>
      <c r="ME56" s="76" t="str">
        <f aca="false">IF($I56&gt;0%,IF(AND(ME$16&gt;=$F56,ME$16&lt;$F56+($G56*$I56)),"➤",""),"")</f>
        <v/>
      </c>
      <c r="MF56" s="76" t="str">
        <f aca="false">IF($I56&gt;0%,IF(AND(MF$16&gt;=$F56,MF$16&lt;$F56+($G56*$I56)),"➤",""),"")</f>
        <v/>
      </c>
      <c r="MG56" s="76" t="str">
        <f aca="false">IF($I56&gt;0%,IF(AND(MG$16&gt;=$F56,MG$16&lt;$F56+($G56*$I56)),"➤",""),"")</f>
        <v/>
      </c>
      <c r="MH56" s="76" t="str">
        <f aca="false">IF($I56&gt;0%,IF(AND(MH$16&gt;=$F56,MH$16&lt;$F56+($G56*$I56)),"➤",""),"")</f>
        <v/>
      </c>
      <c r="MI56" s="76" t="str">
        <f aca="false">IF($I56&gt;0%,IF(AND(MI$16&gt;=$F56,MI$16&lt;$F56+($G56*$I56)),"➤",""),"")</f>
        <v/>
      </c>
      <c r="MJ56" s="76" t="str">
        <f aca="false">IF($I56&gt;0%,IF(AND(MJ$16&gt;=$F56,MJ$16&lt;$F56+($G56*$I56)),"➤",""),"")</f>
        <v/>
      </c>
      <c r="MK56" s="76" t="str">
        <f aca="false">IF($I56&gt;0%,IF(AND(MK$16&gt;=$F56,MK$16&lt;$F56+($G56*$I56)),"➤",""),"")</f>
        <v/>
      </c>
      <c r="ML56" s="76" t="str">
        <f aca="false">IF($I56&gt;0%,IF(AND(ML$16&gt;=$F56,ML$16&lt;$F56+($G56*$I56)),"➤",""),"")</f>
        <v/>
      </c>
      <c r="MM56" s="76" t="str">
        <f aca="false">IF($I56&gt;0%,IF(AND(MM$16&gt;=$F56,MM$16&lt;$F56+($G56*$I56)),"➤",""),"")</f>
        <v/>
      </c>
      <c r="MN56" s="76" t="str">
        <f aca="false">IF($I56&gt;0%,IF(AND(MN$16&gt;=$F56,MN$16&lt;$F56+($G56*$I56)),"➤",""),"")</f>
        <v/>
      </c>
      <c r="MO56" s="76" t="str">
        <f aca="false">IF($I56&gt;0%,IF(AND(MO$16&gt;=$F56,MO$16&lt;$F56+($G56*$I56)),"➤",""),"")</f>
        <v/>
      </c>
      <c r="MP56" s="76" t="str">
        <f aca="false">IF($I56&gt;0%,IF(AND(MP$16&gt;=$F56,MP$16&lt;$F56+($G56*$I56)),"➤",""),"")</f>
        <v/>
      </c>
      <c r="MQ56" s="76" t="str">
        <f aca="false">IF($I56&gt;0%,IF(AND(MQ$16&gt;=$F56,MQ$16&lt;$F56+($G56*$I56)),"➤",""),"")</f>
        <v/>
      </c>
      <c r="MR56" s="76" t="str">
        <f aca="false">IF($I56&gt;0%,IF(AND(MR$16&gt;=$F56,MR$16&lt;$F56+($G56*$I56)),"➤",""),"")</f>
        <v/>
      </c>
      <c r="MS56" s="76" t="str">
        <f aca="false">IF($I56&gt;0%,IF(AND(MS$16&gt;=$F56,MS$16&lt;$F56+($G56*$I56)),"➤",""),"")</f>
        <v/>
      </c>
      <c r="MT56" s="76" t="str">
        <f aca="false">IF($I56&gt;0%,IF(AND(MT$16&gt;=$F56,MT$16&lt;$F56+($G56*$I56)),"➤",""),"")</f>
        <v/>
      </c>
      <c r="MU56" s="76" t="str">
        <f aca="false">IF($I56&gt;0%,IF(AND(MU$16&gt;=$F56,MU$16&lt;$F56+($G56*$I56)),"➤",""),"")</f>
        <v/>
      </c>
      <c r="MV56" s="76" t="str">
        <f aca="false">IF($I56&gt;0%,IF(AND(MV$16&gt;=$F56,MV$16&lt;$F56+($G56*$I56)),"➤",""),"")</f>
        <v/>
      </c>
      <c r="MW56" s="76" t="str">
        <f aca="false">IF($I56&gt;0%,IF(AND(MW$16&gt;=$F56,MW$16&lt;$F56+($G56*$I56)),"➤",""),"")</f>
        <v/>
      </c>
      <c r="MX56" s="76" t="str">
        <f aca="false">IF($I56&gt;0%,IF(AND(MX$16&gt;=$F56,MX$16&lt;$F56+($G56*$I56)),"➤",""),"")</f>
        <v/>
      </c>
      <c r="MY56" s="76" t="str">
        <f aca="false">IF($I56&gt;0%,IF(AND(MY$16&gt;=$F56,MY$16&lt;$F56+($G56*$I56)),"➤",""),"")</f>
        <v/>
      </c>
      <c r="MZ56" s="76" t="str">
        <f aca="false">IF($I56&gt;0%,IF(AND(MZ$16&gt;=$F56,MZ$16&lt;$F56+($G56*$I56)),"➤",""),"")</f>
        <v/>
      </c>
      <c r="NA56" s="76" t="str">
        <f aca="false">IF($I56&gt;0%,IF(AND(NA$16&gt;=$F56,NA$16&lt;$F56+($G56*$I56)),"➤",""),"")</f>
        <v/>
      </c>
      <c r="NB56" s="76" t="str">
        <f aca="false">IF($I56&gt;0%,IF(AND(NB$16&gt;=$F56,NB$16&lt;$F56+($G56*$I56)),"➤",""),"")</f>
        <v/>
      </c>
      <c r="NC56" s="76" t="str">
        <f aca="false">IF($I56&gt;0%,IF(AND(NC$16&gt;=$F56,NC$16&lt;$F56+($G56*$I56)),"➤",""),"")</f>
        <v/>
      </c>
      <c r="ND56" s="76" t="str">
        <f aca="false">IF($I56&gt;0%,IF(AND(ND$16&gt;=$F56,ND$16&lt;$F56+($G56*$I56)),"➤",""),"")</f>
        <v/>
      </c>
      <c r="NE56" s="76" t="str">
        <f aca="false">IF($I56&gt;0%,IF(AND(NE$16&gt;=$F56,NE$16&lt;$F56+($G56*$I56)),"➤",""),"")</f>
        <v/>
      </c>
      <c r="NF56" s="76" t="str">
        <f aca="false">IF($I56&gt;0%,IF(AND(NF$16&gt;=$F56,NF$16&lt;$F56+($G56*$I56)),"➤",""),"")</f>
        <v/>
      </c>
      <c r="NG56" s="76" t="str">
        <f aca="false">IF($I56&gt;0%,IF(AND(NG$16&gt;=$F56,NG$16&lt;$F56+($G56*$I56)),"➤",""),"")</f>
        <v/>
      </c>
      <c r="NH56" s="76" t="str">
        <f aca="false">IF($I56&gt;0%,IF(AND(NH$16&gt;=$F56,NH$16&lt;$F56+($G56*$I56)),"➤",""),"")</f>
        <v/>
      </c>
      <c r="NI56" s="76" t="str">
        <f aca="false">IF($I56&gt;0%,IF(AND(NI$16&gt;=$F56,NI$16&lt;$F56+($G56*$I56)),"➤",""),"")</f>
        <v/>
      </c>
      <c r="NJ56" s="76" t="str">
        <f aca="false">IF($I56&gt;0%,IF(AND(NJ$16&gt;=$F56,NJ$16&lt;$F56+($G56*$I56)),"➤",""),"")</f>
        <v/>
      </c>
      <c r="NK56" s="76" t="str">
        <f aca="false">IF($I56&gt;0%,IF(AND(NK$16&gt;=$F56,NK$16&lt;$F56+($G56*$I56)),"➤",""),"")</f>
        <v/>
      </c>
      <c r="NL56" s="76" t="str">
        <f aca="false">IF($I56&gt;0%,IF(AND(NL$16&gt;=$F56,NL$16&lt;$F56+($G56*$I56)),"➤",""),"")</f>
        <v/>
      </c>
      <c r="NM56" s="76" t="str">
        <f aca="false">IF($I56&gt;0%,IF(AND(NM$16&gt;=$F56,NM$16&lt;$F56+($G56*$I56)),"➤",""),"")</f>
        <v/>
      </c>
      <c r="NN56" s="76" t="str">
        <f aca="false">IF($I56&gt;0%,IF(AND(NN$16&gt;=$F56,NN$16&lt;$F56+($G56*$I56)),"➤",""),"")</f>
        <v/>
      </c>
      <c r="NO56" s="76" t="str">
        <f aca="false">IF($I56&gt;0%,IF(AND(NO$16&gt;=$F56,NO$16&lt;$F56+($G56*$I56)),"➤",""),"")</f>
        <v/>
      </c>
      <c r="NP56" s="76" t="str">
        <f aca="false">IF($I56&gt;0%,IF(AND(NP$16&gt;=$F56,NP$16&lt;$F56+($G56*$I56)),"➤",""),"")</f>
        <v/>
      </c>
      <c r="NQ56" s="76" t="str">
        <f aca="false">IF($I56&gt;0%,IF(AND(NQ$16&gt;=$F56,NQ$16&lt;$F56+($G56*$I56)),"➤",""),"")</f>
        <v/>
      </c>
      <c r="NR56" s="76" t="str">
        <f aca="false">IF($I56&gt;0%,IF(AND(NR$16&gt;=$F56,NR$16&lt;$F56+($G56*$I56)),"➤",""),"")</f>
        <v/>
      </c>
      <c r="NS56" s="76" t="str">
        <f aca="false">IF($I56&gt;0%,IF(AND(NS$16&gt;=$F56,NS$16&lt;$F56+($G56*$I56)),"➤",""),"")</f>
        <v/>
      </c>
      <c r="NT56" s="76" t="str">
        <f aca="false">IF($I56&gt;0%,IF(AND(NT$16&gt;=$F56,NT$16&lt;$F56+($G56*$I56)),"➤",""),"")</f>
        <v/>
      </c>
      <c r="NU56" s="76" t="str">
        <f aca="false">IF($I56&gt;0%,IF(AND(NU$16&gt;=$F56,NU$16&lt;$F56+($G56*$I56)),"➤",""),"")</f>
        <v/>
      </c>
      <c r="NV56" s="76" t="str">
        <f aca="false">IF($I56&gt;0%,IF(AND(NV$16&gt;=$F56,NV$16&lt;$F56+($G56*$I56)),"➤",""),"")</f>
        <v/>
      </c>
      <c r="NW56" s="76" t="str">
        <f aca="false">IF($I56&gt;0%,IF(AND(NW$16&gt;=$F56,NW$16&lt;$F56+($G56*$I56)),"➤",""),"")</f>
        <v/>
      </c>
      <c r="NX56" s="76" t="str">
        <f aca="false">IF($I56&gt;0%,IF(AND(NX$16&gt;=$F56,NX$16&lt;$F56+($G56*$I56)),"➤",""),"")</f>
        <v/>
      </c>
      <c r="NY56" s="76" t="str">
        <f aca="false">IF($I56&gt;0%,IF(AND(NY$16&gt;=$F56,NY$16&lt;$F56+($G56*$I56)),"➤",""),"")</f>
        <v/>
      </c>
      <c r="NZ56" s="76" t="str">
        <f aca="false">IF($I56&gt;0%,IF(AND(NZ$16&gt;=$F56,NZ$16&lt;$F56+($G56*$I56)),"➤",""),"")</f>
        <v/>
      </c>
      <c r="OA56" s="76" t="str">
        <f aca="false">IF($I56&gt;0%,IF(AND(OA$16&gt;=$F56,OA$16&lt;$F56+($G56*$I56)),"➤",""),"")</f>
        <v/>
      </c>
      <c r="OB56" s="76" t="str">
        <f aca="false">IF($I56&gt;0%,IF(AND(OB$16&gt;=$F56,OB$16&lt;$F56+($G56*$I56)),"➤",""),"")</f>
        <v/>
      </c>
      <c r="OC56" s="76" t="str">
        <f aca="false">IF($I56&gt;0%,IF(AND(OC$16&gt;=$F56,OC$16&lt;$F56+($G56*$I56)),"➤",""),"")</f>
        <v/>
      </c>
      <c r="OD56" s="76" t="str">
        <f aca="false">IF($I56&gt;0%,IF(AND(OD$16&gt;=$F56,OD$16&lt;$F56+($G56*$I56)),"➤",""),"")</f>
        <v/>
      </c>
      <c r="OE56" s="76" t="str">
        <f aca="false">IF($I56&gt;0%,IF(AND(OE$16&gt;=$F56,OE$16&lt;$F56+($G56*$I56)),"➤",""),"")</f>
        <v/>
      </c>
      <c r="OF56" s="76" t="str">
        <f aca="false">IF($I56&gt;0%,IF(AND(OF$16&gt;=$F56,OF$16&lt;$F56+($G56*$I56)),"➤",""),"")</f>
        <v/>
      </c>
      <c r="OG56" s="76" t="str">
        <f aca="false">IF($I56&gt;0%,IF(AND(OG$16&gt;=$F56,OG$16&lt;$F56+($G56*$I56)),"➤",""),"")</f>
        <v/>
      </c>
      <c r="OH56" s="76" t="str">
        <f aca="false">IF($I56&gt;0%,IF(AND(OH$16&gt;=$F56,OH$16&lt;$F56+($G56*$I56)),"➤",""),"")</f>
        <v/>
      </c>
      <c r="OI56" s="76" t="str">
        <f aca="false">IF($I56&gt;0%,IF(AND(OI$16&gt;=$F56,OI$16&lt;$F56+($G56*$I56)),"➤",""),"")</f>
        <v/>
      </c>
      <c r="OJ56" s="76" t="str">
        <f aca="false">IF($I56&gt;0%,IF(AND(OJ$16&gt;=$F56,OJ$16&lt;$F56+($G56*$I56)),"➤",""),"")</f>
        <v/>
      </c>
      <c r="OK56" s="76" t="str">
        <f aca="false">IF($I56&gt;0%,IF(AND(OK$16&gt;=$F56,OK$16&lt;$F56+($G56*$I56)),"➤",""),"")</f>
        <v/>
      </c>
      <c r="OL56" s="76" t="str">
        <f aca="false">IF($I56&gt;0%,IF(AND(OL$16&gt;=$F56,OL$16&lt;$F56+($G56*$I56)),"➤",""),"")</f>
        <v/>
      </c>
      <c r="OM56" s="76" t="str">
        <f aca="false">IF($I56&gt;0%,IF(AND(OM$16&gt;=$F56,OM$16&lt;$F56+($G56*$I56)),"➤",""),"")</f>
        <v/>
      </c>
      <c r="ON56" s="76" t="str">
        <f aca="false">IF($I56&gt;0%,IF(AND(ON$16&gt;=$F56,ON$16&lt;$F56+($G56*$I56)),"➤",""),"")</f>
        <v/>
      </c>
      <c r="OO56" s="76" t="str">
        <f aca="false">IF($I56&gt;0%,IF(AND(OO$16&gt;=$F56,OO$16&lt;$F56+($G56*$I56)),"➤",""),"")</f>
        <v/>
      </c>
      <c r="OP56" s="76" t="str">
        <f aca="false">IF($I56&gt;0%,IF(AND(OP$16&gt;=$F56,OP$16&lt;$F56+($G56*$I56)),"➤",""),"")</f>
        <v/>
      </c>
      <c r="OQ56" s="76" t="str">
        <f aca="false">IF($I56&gt;0%,IF(AND(OQ$16&gt;=$F56,OQ$16&lt;$F56+($G56*$I56)),"➤",""),"")</f>
        <v/>
      </c>
      <c r="OR56" s="76" t="str">
        <f aca="false">IF($I56&gt;0%,IF(AND(OR$16&gt;=$F56,OR$16&lt;$F56+($G56*$I56)),"➤",""),"")</f>
        <v/>
      </c>
      <c r="OS56" s="76" t="str">
        <f aca="false">IF($I56&gt;0%,IF(AND(OS$16&gt;=$F56,OS$16&lt;$F56+($G56*$I56)),"➤",""),"")</f>
        <v/>
      </c>
      <c r="OT56" s="76" t="str">
        <f aca="false">IF($I56&gt;0%,IF(AND(OT$16&gt;=$F56,OT$16&lt;$F56+($G56*$I56)),"➤",""),"")</f>
        <v/>
      </c>
      <c r="OU56" s="76" t="str">
        <f aca="false">IF($I56&gt;0%,IF(AND(OU$16&gt;=$F56,OU$16&lt;$F56+($G56*$I56)),"➤",""),"")</f>
        <v/>
      </c>
      <c r="OV56" s="76" t="str">
        <f aca="false">IF($I56&gt;0%,IF(AND(OV$16&gt;=$F56,OV$16&lt;$F56+($G56*$I56)),"➤",""),"")</f>
        <v/>
      </c>
      <c r="OW56" s="76" t="str">
        <f aca="false">IF($I56&gt;0%,IF(AND(OW$16&gt;=$F56,OW$16&lt;$F56+($G56*$I56)),"➤",""),"")</f>
        <v/>
      </c>
      <c r="OX56" s="76" t="str">
        <f aca="false">IF($I56&gt;0%,IF(AND(OX$16&gt;=$F56,OX$16&lt;$F56+($G56*$I56)),"➤",""),"")</f>
        <v/>
      </c>
      <c r="OY56" s="76" t="str">
        <f aca="false">IF($I56&gt;0%,IF(AND(OY$16&gt;=$F56,OY$16&lt;$F56+($G56*$I56)),"➤",""),"")</f>
        <v/>
      </c>
      <c r="OZ56" s="76" t="str">
        <f aca="false">IF($I56&gt;0%,IF(AND(OZ$16&gt;=$F56,OZ$16&lt;$F56+($G56*$I56)),"➤",""),"")</f>
        <v/>
      </c>
      <c r="PA56" s="76" t="str">
        <f aca="false">IF($I56&gt;0%,IF(AND(PA$16&gt;=$F56,PA$16&lt;$F56+($G56*$I56)),"➤",""),"")</f>
        <v/>
      </c>
      <c r="PB56" s="76" t="str">
        <f aca="false">IF($I56&gt;0%,IF(AND(PB$16&gt;=$F56,PB$16&lt;$F56+($G56*$I56)),"➤",""),"")</f>
        <v/>
      </c>
      <c r="PC56" s="76" t="str">
        <f aca="false">IF($I56&gt;0%,IF(AND(PC$16&gt;=$F56,PC$16&lt;$F56+($G56*$I56)),"➤",""),"")</f>
        <v/>
      </c>
      <c r="PD56" s="76" t="str">
        <f aca="false">IF($I56&gt;0%,IF(AND(PD$16&gt;=$F56,PD$16&lt;$F56+($G56*$I56)),"➤",""),"")</f>
        <v/>
      </c>
      <c r="PE56" s="76" t="str">
        <f aca="false">IF($I56&gt;0%,IF(AND(PE$16&gt;=$F56,PE$16&lt;$F56+($G56*$I56)),"➤",""),"")</f>
        <v/>
      </c>
      <c r="PF56" s="76" t="str">
        <f aca="false">IF($I56&gt;0%,IF(AND(PF$16&gt;=$F56,PF$16&lt;$F56+($G56*$I56)),"➤",""),"")</f>
        <v/>
      </c>
      <c r="PG56" s="76" t="str">
        <f aca="false">IF($I56&gt;0%,IF(AND(PG$16&gt;=$F56,PG$16&lt;$F56+($G56*$I56)),"➤",""),"")</f>
        <v/>
      </c>
      <c r="PH56" s="76" t="str">
        <f aca="false">IF($I56&gt;0%,IF(AND(PH$16&gt;=$F56,PH$16&lt;$F56+($G56*$I56)),"➤",""),"")</f>
        <v/>
      </c>
      <c r="PI56" s="76" t="str">
        <f aca="false">IF($I56&gt;0%,IF(AND(PI$16&gt;=$F56,PI$16&lt;$F56+($G56*$I56)),"➤",""),"")</f>
        <v/>
      </c>
      <c r="PJ56" s="76" t="str">
        <f aca="false">IF($I56&gt;0%,IF(AND(PJ$16&gt;=$F56,PJ$16&lt;$F56+($G56*$I56)),"➤",""),"")</f>
        <v/>
      </c>
      <c r="PK56" s="76" t="str">
        <f aca="false">IF($I56&gt;0%,IF(AND(PK$16&gt;=$F56,PK$16&lt;$F56+($G56*$I56)),"➤",""),"")</f>
        <v/>
      </c>
      <c r="PL56" s="76" t="str">
        <f aca="false">IF($I56&gt;0%,IF(AND(PL$16&gt;=$F56,PL$16&lt;$F56+($G56*$I56)),"➤",""),"")</f>
        <v/>
      </c>
      <c r="PM56" s="76" t="str">
        <f aca="false">IF($I56&gt;0%,IF(AND(PM$16&gt;=$F56,PM$16&lt;$F56+($G56*$I56)),"➤",""),"")</f>
        <v/>
      </c>
      <c r="PN56" s="76" t="str">
        <f aca="false">IF($I56&gt;0%,IF(AND(PN$16&gt;=$F56,PN$16&lt;$F56+($G56*$I56)),"➤",""),"")</f>
        <v/>
      </c>
      <c r="PO56" s="76" t="str">
        <f aca="false">IF($I56&gt;0%,IF(AND(PO$16&gt;=$F56,PO$16&lt;$F56+($G56*$I56)),"➤",""),"")</f>
        <v/>
      </c>
      <c r="PP56" s="76" t="str">
        <f aca="false">IF($I56&gt;0%,IF(AND(PP$16&gt;=$F56,PP$16&lt;$F56+($G56*$I56)),"➤",""),"")</f>
        <v/>
      </c>
      <c r="PQ56" s="76" t="str">
        <f aca="false">IF($I56&gt;0%,IF(AND(PQ$16&gt;=$F56,PQ$16&lt;$F56+($G56*$I56)),"➤",""),"")</f>
        <v/>
      </c>
      <c r="PR56" s="76" t="str">
        <f aca="false">IF($I56&gt;0%,IF(AND(PR$16&gt;=$F56,PR$16&lt;$F56+($G56*$I56)),"➤",""),"")</f>
        <v/>
      </c>
      <c r="PS56" s="76" t="str">
        <f aca="false">IF($I56&gt;0%,IF(AND(PS$16&gt;=$F56,PS$16&lt;$F56+($G56*$I56)),"➤",""),"")</f>
        <v/>
      </c>
      <c r="PT56" s="76" t="str">
        <f aca="false">IF($I56&gt;0%,IF(AND(PT$16&gt;=$F56,PT$16&lt;$F56+($G56*$I56)),"➤",""),"")</f>
        <v/>
      </c>
      <c r="PU56" s="76" t="str">
        <f aca="false">IF($I56&gt;0%,IF(AND(PU$16&gt;=$F56,PU$16&lt;$F56+($G56*$I56)),"➤",""),"")</f>
        <v/>
      </c>
      <c r="PV56" s="76" t="str">
        <f aca="false">IF($I56&gt;0%,IF(AND(PV$16&gt;=$F56,PV$16&lt;$F56+($G56*$I56)),"➤",""),"")</f>
        <v/>
      </c>
      <c r="PW56" s="76" t="str">
        <f aca="false">IF($I56&gt;0%,IF(AND(PW$16&gt;=$F56,PW$16&lt;$F56+($G56*$I56)),"➤",""),"")</f>
        <v/>
      </c>
      <c r="PX56" s="76" t="str">
        <f aca="false">IF($I56&gt;0%,IF(AND(PX$16&gt;=$F56,PX$16&lt;$F56+($G56*$I56)),"➤",""),"")</f>
        <v/>
      </c>
      <c r="PY56" s="76" t="str">
        <f aca="false">IF($I56&gt;0%,IF(AND(PY$16&gt;=$F56,PY$16&lt;$F56+($G56*$I56)),"➤",""),"")</f>
        <v/>
      </c>
      <c r="PZ56" s="76" t="str">
        <f aca="false">IF($I56&gt;0%,IF(AND(PZ$16&gt;=$F56,PZ$16&lt;$F56+($G56*$I56)),"➤",""),"")</f>
        <v/>
      </c>
      <c r="QA56" s="76" t="str">
        <f aca="false">IF($I56&gt;0%,IF(AND(QA$16&gt;=$F56,QA$16&lt;$F56+($G56*$I56)),"➤",""),"")</f>
        <v/>
      </c>
      <c r="QB56" s="76" t="str">
        <f aca="false">IF($I56&gt;0%,IF(AND(QB$16&gt;=$F56,QB$16&lt;$F56+($G56*$I56)),"➤",""),"")</f>
        <v/>
      </c>
      <c r="QC56" s="76" t="str">
        <f aca="false">IF($I56&gt;0%,IF(AND(QC$16&gt;=$F56,QC$16&lt;$F56+($G56*$I56)),"➤",""),"")</f>
        <v/>
      </c>
      <c r="QD56" s="76" t="str">
        <f aca="false">IF($I56&gt;0%,IF(AND(QD$16&gt;=$F56,QD$16&lt;$F56+($G56*$I56)),"➤",""),"")</f>
        <v/>
      </c>
      <c r="QE56" s="76" t="str">
        <f aca="false">IF($I56&gt;0%,IF(AND(QE$16&gt;=$F56,QE$16&lt;$F56+($G56*$I56)),"➤",""),"")</f>
        <v/>
      </c>
      <c r="QF56" s="76" t="str">
        <f aca="false">IF($I56&gt;0%,IF(AND(QF$16&gt;=$F56,QF$16&lt;$F56+($G56*$I56)),"➤",""),"")</f>
        <v/>
      </c>
      <c r="QG56" s="76" t="str">
        <f aca="false">IF($I56&gt;0%,IF(AND(QG$16&gt;=$F56,QG$16&lt;$F56+($G56*$I56)),"➤",""),"")</f>
        <v/>
      </c>
      <c r="QH56" s="76" t="str">
        <f aca="false">IF($I56&gt;0%,IF(AND(QH$16&gt;=$F56,QH$16&lt;$F56+($G56*$I56)),"➤",""),"")</f>
        <v/>
      </c>
      <c r="QI56" s="76" t="str">
        <f aca="false">IF($I56&gt;0%,IF(AND(QI$16&gt;=$F56,QI$16&lt;$F56+($G56*$I56)),"➤",""),"")</f>
        <v/>
      </c>
      <c r="QJ56" s="76" t="str">
        <f aca="false">IF($I56&gt;0%,IF(AND(QJ$16&gt;=$F56,QJ$16&lt;$F56+($G56*$I56)),"➤",""),"")</f>
        <v/>
      </c>
      <c r="QK56" s="76" t="str">
        <f aca="false">IF($I56&gt;0%,IF(AND(QK$16&gt;=$F56,QK$16&lt;$F56+($G56*$I56)),"➤",""),"")</f>
        <v/>
      </c>
      <c r="QL56" s="76" t="str">
        <f aca="false">IF($I56&gt;0%,IF(AND(QL$16&gt;=$F56,QL$16&lt;$F56+($G56*$I56)),"➤",""),"")</f>
        <v/>
      </c>
      <c r="QM56" s="76" t="str">
        <f aca="false">IF($I56&gt;0%,IF(AND(QM$16&gt;=$F56,QM$16&lt;$F56+($G56*$I56)),"➤",""),"")</f>
        <v/>
      </c>
      <c r="QN56" s="76" t="str">
        <f aca="false">IF($I56&gt;0%,IF(AND(QN$16&gt;=$F56,QN$16&lt;$F56+($G56*$I56)),"➤",""),"")</f>
        <v/>
      </c>
      <c r="QO56" s="76" t="str">
        <f aca="false">IF($I56&gt;0%,IF(AND(QO$16&gt;=$F56,QO$16&lt;$F56+($G56*$I56)),"➤",""),"")</f>
        <v/>
      </c>
      <c r="QP56" s="76" t="str">
        <f aca="false">IF($I56&gt;0%,IF(AND(QP$16&gt;=$F56,QP$16&lt;$F56+($G56*$I56)),"➤",""),"")</f>
        <v/>
      </c>
      <c r="QQ56" s="76" t="str">
        <f aca="false">IF($I56&gt;0%,IF(AND(QQ$16&gt;=$F56,QQ$16&lt;$F56+($G56*$I56)),"➤",""),"")</f>
        <v/>
      </c>
      <c r="QR56" s="76" t="str">
        <f aca="false">IF($I56&gt;0%,IF(AND(QR$16&gt;=$F56,QR$16&lt;$F56+($G56*$I56)),"➤",""),"")</f>
        <v/>
      </c>
      <c r="QS56" s="76" t="str">
        <f aca="false">IF($I56&gt;0%,IF(AND(QS$16&gt;=$F56,QS$16&lt;$F56+($G56*$I56)),"➤",""),"")</f>
        <v/>
      </c>
      <c r="QT56" s="76" t="str">
        <f aca="false">IF($I56&gt;0%,IF(AND(QT$16&gt;=$F56,QT$16&lt;$F56+($G56*$I56)),"➤",""),"")</f>
        <v/>
      </c>
      <c r="QU56" s="76" t="str">
        <f aca="false">IF($I56&gt;0%,IF(AND(QU$16&gt;=$F56,QU$16&lt;$F56+($G56*$I56)),"➤",""),"")</f>
        <v/>
      </c>
      <c r="QV56" s="76" t="str">
        <f aca="false">IF($I56&gt;0%,IF(AND(QV$16&gt;=$F56,QV$16&lt;$F56+($G56*$I56)),"➤",""),"")</f>
        <v/>
      </c>
      <c r="QW56" s="76" t="str">
        <f aca="false">IF($I56&gt;0%,IF(AND(QW$16&gt;=$F56,QW$16&lt;$F56+($G56*$I56)),"➤",""),"")</f>
        <v/>
      </c>
      <c r="QX56" s="76" t="str">
        <f aca="false">IF($I56&gt;0%,IF(AND(QX$16&gt;=$F56,QX$16&lt;$F56+($G56*$I56)),"➤",""),"")</f>
        <v/>
      </c>
      <c r="QY56" s="76" t="str">
        <f aca="false">IF($I56&gt;0%,IF(AND(QY$16&gt;=$F56,QY$16&lt;$F56+($G56*$I56)),"➤",""),"")</f>
        <v/>
      </c>
      <c r="QZ56" s="76" t="str">
        <f aca="false">IF($I56&gt;0%,IF(AND(QZ$16&gt;=$F56,QZ$16&lt;$F56+($G56*$I56)),"➤",""),"")</f>
        <v/>
      </c>
      <c r="RA56" s="76" t="str">
        <f aca="false">IF($I56&gt;0%,IF(AND(RA$16&gt;=$F56,RA$16&lt;$F56+($G56*$I56)),"➤",""),"")</f>
        <v/>
      </c>
      <c r="RB56" s="76" t="str">
        <f aca="false">IF($I56&gt;0%,IF(AND(RB$16&gt;=$F56,RB$16&lt;$F56+($G56*$I56)),"➤",""),"")</f>
        <v/>
      </c>
      <c r="RC56" s="76" t="str">
        <f aca="false">IF($I56&gt;0%,IF(AND(RC$16&gt;=$F56,RC$16&lt;$F56+($G56*$I56)),"➤",""),"")</f>
        <v/>
      </c>
      <c r="RD56" s="76" t="str">
        <f aca="false">IF($I56&gt;0%,IF(AND(RD$16&gt;=$F56,RD$16&lt;$F56+($G56*$I56)),"➤",""),"")</f>
        <v/>
      </c>
      <c r="RE56" s="76" t="str">
        <f aca="false">IF($I56&gt;0%,IF(AND(RE$16&gt;=$F56,RE$16&lt;$F56+($G56*$I56)),"➤",""),"")</f>
        <v/>
      </c>
      <c r="RF56" s="76" t="str">
        <f aca="false">IF($I56&gt;0%,IF(AND(RF$16&gt;=$F56,RF$16&lt;$F56+($G56*$I56)),"➤",""),"")</f>
        <v/>
      </c>
      <c r="RG56" s="76" t="str">
        <f aca="false">IF($I56&gt;0%,IF(AND(RG$16&gt;=$F56,RG$16&lt;$F56+($G56*$I56)),"➤",""),"")</f>
        <v/>
      </c>
      <c r="RH56" s="76" t="str">
        <f aca="false">IF($I56&gt;0%,IF(AND(RH$16&gt;=$F56,RH$16&lt;$F56+($G56*$I56)),"➤",""),"")</f>
        <v/>
      </c>
      <c r="RI56" s="76" t="str">
        <f aca="false">IF($I56&gt;0%,IF(AND(RI$16&gt;=$F56,RI$16&lt;$F56+($G56*$I56)),"➤",""),"")</f>
        <v/>
      </c>
      <c r="RJ56" s="76" t="str">
        <f aca="false">IF($I56&gt;0%,IF(AND(RJ$16&gt;=$F56,RJ$16&lt;$F56+($G56*$I56)),"➤",""),"")</f>
        <v/>
      </c>
      <c r="RK56" s="76" t="str">
        <f aca="false">IF($I56&gt;0%,IF(AND(RK$16&gt;=$F56,RK$16&lt;$F56+($G56*$I56)),"➤",""),"")</f>
        <v/>
      </c>
      <c r="RL56" s="76" t="str">
        <f aca="false">IF($I56&gt;0%,IF(AND(RL$16&gt;=$F56,RL$16&lt;$F56+($G56*$I56)),"➤",""),"")</f>
        <v/>
      </c>
      <c r="RM56" s="76" t="str">
        <f aca="false">IF($I56&gt;0%,IF(AND(RM$16&gt;=$F56,RM$16&lt;$F56+($G56*$I56)),"➤",""),"")</f>
        <v/>
      </c>
      <c r="RN56" s="76" t="str">
        <f aca="false">IF($I56&gt;0%,IF(AND(RN$16&gt;=$F56,RN$16&lt;$F56+($G56*$I56)),"➤",""),"")</f>
        <v/>
      </c>
      <c r="RO56" s="76" t="str">
        <f aca="false">IF($I56&gt;0%,IF(AND(RO$16&gt;=$F56,RO$16&lt;$F56+($G56*$I56)),"➤",""),"")</f>
        <v/>
      </c>
      <c r="RP56" s="76" t="str">
        <f aca="false">IF($I56&gt;0%,IF(AND(RP$16&gt;=$F56,RP$16&lt;$F56+($G56*$I56)),"➤",""),"")</f>
        <v/>
      </c>
      <c r="RQ56" s="76" t="str">
        <f aca="false">IF($I56&gt;0%,IF(AND(RQ$16&gt;=$F56,RQ$16&lt;$F56+($G56*$I56)),"➤",""),"")</f>
        <v/>
      </c>
      <c r="RR56" s="76" t="str">
        <f aca="false">IF($I56&gt;0%,IF(AND(RR$16&gt;=$F56,RR$16&lt;$F56+($G56*$I56)),"➤",""),"")</f>
        <v/>
      </c>
      <c r="RS56" s="76" t="str">
        <f aca="false">IF($I56&gt;0%,IF(AND(RS$16&gt;=$F56,RS$16&lt;$F56+($G56*$I56)),"➤",""),"")</f>
        <v/>
      </c>
      <c r="RT56" s="76" t="str">
        <f aca="false">IF($I56&gt;0%,IF(AND(RT$16&gt;=$F56,RT$16&lt;$F56+($G56*$I56)),"➤",""),"")</f>
        <v/>
      </c>
      <c r="RU56" s="76" t="str">
        <f aca="false">IF($I56&gt;0%,IF(AND(RU$16&gt;=$F56,RU$16&lt;$F56+($G56*$I56)),"➤",""),"")</f>
        <v/>
      </c>
      <c r="RV56" s="76" t="str">
        <f aca="false">IF($I56&gt;0%,IF(AND(RV$16&gt;=$F56,RV$16&lt;$F56+($G56*$I56)),"➤",""),"")</f>
        <v/>
      </c>
      <c r="RW56" s="76" t="str">
        <f aca="false">IF($I56&gt;0%,IF(AND(RW$16&gt;=$F56,RW$16&lt;$F56+($G56*$I56)),"➤",""),"")</f>
        <v/>
      </c>
      <c r="RX56" s="76" t="str">
        <f aca="false">IF($I56&gt;0%,IF(AND(RX$16&gt;=$F56,RX$16&lt;$F56+($G56*$I56)),"➤",""),"")</f>
        <v/>
      </c>
      <c r="RY56" s="76" t="str">
        <f aca="false">IF($I56&gt;0%,IF(AND(RY$16&gt;=$F56,RY$16&lt;$F56+($G56*$I56)),"➤",""),"")</f>
        <v/>
      </c>
      <c r="RZ56" s="76" t="str">
        <f aca="false">IF($I56&gt;0%,IF(AND(RZ$16&gt;=$F56,RZ$16&lt;$F56+($G56*$I56)),"➤",""),"")</f>
        <v/>
      </c>
      <c r="SA56" s="76" t="str">
        <f aca="false">IF($I56&gt;0%,IF(AND(SA$16&gt;=$F56,SA$16&lt;$F56+($G56*$I56)),"➤",""),"")</f>
        <v/>
      </c>
      <c r="SB56" s="76" t="str">
        <f aca="false">IF($I56&gt;0%,IF(AND(SB$16&gt;=$F56,SB$16&lt;$F56+($G56*$I56)),"➤",""),"")</f>
        <v/>
      </c>
      <c r="SC56" s="76" t="str">
        <f aca="false">IF($I56&gt;0%,IF(AND(SC$16&gt;=$F56,SC$16&lt;$F56+($G56*$I56)),"➤",""),"")</f>
        <v/>
      </c>
      <c r="SD56" s="76" t="str">
        <f aca="false">IF($I56&gt;0%,IF(AND(SD$16&gt;=$F56,SD$16&lt;$F56+($G56*$I56)),"➤",""),"")</f>
        <v/>
      </c>
      <c r="SE56" s="76" t="str">
        <f aca="false">IF($I56&gt;0%,IF(AND(SE$16&gt;=$F56,SE$16&lt;$F56+($G56*$I56)),"➤",""),"")</f>
        <v/>
      </c>
      <c r="SF56" s="76" t="str">
        <f aca="false">IF($I56&gt;0%,IF(AND(SF$16&gt;=$F56,SF$16&lt;$F56+($G56*$I56)),"➤",""),"")</f>
        <v/>
      </c>
      <c r="SG56" s="76" t="str">
        <f aca="false">IF($I56&gt;0%,IF(AND(SG$16&gt;=$F56,SG$16&lt;$F56+($G56*$I56)),"➤",""),"")</f>
        <v/>
      </c>
      <c r="SH56" s="76" t="str">
        <f aca="false">IF($I56&gt;0%,IF(AND(SH$16&gt;=$F56,SH$16&lt;$F56+($G56*$I56)),"➤",""),"")</f>
        <v/>
      </c>
      <c r="SI56" s="76" t="str">
        <f aca="false">IF($I56&gt;0%,IF(AND(SI$16&gt;=$F56,SI$16&lt;$F56+($G56*$I56)),"➤",""),"")</f>
        <v/>
      </c>
      <c r="SJ56" s="76" t="str">
        <f aca="false">IF($I56&gt;0%,IF(AND(SJ$16&gt;=$F56,SJ$16&lt;$F56+($G56*$I56)),"➤",""),"")</f>
        <v/>
      </c>
      <c r="SK56" s="76" t="str">
        <f aca="false">IF($I56&gt;0%,IF(AND(SK$16&gt;=$F56,SK$16&lt;$F56+($G56*$I56)),"➤",""),"")</f>
        <v/>
      </c>
      <c r="SL56" s="76" t="str">
        <f aca="false">IF($I56&gt;0%,IF(AND(SL$16&gt;=$F56,SL$16&lt;$F56+($G56*$I56)),"➤",""),"")</f>
        <v/>
      </c>
      <c r="SM56" s="76" t="str">
        <f aca="false">IF($I56&gt;0%,IF(AND(SM$16&gt;=$F56,SM$16&lt;$F56+($G56*$I56)),"➤",""),"")</f>
        <v/>
      </c>
      <c r="SN56" s="76" t="str">
        <f aca="false">IF($I56&gt;0%,IF(AND(SN$16&gt;=$F56,SN$16&lt;$F56+($G56*$I56)),"➤",""),"")</f>
        <v/>
      </c>
      <c r="SO56" s="76" t="str">
        <f aca="false">IF($I56&gt;0%,IF(AND(SO$16&gt;=$F56,SO$16&lt;$F56+($G56*$I56)),"➤",""),"")</f>
        <v/>
      </c>
      <c r="SP56" s="76" t="str">
        <f aca="false">IF($I56&gt;0%,IF(AND(SP$16&gt;=$F56,SP$16&lt;$F56+($G56*$I56)),"➤",""),"")</f>
        <v/>
      </c>
      <c r="SQ56" s="76" t="str">
        <f aca="false">IF($I56&gt;0%,IF(AND(SQ$16&gt;=$F56,SQ$16&lt;$F56+($G56*$I56)),"➤",""),"")</f>
        <v/>
      </c>
      <c r="SR56" s="76" t="str">
        <f aca="false">IF($I56&gt;0%,IF(AND(SR$16&gt;=$F56,SR$16&lt;$F56+($G56*$I56)),"➤",""),"")</f>
        <v/>
      </c>
      <c r="SS56" s="76" t="str">
        <f aca="false">IF($I56&gt;0%,IF(AND(SS$16&gt;=$F56,SS$16&lt;$F56+($G56*$I56)),"➤",""),"")</f>
        <v/>
      </c>
      <c r="ST56" s="76" t="str">
        <f aca="false">IF($I56&gt;0%,IF(AND(ST$16&gt;=$F56,ST$16&lt;$F56+($G56*$I56)),"➤",""),"")</f>
        <v/>
      </c>
      <c r="SU56" s="76" t="str">
        <f aca="false">IF($I56&gt;0%,IF(AND(SU$16&gt;=$F56,SU$16&lt;$F56+($G56*$I56)),"➤",""),"")</f>
        <v/>
      </c>
      <c r="SV56" s="76" t="str">
        <f aca="false">IF($I56&gt;0%,IF(AND(SV$16&gt;=$F56,SV$16&lt;$F56+($G56*$I56)),"➤",""),"")</f>
        <v/>
      </c>
      <c r="SW56" s="77" t="str">
        <f aca="false">IF($I56&gt;0%,IF(AND(SW$16&gt;=$F56,SW$16&lt;$F56+($G56*$I56)),"➤",""),"")</f>
        <v/>
      </c>
    </row>
    <row r="57" customFormat="false" ht="14.25" hidden="false" customHeight="false" outlineLevel="1" collapsed="false">
      <c r="C57" s="10"/>
      <c r="D57" s="112"/>
      <c r="E57" s="79"/>
      <c r="F57" s="92" t="n">
        <v>44195</v>
      </c>
      <c r="G57" s="109" t="n">
        <v>3</v>
      </c>
      <c r="H57" s="94" t="n">
        <f aca="false">(F57+G57)-1</f>
        <v>44197</v>
      </c>
      <c r="I57" s="95" t="n">
        <v>0</v>
      </c>
      <c r="J57" s="84"/>
      <c r="K57" s="85"/>
      <c r="L57" s="75" t="str">
        <f aca="false">IF($I57&gt;0%,IF(AND(L$16&gt;=$F57,L$16&lt;$F57+($G57*$I57)),"➤",""),"")</f>
        <v/>
      </c>
      <c r="M57" s="76" t="str">
        <f aca="false">IF($I57&gt;0%,IF(AND(M$16&gt;=$F57,M$16&lt;$F57+($G57*$I57)),"➤",""),"")</f>
        <v/>
      </c>
      <c r="N57" s="76" t="str">
        <f aca="false">IF($I57&gt;0%,IF(AND(N$16&gt;=$F57,N$16&lt;$F57+($G57*$I57)),"➤",""),"")</f>
        <v/>
      </c>
      <c r="O57" s="76" t="str">
        <f aca="false">IF($I57&gt;0%,IF(AND(O$16&gt;=$F57,O$16&lt;$F57+($G57*$I57)),"➤",""),"")</f>
        <v/>
      </c>
      <c r="P57" s="76" t="str">
        <f aca="false">IF($I57&gt;0%,IF(AND(P$16&gt;=$F57,P$16&lt;$F57+($G57*$I57)),"➤",""),"")</f>
        <v/>
      </c>
      <c r="Q57" s="76" t="str">
        <f aca="false">IF($I57&gt;0%,IF(AND(Q$16&gt;=$F57,Q$16&lt;$F57+($G57*$I57)),"➤",""),"")</f>
        <v/>
      </c>
      <c r="R57" s="76" t="str">
        <f aca="false">IF($I57&gt;0%,IF(AND(R$16&gt;=$F57,R$16&lt;$F57+($G57*$I57)),"➤",""),"")</f>
        <v/>
      </c>
      <c r="S57" s="76" t="str">
        <f aca="false">IF($I57&gt;0%,IF(AND(S$16&gt;=$F57,S$16&lt;$F57+($G57*$I57)),"➤",""),"")</f>
        <v/>
      </c>
      <c r="T57" s="76" t="str">
        <f aca="false">IF($I57&gt;0%,IF(AND(T$16&gt;=$F57,T$16&lt;$F57+($G57*$I57)),"➤",""),"")</f>
        <v/>
      </c>
      <c r="U57" s="76" t="str">
        <f aca="false">IF($I57&gt;0%,IF(AND(U$16&gt;=$F57,U$16&lt;$F57+($G57*$I57)),"➤",""),"")</f>
        <v/>
      </c>
      <c r="V57" s="76" t="str">
        <f aca="false">IF($I57&gt;0%,IF(AND(V$16&gt;=$F57,V$16&lt;$F57+($G57*$I57)),"➤",""),"")</f>
        <v/>
      </c>
      <c r="W57" s="76" t="str">
        <f aca="false">IF($I57&gt;0%,IF(AND(W$16&gt;=$F57,W$16&lt;$F57+($G57*$I57)),"➤",""),"")</f>
        <v/>
      </c>
      <c r="X57" s="76" t="str">
        <f aca="false">IF($I57&gt;0%,IF(AND(X$16&gt;=$F57,X$16&lt;$F57+($G57*$I57)),"➤",""),"")</f>
        <v/>
      </c>
      <c r="Y57" s="76" t="str">
        <f aca="false">IF($I57&gt;0%,IF(AND(Y$16&gt;=$F57,Y$16&lt;$F57+($G57*$I57)),"➤",""),"")</f>
        <v/>
      </c>
      <c r="Z57" s="76" t="str">
        <f aca="false">IF($I57&gt;0%,IF(AND(Z$16&gt;=$F57,Z$16&lt;$F57+($G57*$I57)),"➤",""),"")</f>
        <v/>
      </c>
      <c r="AA57" s="76" t="str">
        <f aca="false">IF($I57&gt;0%,IF(AND(AA$16&gt;=$F57,AA$16&lt;$F57+($G57*$I57)),"➤",""),"")</f>
        <v/>
      </c>
      <c r="AB57" s="76" t="str">
        <f aca="false">IF($I57&gt;0%,IF(AND(AB$16&gt;=$F57,AB$16&lt;$F57+($G57*$I57)),"➤",""),"")</f>
        <v/>
      </c>
      <c r="AC57" s="76" t="str">
        <f aca="false">IF($I57&gt;0%,IF(AND(AC$16&gt;=$F57,AC$16&lt;$F57+($G57*$I57)),"➤",""),"")</f>
        <v/>
      </c>
      <c r="AD57" s="76" t="str">
        <f aca="false">IF($I57&gt;0%,IF(AND(AD$16&gt;=$F57,AD$16&lt;$F57+($G57*$I57)),"➤",""),"")</f>
        <v/>
      </c>
      <c r="AE57" s="76" t="str">
        <f aca="false">IF($I57&gt;0%,IF(AND(AE$16&gt;=$F57,AE$16&lt;$F57+($G57*$I57)),"➤",""),"")</f>
        <v/>
      </c>
      <c r="AF57" s="76" t="str">
        <f aca="false">IF($I57&gt;0%,IF(AND(AF$16&gt;=$F57,AF$16&lt;$F57+($G57*$I57)),"➤",""),"")</f>
        <v/>
      </c>
      <c r="AG57" s="76" t="str">
        <f aca="false">IF($I57&gt;0%,IF(AND(AG$16&gt;=$F57,AG$16&lt;$F57+($G57*$I57)),"➤",""),"")</f>
        <v/>
      </c>
      <c r="AH57" s="76" t="str">
        <f aca="false">IF($I57&gt;0%,IF(AND(AH$16&gt;=$F57,AH$16&lt;$F57+($G57*$I57)),"➤",""),"")</f>
        <v/>
      </c>
      <c r="AI57" s="76" t="str">
        <f aca="false">IF($I57&gt;0%,IF(AND(AI$16&gt;=$F57,AI$16&lt;$F57+($G57*$I57)),"➤",""),"")</f>
        <v/>
      </c>
      <c r="AJ57" s="76" t="str">
        <f aca="false">IF($I57&gt;0%,IF(AND(AJ$16&gt;=$F57,AJ$16&lt;$F57+($G57*$I57)),"➤",""),"")</f>
        <v/>
      </c>
      <c r="AK57" s="76" t="str">
        <f aca="false">IF($I57&gt;0%,IF(AND(AK$16&gt;=$F57,AK$16&lt;$F57+($G57*$I57)),"➤",""),"")</f>
        <v/>
      </c>
      <c r="AL57" s="76" t="str">
        <f aca="false">IF($I57&gt;0%,IF(AND(AL$16&gt;=$F57,AL$16&lt;$F57+($G57*$I57)),"➤",""),"")</f>
        <v/>
      </c>
      <c r="AM57" s="76" t="str">
        <f aca="false">IF($I57&gt;0%,IF(AND(AM$16&gt;=$F57,AM$16&lt;$F57+($G57*$I57)),"➤",""),"")</f>
        <v/>
      </c>
      <c r="AN57" s="76" t="str">
        <f aca="false">IF($I57&gt;0%,IF(AND(AN$16&gt;=$F57,AN$16&lt;$F57+($G57*$I57)),"➤",""),"")</f>
        <v/>
      </c>
      <c r="AO57" s="76" t="str">
        <f aca="false">IF($I57&gt;0%,IF(AND(AO$16&gt;=$F57,AO$16&lt;$F57+($G57*$I57)),"➤",""),"")</f>
        <v/>
      </c>
      <c r="AP57" s="76" t="str">
        <f aca="false">IF($I57&gt;0%,IF(AND(AP$16&gt;=$F57,AP$16&lt;$F57+($G57*$I57)),"➤",""),"")</f>
        <v/>
      </c>
      <c r="AQ57" s="76" t="str">
        <f aca="false">IF($I57&gt;0%,IF(AND(AQ$16&gt;=$F57,AQ$16&lt;$F57+($G57*$I57)),"➤",""),"")</f>
        <v/>
      </c>
      <c r="AR57" s="76" t="str">
        <f aca="false">IF($I57&gt;0%,IF(AND(AR$16&gt;=$F57,AR$16&lt;$F57+($G57*$I57)),"➤",""),"")</f>
        <v/>
      </c>
      <c r="AS57" s="76" t="str">
        <f aca="false">IF($I57&gt;0%,IF(AND(AS$16&gt;=$F57,AS$16&lt;$F57+($G57*$I57)),"➤",""),"")</f>
        <v/>
      </c>
      <c r="AT57" s="76" t="str">
        <f aca="false">IF($I57&gt;0%,IF(AND(AT$16&gt;=$F57,AT$16&lt;$F57+($G57*$I57)),"➤",""),"")</f>
        <v/>
      </c>
      <c r="AU57" s="76" t="str">
        <f aca="false">IF($I57&gt;0%,IF(AND(AU$16&gt;=$F57,AU$16&lt;$F57+($G57*$I57)),"➤",""),"")</f>
        <v/>
      </c>
      <c r="AV57" s="76" t="str">
        <f aca="false">IF($I57&gt;0%,IF(AND(AV$16&gt;=$F57,AV$16&lt;$F57+($G57*$I57)),"➤",""),"")</f>
        <v/>
      </c>
      <c r="AW57" s="76" t="str">
        <f aca="false">IF($I57&gt;0%,IF(AND(AW$16&gt;=$F57,AW$16&lt;$F57+($G57*$I57)),"➤",""),"")</f>
        <v/>
      </c>
      <c r="AX57" s="76" t="str">
        <f aca="false">IF($I57&gt;0%,IF(AND(AX$16&gt;=$F57,AX$16&lt;$F57+($G57*$I57)),"➤",""),"")</f>
        <v/>
      </c>
      <c r="AY57" s="76" t="str">
        <f aca="false">IF($I57&gt;0%,IF(AND(AY$16&gt;=$F57,AY$16&lt;$F57+($G57*$I57)),"➤",""),"")</f>
        <v/>
      </c>
      <c r="AZ57" s="76" t="str">
        <f aca="false">IF($I57&gt;0%,IF(AND(AZ$16&gt;=$F57,AZ$16&lt;$F57+($G57*$I57)),"➤",""),"")</f>
        <v/>
      </c>
      <c r="BA57" s="76" t="str">
        <f aca="false">IF($I57&gt;0%,IF(AND(BA$16&gt;=$F57,BA$16&lt;$F57+($G57*$I57)),"➤",""),"")</f>
        <v/>
      </c>
      <c r="BB57" s="76" t="str">
        <f aca="false">IF($I57&gt;0%,IF(AND(BB$16&gt;=$F57,BB$16&lt;$F57+($G57*$I57)),"➤",""),"")</f>
        <v/>
      </c>
      <c r="BC57" s="76" t="str">
        <f aca="false">IF($I57&gt;0%,IF(AND(BC$16&gt;=$F57,BC$16&lt;$F57+($G57*$I57)),"➤",""),"")</f>
        <v/>
      </c>
      <c r="BD57" s="76" t="str">
        <f aca="false">IF($I57&gt;0%,IF(AND(BD$16&gt;=$F57,BD$16&lt;$F57+($G57*$I57)),"➤",""),"")</f>
        <v/>
      </c>
      <c r="BE57" s="76" t="str">
        <f aca="false">IF($I57&gt;0%,IF(AND(BE$16&gt;=$F57,BE$16&lt;$F57+($G57*$I57)),"➤",""),"")</f>
        <v/>
      </c>
      <c r="BF57" s="76" t="str">
        <f aca="false">IF($I57&gt;0%,IF(AND(BF$16&gt;=$F57,BF$16&lt;$F57+($G57*$I57)),"➤",""),"")</f>
        <v/>
      </c>
      <c r="BG57" s="76" t="str">
        <f aca="false">IF($I57&gt;0%,IF(AND(BG$16&gt;=$F57,BG$16&lt;$F57+($G57*$I57)),"➤",""),"")</f>
        <v/>
      </c>
      <c r="BH57" s="76" t="str">
        <f aca="false">IF($I57&gt;0%,IF(AND(BH$16&gt;=$F57,BH$16&lt;$F57+($G57*$I57)),"➤",""),"")</f>
        <v/>
      </c>
      <c r="BI57" s="76" t="str">
        <f aca="false">IF($I57&gt;0%,IF(AND(BI$16&gt;=$F57,BI$16&lt;$F57+($G57*$I57)),"➤",""),"")</f>
        <v/>
      </c>
      <c r="BJ57" s="76" t="str">
        <f aca="false">IF($I57&gt;0%,IF(AND(BJ$16&gt;=$F57,BJ$16&lt;$F57+($G57*$I57)),"➤",""),"")</f>
        <v/>
      </c>
      <c r="BK57" s="76" t="str">
        <f aca="false">IF($I57&gt;0%,IF(AND(BK$16&gt;=$F57,BK$16&lt;$F57+($G57*$I57)),"➤",""),"")</f>
        <v/>
      </c>
      <c r="BL57" s="76" t="str">
        <f aca="false">IF($I57&gt;0%,IF(AND(BL$16&gt;=$F57,BL$16&lt;$F57+($G57*$I57)),"➤",""),"")</f>
        <v/>
      </c>
      <c r="BM57" s="76" t="str">
        <f aca="false">IF($I57&gt;0%,IF(AND(BM$16&gt;=$F57,BM$16&lt;$F57+($G57*$I57)),"➤",""),"")</f>
        <v/>
      </c>
      <c r="BN57" s="76" t="str">
        <f aca="false">IF($I57&gt;0%,IF(AND(BN$16&gt;=$F57,BN$16&lt;$F57+($G57*$I57)),"➤",""),"")</f>
        <v/>
      </c>
      <c r="BO57" s="76" t="str">
        <f aca="false">IF($I57&gt;0%,IF(AND(BO$16&gt;=$F57,BO$16&lt;$F57+($G57*$I57)),"➤",""),"")</f>
        <v/>
      </c>
      <c r="BP57" s="76" t="str">
        <f aca="false">IF($I57&gt;0%,IF(AND(BP$16&gt;=$F57,BP$16&lt;$F57+($G57*$I57)),"➤",""),"")</f>
        <v/>
      </c>
      <c r="BQ57" s="76" t="str">
        <f aca="false">IF($I57&gt;0%,IF(AND(BQ$16&gt;=$F57,BQ$16&lt;$F57+($G57*$I57)),"➤",""),"")</f>
        <v/>
      </c>
      <c r="BR57" s="76" t="str">
        <f aca="false">IF($I57&gt;0%,IF(AND(BR$16&gt;=$F57,BR$16&lt;$F57+($G57*$I57)),"➤",""),"")</f>
        <v/>
      </c>
      <c r="BS57" s="76" t="str">
        <f aca="false">IF($I57&gt;0%,IF(AND(BS$16&gt;=$F57,BS$16&lt;$F57+($G57*$I57)),"➤",""),"")</f>
        <v/>
      </c>
      <c r="BT57" s="76" t="str">
        <f aca="false">IF($I57&gt;0%,IF(AND(BT$16&gt;=$F57,BT$16&lt;$F57+($G57*$I57)),"➤",""),"")</f>
        <v/>
      </c>
      <c r="BU57" s="76" t="str">
        <f aca="false">IF($I57&gt;0%,IF(AND(BU$16&gt;=$F57,BU$16&lt;$F57+($G57*$I57)),"➤",""),"")</f>
        <v/>
      </c>
      <c r="BV57" s="76" t="str">
        <f aca="false">IF($I57&gt;0%,IF(AND(BV$16&gt;=$F57,BV$16&lt;$F57+($G57*$I57)),"➤",""),"")</f>
        <v/>
      </c>
      <c r="BW57" s="76" t="str">
        <f aca="false">IF($I57&gt;0%,IF(AND(BW$16&gt;=$F57,BW$16&lt;$F57+($G57*$I57)),"➤",""),"")</f>
        <v/>
      </c>
      <c r="BX57" s="76" t="str">
        <f aca="false">IF($I57&gt;0%,IF(AND(BX$16&gt;=$F57,BX$16&lt;$F57+($G57*$I57)),"➤",""),"")</f>
        <v/>
      </c>
      <c r="BY57" s="76" t="str">
        <f aca="false">IF($I57&gt;0%,IF(AND(BY$16&gt;=$F57,BY$16&lt;$F57+($G57*$I57)),"➤",""),"")</f>
        <v/>
      </c>
      <c r="BZ57" s="76" t="str">
        <f aca="false">IF($I57&gt;0%,IF(AND(BZ$16&gt;=$F57,BZ$16&lt;$F57+($G57*$I57)),"➤",""),"")</f>
        <v/>
      </c>
      <c r="CA57" s="76" t="str">
        <f aca="false">IF($I57&gt;0%,IF(AND(CA$16&gt;=$F57,CA$16&lt;$F57+($G57*$I57)),"➤",""),"")</f>
        <v/>
      </c>
      <c r="CB57" s="76" t="str">
        <f aca="false">IF($I57&gt;0%,IF(AND(CB$16&gt;=$F57,CB$16&lt;$F57+($G57*$I57)),"➤",""),"")</f>
        <v/>
      </c>
      <c r="CC57" s="76" t="str">
        <f aca="false">IF($I57&gt;0%,IF(AND(CC$16&gt;=$F57,CC$16&lt;$F57+($G57*$I57)),"➤",""),"")</f>
        <v/>
      </c>
      <c r="CD57" s="76" t="str">
        <f aca="false">IF($I57&gt;0%,IF(AND(CD$16&gt;=$F57,CD$16&lt;$F57+($G57*$I57)),"➤",""),"")</f>
        <v/>
      </c>
      <c r="CE57" s="76" t="str">
        <f aca="false">IF($I57&gt;0%,IF(AND(CE$16&gt;=$F57,CE$16&lt;$F57+($G57*$I57)),"➤",""),"")</f>
        <v/>
      </c>
      <c r="CF57" s="76" t="str">
        <f aca="false">IF($I57&gt;0%,IF(AND(CF$16&gt;=$F57,CF$16&lt;$F57+($G57*$I57)),"➤",""),"")</f>
        <v/>
      </c>
      <c r="CG57" s="76" t="str">
        <f aca="false">IF($I57&gt;0%,IF(AND(CG$16&gt;=$F57,CG$16&lt;$F57+($G57*$I57)),"➤",""),"")</f>
        <v/>
      </c>
      <c r="CH57" s="76" t="str">
        <f aca="false">IF($I57&gt;0%,IF(AND(CH$16&gt;=$F57,CH$16&lt;$F57+($G57*$I57)),"➤",""),"")</f>
        <v/>
      </c>
      <c r="CI57" s="76" t="str">
        <f aca="false">IF($I57&gt;0%,IF(AND(CI$16&gt;=$F57,CI$16&lt;$F57+($G57*$I57)),"➤",""),"")</f>
        <v/>
      </c>
      <c r="CJ57" s="76" t="str">
        <f aca="false">IF($I57&gt;0%,IF(AND(CJ$16&gt;=$F57,CJ$16&lt;$F57+($G57*$I57)),"➤",""),"")</f>
        <v/>
      </c>
      <c r="CK57" s="76" t="str">
        <f aca="false">IF($I57&gt;0%,IF(AND(CK$16&gt;=$F57,CK$16&lt;$F57+($G57*$I57)),"➤",""),"")</f>
        <v/>
      </c>
      <c r="CL57" s="76" t="str">
        <f aca="false">IF($I57&gt;0%,IF(AND(CL$16&gt;=$F57,CL$16&lt;$F57+($G57*$I57)),"➤",""),"")</f>
        <v/>
      </c>
      <c r="CM57" s="76" t="str">
        <f aca="false">IF($I57&gt;0%,IF(AND(CM$16&gt;=$F57,CM$16&lt;$F57+($G57*$I57)),"➤",""),"")</f>
        <v/>
      </c>
      <c r="CN57" s="76" t="str">
        <f aca="false">IF($I57&gt;0%,IF(AND(CN$16&gt;=$F57,CN$16&lt;$F57+($G57*$I57)),"➤",""),"")</f>
        <v/>
      </c>
      <c r="CO57" s="76" t="str">
        <f aca="false">IF($I57&gt;0%,IF(AND(CO$16&gt;=$F57,CO$16&lt;$F57+($G57*$I57)),"➤",""),"")</f>
        <v/>
      </c>
      <c r="CP57" s="76" t="str">
        <f aca="false">IF($I57&gt;0%,IF(AND(CP$16&gt;=$F57,CP$16&lt;$F57+($G57*$I57)),"➤",""),"")</f>
        <v/>
      </c>
      <c r="CQ57" s="76" t="str">
        <f aca="false">IF($I57&gt;0%,IF(AND(CQ$16&gt;=$F57,CQ$16&lt;$F57+($G57*$I57)),"➤",""),"")</f>
        <v/>
      </c>
      <c r="CR57" s="76" t="str">
        <f aca="false">IF($I57&gt;0%,IF(AND(CR$16&gt;=$F57,CR$16&lt;$F57+($G57*$I57)),"➤",""),"")</f>
        <v/>
      </c>
      <c r="CS57" s="76" t="str">
        <f aca="false">IF($I57&gt;0%,IF(AND(CS$16&gt;=$F57,CS$16&lt;$F57+($G57*$I57)),"➤",""),"")</f>
        <v/>
      </c>
      <c r="CT57" s="76" t="str">
        <f aca="false">IF($I57&gt;0%,IF(AND(CT$16&gt;=$F57,CT$16&lt;$F57+($G57*$I57)),"➤",""),"")</f>
        <v/>
      </c>
      <c r="CU57" s="76" t="str">
        <f aca="false">IF($I57&gt;0%,IF(AND(CU$16&gt;=$F57,CU$16&lt;$F57+($G57*$I57)),"➤",""),"")</f>
        <v/>
      </c>
      <c r="CV57" s="76" t="str">
        <f aca="false">IF($I57&gt;0%,IF(AND(CV$16&gt;=$F57,CV$16&lt;$F57+($G57*$I57)),"➤",""),"")</f>
        <v/>
      </c>
      <c r="CW57" s="76" t="str">
        <f aca="false">IF($I57&gt;0%,IF(AND(CW$16&gt;=$F57,CW$16&lt;$F57+($G57*$I57)),"➤",""),"")</f>
        <v/>
      </c>
      <c r="CX57" s="76" t="str">
        <f aca="false">IF($I57&gt;0%,IF(AND(CX$16&gt;=$F57,CX$16&lt;$F57+($G57*$I57)),"➤",""),"")</f>
        <v/>
      </c>
      <c r="CY57" s="76" t="str">
        <f aca="false">IF($I57&gt;0%,IF(AND(CY$16&gt;=$F57,CY$16&lt;$F57+($G57*$I57)),"➤",""),"")</f>
        <v/>
      </c>
      <c r="CZ57" s="76" t="str">
        <f aca="false">IF($I57&gt;0%,IF(AND(CZ$16&gt;=$F57,CZ$16&lt;$F57+($G57*$I57)),"➤",""),"")</f>
        <v/>
      </c>
      <c r="DA57" s="76" t="str">
        <f aca="false">IF($I57&gt;0%,IF(AND(DA$16&gt;=$F57,DA$16&lt;$F57+($G57*$I57)),"➤",""),"")</f>
        <v/>
      </c>
      <c r="DB57" s="76" t="str">
        <f aca="false">IF($I57&gt;0%,IF(AND(DB$16&gt;=$F57,DB$16&lt;$F57+($G57*$I57)),"➤",""),"")</f>
        <v/>
      </c>
      <c r="DC57" s="76" t="str">
        <f aca="false">IF($I57&gt;0%,IF(AND(DC$16&gt;=$F57,DC$16&lt;$F57+($G57*$I57)),"➤",""),"")</f>
        <v/>
      </c>
      <c r="DD57" s="76" t="str">
        <f aca="false">IF($I57&gt;0%,IF(AND(DD$16&gt;=$F57,DD$16&lt;$F57+($G57*$I57)),"➤",""),"")</f>
        <v/>
      </c>
      <c r="DE57" s="76" t="str">
        <f aca="false">IF($I57&gt;0%,IF(AND(DE$16&gt;=$F57,DE$16&lt;$F57+($G57*$I57)),"➤",""),"")</f>
        <v/>
      </c>
      <c r="DF57" s="76" t="str">
        <f aca="false">IF($I57&gt;0%,IF(AND(DF$16&gt;=$F57,DF$16&lt;$F57+($G57*$I57)),"➤",""),"")</f>
        <v/>
      </c>
      <c r="DG57" s="76" t="str">
        <f aca="false">IF($I57&gt;0%,IF(AND(DG$16&gt;=$F57,DG$16&lt;$F57+($G57*$I57)),"➤",""),"")</f>
        <v/>
      </c>
      <c r="DH57" s="76" t="str">
        <f aca="false">IF($I57&gt;0%,IF(AND(DH$16&gt;=$F57,DH$16&lt;$F57+($G57*$I57)),"➤",""),"")</f>
        <v/>
      </c>
      <c r="DI57" s="76" t="str">
        <f aca="false">IF($I57&gt;0%,IF(AND(DI$16&gt;=$F57,DI$16&lt;$F57+($G57*$I57)),"➤",""),"")</f>
        <v/>
      </c>
      <c r="DJ57" s="76" t="str">
        <f aca="false">IF($I57&gt;0%,IF(AND(DJ$16&gt;=$F57,DJ$16&lt;$F57+($G57*$I57)),"➤",""),"")</f>
        <v/>
      </c>
      <c r="DK57" s="76" t="str">
        <f aca="false">IF($I57&gt;0%,IF(AND(DK$16&gt;=$F57,DK$16&lt;$F57+($G57*$I57)),"➤",""),"")</f>
        <v/>
      </c>
      <c r="DL57" s="76" t="str">
        <f aca="false">IF($I57&gt;0%,IF(AND(DL$16&gt;=$F57,DL$16&lt;$F57+($G57*$I57)),"➤",""),"")</f>
        <v/>
      </c>
      <c r="DM57" s="76" t="str">
        <f aca="false">IF($I57&gt;0%,IF(AND(DM$16&gt;=$F57,DM$16&lt;$F57+($G57*$I57)),"➤",""),"")</f>
        <v/>
      </c>
      <c r="DN57" s="76" t="str">
        <f aca="false">IF($I57&gt;0%,IF(AND(DN$16&gt;=$F57,DN$16&lt;$F57+($G57*$I57)),"➤",""),"")</f>
        <v/>
      </c>
      <c r="DO57" s="76" t="str">
        <f aca="false">IF($I57&gt;0%,IF(AND(DO$16&gt;=$F57,DO$16&lt;$F57+($G57*$I57)),"➤",""),"")</f>
        <v/>
      </c>
      <c r="DP57" s="76" t="str">
        <f aca="false">IF($I57&gt;0%,IF(AND(DP$16&gt;=$F57,DP$16&lt;$F57+($G57*$I57)),"➤",""),"")</f>
        <v/>
      </c>
      <c r="DQ57" s="76" t="str">
        <f aca="false">IF($I57&gt;0%,IF(AND(DQ$16&gt;=$F57,DQ$16&lt;$F57+($G57*$I57)),"➤",""),"")</f>
        <v/>
      </c>
      <c r="DR57" s="76" t="str">
        <f aca="false">IF($I57&gt;0%,IF(AND(DR$16&gt;=$F57,DR$16&lt;$F57+($G57*$I57)),"➤",""),"")</f>
        <v/>
      </c>
      <c r="DS57" s="76" t="str">
        <f aca="false">IF($I57&gt;0%,IF(AND(DS$16&gt;=$F57,DS$16&lt;$F57+($G57*$I57)),"➤",""),"")</f>
        <v/>
      </c>
      <c r="DT57" s="76" t="str">
        <f aca="false">IF($I57&gt;0%,IF(AND(DT$16&gt;=$F57,DT$16&lt;$F57+($G57*$I57)),"➤",""),"")</f>
        <v/>
      </c>
      <c r="DU57" s="76" t="str">
        <f aca="false">IF($I57&gt;0%,IF(AND(DU$16&gt;=$F57,DU$16&lt;$F57+($G57*$I57)),"➤",""),"")</f>
        <v/>
      </c>
      <c r="DV57" s="76" t="str">
        <f aca="false">IF($I57&gt;0%,IF(AND(DV$16&gt;=$F57,DV$16&lt;$F57+($G57*$I57)),"➤",""),"")</f>
        <v/>
      </c>
      <c r="DW57" s="76" t="str">
        <f aca="false">IF($I57&gt;0%,IF(AND(DW$16&gt;=$F57,DW$16&lt;$F57+($G57*$I57)),"➤",""),"")</f>
        <v/>
      </c>
      <c r="DX57" s="76" t="str">
        <f aca="false">IF($I57&gt;0%,IF(AND(DX$16&gt;=$F57,DX$16&lt;$F57+($G57*$I57)),"➤",""),"")</f>
        <v/>
      </c>
      <c r="DY57" s="76" t="str">
        <f aca="false">IF($I57&gt;0%,IF(AND(DY$16&gt;=$F57,DY$16&lt;$F57+($G57*$I57)),"➤",""),"")</f>
        <v/>
      </c>
      <c r="DZ57" s="76" t="str">
        <f aca="false">IF($I57&gt;0%,IF(AND(DZ$16&gt;=$F57,DZ$16&lt;$F57+($G57*$I57)),"➤",""),"")</f>
        <v/>
      </c>
      <c r="EA57" s="76" t="str">
        <f aca="false">IF($I57&gt;0%,IF(AND(EA$16&gt;=$F57,EA$16&lt;$F57+($G57*$I57)),"➤",""),"")</f>
        <v/>
      </c>
      <c r="EB57" s="76" t="str">
        <f aca="false">IF($I57&gt;0%,IF(AND(EB$16&gt;=$F57,EB$16&lt;$F57+($G57*$I57)),"➤",""),"")</f>
        <v/>
      </c>
      <c r="EC57" s="76" t="str">
        <f aca="false">IF($I57&gt;0%,IF(AND(EC$16&gt;=$F57,EC$16&lt;$F57+($G57*$I57)),"➤",""),"")</f>
        <v/>
      </c>
      <c r="ED57" s="76" t="str">
        <f aca="false">IF($I57&gt;0%,IF(AND(ED$16&gt;=$F57,ED$16&lt;$F57+($G57*$I57)),"➤",""),"")</f>
        <v/>
      </c>
      <c r="EE57" s="76" t="str">
        <f aca="false">IF($I57&gt;0%,IF(AND(EE$16&gt;=$F57,EE$16&lt;$F57+($G57*$I57)),"➤",""),"")</f>
        <v/>
      </c>
      <c r="EF57" s="76" t="str">
        <f aca="false">IF($I57&gt;0%,IF(AND(EF$16&gt;=$F57,EF$16&lt;$F57+($G57*$I57)),"➤",""),"")</f>
        <v/>
      </c>
      <c r="EG57" s="76" t="str">
        <f aca="false">IF($I57&gt;0%,IF(AND(EG$16&gt;=$F57,EG$16&lt;$F57+($G57*$I57)),"➤",""),"")</f>
        <v/>
      </c>
      <c r="EH57" s="76" t="str">
        <f aca="false">IF($I57&gt;0%,IF(AND(EH$16&gt;=$F57,EH$16&lt;$F57+($G57*$I57)),"➤",""),"")</f>
        <v/>
      </c>
      <c r="EI57" s="76" t="str">
        <f aca="false">IF($I57&gt;0%,IF(AND(EI$16&gt;=$F57,EI$16&lt;$F57+($G57*$I57)),"➤",""),"")</f>
        <v/>
      </c>
      <c r="EJ57" s="76" t="str">
        <f aca="false">IF($I57&gt;0%,IF(AND(EJ$16&gt;=$F57,EJ$16&lt;$F57+($G57*$I57)),"➤",""),"")</f>
        <v/>
      </c>
      <c r="EK57" s="76" t="str">
        <f aca="false">IF($I57&gt;0%,IF(AND(EK$16&gt;=$F57,EK$16&lt;$F57+($G57*$I57)),"➤",""),"")</f>
        <v/>
      </c>
      <c r="EL57" s="76" t="str">
        <f aca="false">IF($I57&gt;0%,IF(AND(EL$16&gt;=$F57,EL$16&lt;$F57+($G57*$I57)),"➤",""),"")</f>
        <v/>
      </c>
      <c r="EM57" s="76" t="str">
        <f aca="false">IF($I57&gt;0%,IF(AND(EM$16&gt;=$F57,EM$16&lt;$F57+($G57*$I57)),"➤",""),"")</f>
        <v/>
      </c>
      <c r="EN57" s="76" t="str">
        <f aca="false">IF($I57&gt;0%,IF(AND(EN$16&gt;=$F57,EN$16&lt;$F57+($G57*$I57)),"➤",""),"")</f>
        <v/>
      </c>
      <c r="EO57" s="76" t="str">
        <f aca="false">IF($I57&gt;0%,IF(AND(EO$16&gt;=$F57,EO$16&lt;$F57+($G57*$I57)),"➤",""),"")</f>
        <v/>
      </c>
      <c r="EP57" s="76" t="str">
        <f aca="false">IF($I57&gt;0%,IF(AND(EP$16&gt;=$F57,EP$16&lt;$F57+($G57*$I57)),"➤",""),"")</f>
        <v/>
      </c>
      <c r="EQ57" s="76" t="str">
        <f aca="false">IF($I57&gt;0%,IF(AND(EQ$16&gt;=$F57,EQ$16&lt;$F57+($G57*$I57)),"➤",""),"")</f>
        <v/>
      </c>
      <c r="ER57" s="76" t="str">
        <f aca="false">IF($I57&gt;0%,IF(AND(ER$16&gt;=$F57,ER$16&lt;$F57+($G57*$I57)),"➤",""),"")</f>
        <v/>
      </c>
      <c r="ES57" s="76" t="str">
        <f aca="false">IF($I57&gt;0%,IF(AND(ES$16&gt;=$F57,ES$16&lt;$F57+($G57*$I57)),"➤",""),"")</f>
        <v/>
      </c>
      <c r="ET57" s="76" t="str">
        <f aca="false">IF($I57&gt;0%,IF(AND(ET$16&gt;=$F57,ET$16&lt;$F57+($G57*$I57)),"➤",""),"")</f>
        <v/>
      </c>
      <c r="EU57" s="76" t="str">
        <f aca="false">IF($I57&gt;0%,IF(AND(EU$16&gt;=$F57,EU$16&lt;$F57+($G57*$I57)),"➤",""),"")</f>
        <v/>
      </c>
      <c r="EV57" s="76" t="str">
        <f aca="false">IF($I57&gt;0%,IF(AND(EV$16&gt;=$F57,EV$16&lt;$F57+($G57*$I57)),"➤",""),"")</f>
        <v/>
      </c>
      <c r="EW57" s="76" t="str">
        <f aca="false">IF($I57&gt;0%,IF(AND(EW$16&gt;=$F57,EW$16&lt;$F57+($G57*$I57)),"➤",""),"")</f>
        <v/>
      </c>
      <c r="EX57" s="76" t="str">
        <f aca="false">IF($I57&gt;0%,IF(AND(EX$16&gt;=$F57,EX$16&lt;$F57+($G57*$I57)),"➤",""),"")</f>
        <v/>
      </c>
      <c r="EY57" s="76" t="str">
        <f aca="false">IF($I57&gt;0%,IF(AND(EY$16&gt;=$F57,EY$16&lt;$F57+($G57*$I57)),"➤",""),"")</f>
        <v/>
      </c>
      <c r="EZ57" s="76" t="str">
        <f aca="false">IF($I57&gt;0%,IF(AND(EZ$16&gt;=$F57,EZ$16&lt;$F57+($G57*$I57)),"➤",""),"")</f>
        <v/>
      </c>
      <c r="FA57" s="76" t="str">
        <f aca="false">IF($I57&gt;0%,IF(AND(FA$16&gt;=$F57,FA$16&lt;$F57+($G57*$I57)),"➤",""),"")</f>
        <v/>
      </c>
      <c r="FB57" s="76" t="str">
        <f aca="false">IF($I57&gt;0%,IF(AND(FB$16&gt;=$F57,FB$16&lt;$F57+($G57*$I57)),"➤",""),"")</f>
        <v/>
      </c>
      <c r="FC57" s="76" t="str">
        <f aca="false">IF($I57&gt;0%,IF(AND(FC$16&gt;=$F57,FC$16&lt;$F57+($G57*$I57)),"➤",""),"")</f>
        <v/>
      </c>
      <c r="FD57" s="76" t="str">
        <f aca="false">IF($I57&gt;0%,IF(AND(FD$16&gt;=$F57,FD$16&lt;$F57+($G57*$I57)),"➤",""),"")</f>
        <v/>
      </c>
      <c r="FE57" s="76" t="str">
        <f aca="false">IF($I57&gt;0%,IF(AND(FE$16&gt;=$F57,FE$16&lt;$F57+($G57*$I57)),"➤",""),"")</f>
        <v/>
      </c>
      <c r="FF57" s="76" t="str">
        <f aca="false">IF($I57&gt;0%,IF(AND(FF$16&gt;=$F57,FF$16&lt;$F57+($G57*$I57)),"➤",""),"")</f>
        <v/>
      </c>
      <c r="FG57" s="76" t="str">
        <f aca="false">IF($I57&gt;0%,IF(AND(FG$16&gt;=$F57,FG$16&lt;$F57+($G57*$I57)),"➤",""),"")</f>
        <v/>
      </c>
      <c r="FH57" s="76" t="str">
        <f aca="false">IF($I57&gt;0%,IF(AND(FH$16&gt;=$F57,FH$16&lt;$F57+($G57*$I57)),"➤",""),"")</f>
        <v/>
      </c>
      <c r="FI57" s="76" t="str">
        <f aca="false">IF($I57&gt;0%,IF(AND(FI$16&gt;=$F57,FI$16&lt;$F57+($G57*$I57)),"➤",""),"")</f>
        <v/>
      </c>
      <c r="FJ57" s="76" t="str">
        <f aca="false">IF($I57&gt;0%,IF(AND(FJ$16&gt;=$F57,FJ$16&lt;$F57+($G57*$I57)),"➤",""),"")</f>
        <v/>
      </c>
      <c r="FK57" s="76" t="str">
        <f aca="false">IF($I57&gt;0%,IF(AND(FK$16&gt;=$F57,FK$16&lt;$F57+($G57*$I57)),"➤",""),"")</f>
        <v/>
      </c>
      <c r="FL57" s="76" t="str">
        <f aca="false">IF($I57&gt;0%,IF(AND(FL$16&gt;=$F57,FL$16&lt;$F57+($G57*$I57)),"➤",""),"")</f>
        <v/>
      </c>
      <c r="FM57" s="76" t="str">
        <f aca="false">IF($I57&gt;0%,IF(AND(FM$16&gt;=$F57,FM$16&lt;$F57+($G57*$I57)),"➤",""),"")</f>
        <v/>
      </c>
      <c r="FN57" s="76" t="str">
        <f aca="false">IF($I57&gt;0%,IF(AND(FN$16&gt;=$F57,FN$16&lt;$F57+($G57*$I57)),"➤",""),"")</f>
        <v/>
      </c>
      <c r="FO57" s="76" t="str">
        <f aca="false">IF($I57&gt;0%,IF(AND(FO$16&gt;=$F57,FO$16&lt;$F57+($G57*$I57)),"➤",""),"")</f>
        <v/>
      </c>
      <c r="FP57" s="76" t="str">
        <f aca="false">IF($I57&gt;0%,IF(AND(FP$16&gt;=$F57,FP$16&lt;$F57+($G57*$I57)),"➤",""),"")</f>
        <v/>
      </c>
      <c r="FQ57" s="76" t="str">
        <f aca="false">IF($I57&gt;0%,IF(AND(FQ$16&gt;=$F57,FQ$16&lt;$F57+($G57*$I57)),"➤",""),"")</f>
        <v/>
      </c>
      <c r="FR57" s="76" t="str">
        <f aca="false">IF($I57&gt;0%,IF(AND(FR$16&gt;=$F57,FR$16&lt;$F57+($G57*$I57)),"➤",""),"")</f>
        <v/>
      </c>
      <c r="FS57" s="76" t="str">
        <f aca="false">IF($I57&gt;0%,IF(AND(FS$16&gt;=$F57,FS$16&lt;$F57+($G57*$I57)),"➤",""),"")</f>
        <v/>
      </c>
      <c r="FT57" s="76" t="str">
        <f aca="false">IF($I57&gt;0%,IF(AND(FT$16&gt;=$F57,FT$16&lt;$F57+($G57*$I57)),"➤",""),"")</f>
        <v/>
      </c>
      <c r="FU57" s="76" t="str">
        <f aca="false">IF($I57&gt;0%,IF(AND(FU$16&gt;=$F57,FU$16&lt;$F57+($G57*$I57)),"➤",""),"")</f>
        <v/>
      </c>
      <c r="FV57" s="76" t="str">
        <f aca="false">IF($I57&gt;0%,IF(AND(FV$16&gt;=$F57,FV$16&lt;$F57+($G57*$I57)),"➤",""),"")</f>
        <v/>
      </c>
      <c r="FW57" s="76" t="str">
        <f aca="false">IF($I57&gt;0%,IF(AND(FW$16&gt;=$F57,FW$16&lt;$F57+($G57*$I57)),"➤",""),"")</f>
        <v/>
      </c>
      <c r="FX57" s="76" t="str">
        <f aca="false">IF($I57&gt;0%,IF(AND(FX$16&gt;=$F57,FX$16&lt;$F57+($G57*$I57)),"➤",""),"")</f>
        <v/>
      </c>
      <c r="FY57" s="76" t="str">
        <f aca="false">IF($I57&gt;0%,IF(AND(FY$16&gt;=$F57,FY$16&lt;$F57+($G57*$I57)),"➤",""),"")</f>
        <v/>
      </c>
      <c r="FZ57" s="76" t="str">
        <f aca="false">IF($I57&gt;0%,IF(AND(FZ$16&gt;=$F57,FZ$16&lt;$F57+($G57*$I57)),"➤",""),"")</f>
        <v/>
      </c>
      <c r="GA57" s="76" t="str">
        <f aca="false">IF($I57&gt;0%,IF(AND(GA$16&gt;=$F57,GA$16&lt;$F57+($G57*$I57)),"➤",""),"")</f>
        <v/>
      </c>
      <c r="GB57" s="76" t="str">
        <f aca="false">IF($I57&gt;0%,IF(AND(GB$16&gt;=$F57,GB$16&lt;$F57+($G57*$I57)),"➤",""),"")</f>
        <v/>
      </c>
      <c r="GC57" s="76" t="str">
        <f aca="false">IF($I57&gt;0%,IF(AND(GC$16&gt;=$F57,GC$16&lt;$F57+($G57*$I57)),"➤",""),"")</f>
        <v/>
      </c>
      <c r="GD57" s="76" t="str">
        <f aca="false">IF($I57&gt;0%,IF(AND(GD$16&gt;=$F57,GD$16&lt;$F57+($G57*$I57)),"➤",""),"")</f>
        <v/>
      </c>
      <c r="GE57" s="76" t="str">
        <f aca="false">IF($I57&gt;0%,IF(AND(GE$16&gt;=$F57,GE$16&lt;$F57+($G57*$I57)),"➤",""),"")</f>
        <v/>
      </c>
      <c r="GF57" s="76" t="str">
        <f aca="false">IF($I57&gt;0%,IF(AND(GF$16&gt;=$F57,GF$16&lt;$F57+($G57*$I57)),"➤",""),"")</f>
        <v/>
      </c>
      <c r="GG57" s="76" t="str">
        <f aca="false">IF($I57&gt;0%,IF(AND(GG$16&gt;=$F57,GG$16&lt;$F57+($G57*$I57)),"➤",""),"")</f>
        <v/>
      </c>
      <c r="GH57" s="76" t="str">
        <f aca="false">IF($I57&gt;0%,IF(AND(GH$16&gt;=$F57,GH$16&lt;$F57+($G57*$I57)),"➤",""),"")</f>
        <v/>
      </c>
      <c r="GI57" s="76" t="str">
        <f aca="false">IF($I57&gt;0%,IF(AND(GI$16&gt;=$F57,GI$16&lt;$F57+($G57*$I57)),"➤",""),"")</f>
        <v/>
      </c>
      <c r="GJ57" s="76" t="str">
        <f aca="false">IF($I57&gt;0%,IF(AND(GJ$16&gt;=$F57,GJ$16&lt;$F57+($G57*$I57)),"➤",""),"")</f>
        <v/>
      </c>
      <c r="GK57" s="76" t="str">
        <f aca="false">IF($I57&gt;0%,IF(AND(GK$16&gt;=$F57,GK$16&lt;$F57+($G57*$I57)),"➤",""),"")</f>
        <v/>
      </c>
      <c r="GL57" s="76" t="str">
        <f aca="false">IF($I57&gt;0%,IF(AND(GL$16&gt;=$F57,GL$16&lt;$F57+($G57*$I57)),"➤",""),"")</f>
        <v/>
      </c>
      <c r="GM57" s="76" t="str">
        <f aca="false">IF($I57&gt;0%,IF(AND(GM$16&gt;=$F57,GM$16&lt;$F57+($G57*$I57)),"➤",""),"")</f>
        <v/>
      </c>
      <c r="GN57" s="76" t="str">
        <f aca="false">IF($I57&gt;0%,IF(AND(GN$16&gt;=$F57,GN$16&lt;$F57+($G57*$I57)),"➤",""),"")</f>
        <v/>
      </c>
      <c r="GO57" s="76" t="str">
        <f aca="false">IF($I57&gt;0%,IF(AND(GO$16&gt;=$F57,GO$16&lt;$F57+($G57*$I57)),"➤",""),"")</f>
        <v/>
      </c>
      <c r="GP57" s="76" t="str">
        <f aca="false">IF($I57&gt;0%,IF(AND(GP$16&gt;=$F57,GP$16&lt;$F57+($G57*$I57)),"➤",""),"")</f>
        <v/>
      </c>
      <c r="GQ57" s="76" t="str">
        <f aca="false">IF($I57&gt;0%,IF(AND(GQ$16&gt;=$F57,GQ$16&lt;$F57+($G57*$I57)),"➤",""),"")</f>
        <v/>
      </c>
      <c r="GR57" s="76" t="str">
        <f aca="false">IF($I57&gt;0%,IF(AND(GR$16&gt;=$F57,GR$16&lt;$F57+($G57*$I57)),"➤",""),"")</f>
        <v/>
      </c>
      <c r="GS57" s="76" t="str">
        <f aca="false">IF($I57&gt;0%,IF(AND(GS$16&gt;=$F57,GS$16&lt;$F57+($G57*$I57)),"➤",""),"")</f>
        <v/>
      </c>
      <c r="GT57" s="76" t="str">
        <f aca="false">IF($I57&gt;0%,IF(AND(GT$16&gt;=$F57,GT$16&lt;$F57+($G57*$I57)),"➤",""),"")</f>
        <v/>
      </c>
      <c r="GU57" s="76" t="str">
        <f aca="false">IF($I57&gt;0%,IF(AND(GU$16&gt;=$F57,GU$16&lt;$F57+($G57*$I57)),"➤",""),"")</f>
        <v/>
      </c>
      <c r="GV57" s="76" t="str">
        <f aca="false">IF($I57&gt;0%,IF(AND(GV$16&gt;=$F57,GV$16&lt;$F57+($G57*$I57)),"➤",""),"")</f>
        <v/>
      </c>
      <c r="GW57" s="76" t="str">
        <f aca="false">IF($I57&gt;0%,IF(AND(GW$16&gt;=$F57,GW$16&lt;$F57+($G57*$I57)),"➤",""),"")</f>
        <v/>
      </c>
      <c r="GX57" s="76" t="str">
        <f aca="false">IF($I57&gt;0%,IF(AND(GX$16&gt;=$F57,GX$16&lt;$F57+($G57*$I57)),"➤",""),"")</f>
        <v/>
      </c>
      <c r="GY57" s="76" t="str">
        <f aca="false">IF($I57&gt;0%,IF(AND(GY$16&gt;=$F57,GY$16&lt;$F57+($G57*$I57)),"➤",""),"")</f>
        <v/>
      </c>
      <c r="GZ57" s="76" t="str">
        <f aca="false">IF($I57&gt;0%,IF(AND(GZ$16&gt;=$F57,GZ$16&lt;$F57+($G57*$I57)),"➤",""),"")</f>
        <v/>
      </c>
      <c r="HA57" s="76" t="str">
        <f aca="false">IF($I57&gt;0%,IF(AND(HA$16&gt;=$F57,HA$16&lt;$F57+($G57*$I57)),"➤",""),"")</f>
        <v/>
      </c>
      <c r="HB57" s="76" t="str">
        <f aca="false">IF($I57&gt;0%,IF(AND(HB$16&gt;=$F57,HB$16&lt;$F57+($G57*$I57)),"➤",""),"")</f>
        <v/>
      </c>
      <c r="HC57" s="76" t="str">
        <f aca="false">IF($I57&gt;0%,IF(AND(HC$16&gt;=$F57,HC$16&lt;$F57+($G57*$I57)),"➤",""),"")</f>
        <v/>
      </c>
      <c r="HD57" s="76" t="str">
        <f aca="false">IF($I57&gt;0%,IF(AND(HD$16&gt;=$F57,HD$16&lt;$F57+($G57*$I57)),"➤",""),"")</f>
        <v/>
      </c>
      <c r="HE57" s="76" t="str">
        <f aca="false">IF($I57&gt;0%,IF(AND(HE$16&gt;=$F57,HE$16&lt;$F57+($G57*$I57)),"➤",""),"")</f>
        <v/>
      </c>
      <c r="HF57" s="76" t="str">
        <f aca="false">IF($I57&gt;0%,IF(AND(HF$16&gt;=$F57,HF$16&lt;$F57+($G57*$I57)),"➤",""),"")</f>
        <v/>
      </c>
      <c r="HG57" s="76" t="str">
        <f aca="false">IF($I57&gt;0%,IF(AND(HG$16&gt;=$F57,HG$16&lt;$F57+($G57*$I57)),"➤",""),"")</f>
        <v/>
      </c>
      <c r="HH57" s="76" t="str">
        <f aca="false">IF($I57&gt;0%,IF(AND(HH$16&gt;=$F57,HH$16&lt;$F57+($G57*$I57)),"➤",""),"")</f>
        <v/>
      </c>
      <c r="HI57" s="76" t="str">
        <f aca="false">IF($I57&gt;0%,IF(AND(HI$16&gt;=$F57,HI$16&lt;$F57+($G57*$I57)),"➤",""),"")</f>
        <v/>
      </c>
      <c r="HJ57" s="76" t="str">
        <f aca="false">IF($I57&gt;0%,IF(AND(HJ$16&gt;=$F57,HJ$16&lt;$F57+($G57*$I57)),"➤",""),"")</f>
        <v/>
      </c>
      <c r="HK57" s="76" t="str">
        <f aca="false">IF($I57&gt;0%,IF(AND(HK$16&gt;=$F57,HK$16&lt;$F57+($G57*$I57)),"➤",""),"")</f>
        <v/>
      </c>
      <c r="HL57" s="76" t="str">
        <f aca="false">IF($I57&gt;0%,IF(AND(HL$16&gt;=$F57,HL$16&lt;$F57+($G57*$I57)),"➤",""),"")</f>
        <v/>
      </c>
      <c r="HM57" s="76" t="str">
        <f aca="false">IF($I57&gt;0%,IF(AND(HM$16&gt;=$F57,HM$16&lt;$F57+($G57*$I57)),"➤",""),"")</f>
        <v/>
      </c>
      <c r="HN57" s="76" t="str">
        <f aca="false">IF($I57&gt;0%,IF(AND(HN$16&gt;=$F57,HN$16&lt;$F57+($G57*$I57)),"➤",""),"")</f>
        <v/>
      </c>
      <c r="HO57" s="76" t="str">
        <f aca="false">IF($I57&gt;0%,IF(AND(HO$16&gt;=$F57,HO$16&lt;$F57+($G57*$I57)),"➤",""),"")</f>
        <v/>
      </c>
      <c r="HP57" s="76" t="str">
        <f aca="false">IF($I57&gt;0%,IF(AND(HP$16&gt;=$F57,HP$16&lt;$F57+($G57*$I57)),"➤",""),"")</f>
        <v/>
      </c>
      <c r="HQ57" s="76" t="str">
        <f aca="false">IF($I57&gt;0%,IF(AND(HQ$16&gt;=$F57,HQ$16&lt;$F57+($G57*$I57)),"➤",""),"")</f>
        <v/>
      </c>
      <c r="HR57" s="76" t="str">
        <f aca="false">IF($I57&gt;0%,IF(AND(HR$16&gt;=$F57,HR$16&lt;$F57+($G57*$I57)),"➤",""),"")</f>
        <v/>
      </c>
      <c r="HS57" s="76" t="str">
        <f aca="false">IF($I57&gt;0%,IF(AND(HS$16&gt;=$F57,HS$16&lt;$F57+($G57*$I57)),"➤",""),"")</f>
        <v/>
      </c>
      <c r="HT57" s="76" t="str">
        <f aca="false">IF($I57&gt;0%,IF(AND(HT$16&gt;=$F57,HT$16&lt;$F57+($G57*$I57)),"➤",""),"")</f>
        <v/>
      </c>
      <c r="HU57" s="76" t="str">
        <f aca="false">IF($I57&gt;0%,IF(AND(HU$16&gt;=$F57,HU$16&lt;$F57+($G57*$I57)),"➤",""),"")</f>
        <v/>
      </c>
      <c r="HV57" s="76" t="str">
        <f aca="false">IF($I57&gt;0%,IF(AND(HV$16&gt;=$F57,HV$16&lt;$F57+($G57*$I57)),"➤",""),"")</f>
        <v/>
      </c>
      <c r="HW57" s="76" t="str">
        <f aca="false">IF($I57&gt;0%,IF(AND(HW$16&gt;=$F57,HW$16&lt;$F57+($G57*$I57)),"➤",""),"")</f>
        <v/>
      </c>
      <c r="HX57" s="76" t="str">
        <f aca="false">IF($I57&gt;0%,IF(AND(HX$16&gt;=$F57,HX$16&lt;$F57+($G57*$I57)),"➤",""),"")</f>
        <v/>
      </c>
      <c r="HY57" s="76" t="str">
        <f aca="false">IF($I57&gt;0%,IF(AND(HY$16&gt;=$F57,HY$16&lt;$F57+($G57*$I57)),"➤",""),"")</f>
        <v/>
      </c>
      <c r="HZ57" s="76" t="str">
        <f aca="false">IF($I57&gt;0%,IF(AND(HZ$16&gt;=$F57,HZ$16&lt;$F57+($G57*$I57)),"➤",""),"")</f>
        <v/>
      </c>
      <c r="IA57" s="76" t="str">
        <f aca="false">IF($I57&gt;0%,IF(AND(IA$16&gt;=$F57,IA$16&lt;$F57+($G57*$I57)),"➤",""),"")</f>
        <v/>
      </c>
      <c r="IB57" s="76" t="str">
        <f aca="false">IF($I57&gt;0%,IF(AND(IB$16&gt;=$F57,IB$16&lt;$F57+($G57*$I57)),"➤",""),"")</f>
        <v/>
      </c>
      <c r="IC57" s="76" t="str">
        <f aca="false">IF($I57&gt;0%,IF(AND(IC$16&gt;=$F57,IC$16&lt;$F57+($G57*$I57)),"➤",""),"")</f>
        <v/>
      </c>
      <c r="ID57" s="76" t="str">
        <f aca="false">IF($I57&gt;0%,IF(AND(ID$16&gt;=$F57,ID$16&lt;$F57+($G57*$I57)),"➤",""),"")</f>
        <v/>
      </c>
      <c r="IE57" s="76" t="str">
        <f aca="false">IF($I57&gt;0%,IF(AND(IE$16&gt;=$F57,IE$16&lt;$F57+($G57*$I57)),"➤",""),"")</f>
        <v/>
      </c>
      <c r="IF57" s="76" t="str">
        <f aca="false">IF($I57&gt;0%,IF(AND(IF$16&gt;=$F57,IF$16&lt;$F57+($G57*$I57)),"➤",""),"")</f>
        <v/>
      </c>
      <c r="IG57" s="76" t="str">
        <f aca="false">IF($I57&gt;0%,IF(AND(IG$16&gt;=$F57,IG$16&lt;$F57+($G57*$I57)),"➤",""),"")</f>
        <v/>
      </c>
      <c r="IH57" s="76" t="str">
        <f aca="false">IF($I57&gt;0%,IF(AND(IH$16&gt;=$F57,IH$16&lt;$F57+($G57*$I57)),"➤",""),"")</f>
        <v/>
      </c>
      <c r="II57" s="76" t="str">
        <f aca="false">IF($I57&gt;0%,IF(AND(II$16&gt;=$F57,II$16&lt;$F57+($G57*$I57)),"➤",""),"")</f>
        <v/>
      </c>
      <c r="IJ57" s="76" t="str">
        <f aca="false">IF($I57&gt;0%,IF(AND(IJ$16&gt;=$F57,IJ$16&lt;$F57+($G57*$I57)),"➤",""),"")</f>
        <v/>
      </c>
      <c r="IK57" s="76" t="str">
        <f aca="false">IF($I57&gt;0%,IF(AND(IK$16&gt;=$F57,IK$16&lt;$F57+($G57*$I57)),"➤",""),"")</f>
        <v/>
      </c>
      <c r="IL57" s="76" t="str">
        <f aca="false">IF($I57&gt;0%,IF(AND(IL$16&gt;=$F57,IL$16&lt;$F57+($G57*$I57)),"➤",""),"")</f>
        <v/>
      </c>
      <c r="IM57" s="76" t="str">
        <f aca="false">IF($I57&gt;0%,IF(AND(IM$16&gt;=$F57,IM$16&lt;$F57+($G57*$I57)),"➤",""),"")</f>
        <v/>
      </c>
      <c r="IN57" s="76" t="str">
        <f aca="false">IF($I57&gt;0%,IF(AND(IN$16&gt;=$F57,IN$16&lt;$F57+($G57*$I57)),"➤",""),"")</f>
        <v/>
      </c>
      <c r="IO57" s="76" t="str">
        <f aca="false">IF($I57&gt;0%,IF(AND(IO$16&gt;=$F57,IO$16&lt;$F57+($G57*$I57)),"➤",""),"")</f>
        <v/>
      </c>
      <c r="IP57" s="76" t="str">
        <f aca="false">IF($I57&gt;0%,IF(AND(IP$16&gt;=$F57,IP$16&lt;$F57+($G57*$I57)),"➤",""),"")</f>
        <v/>
      </c>
      <c r="IQ57" s="76" t="str">
        <f aca="false">IF($I57&gt;0%,IF(AND(IQ$16&gt;=$F57,IQ$16&lt;$F57+($G57*$I57)),"➤",""),"")</f>
        <v/>
      </c>
      <c r="IR57" s="76" t="str">
        <f aca="false">IF($I57&gt;0%,IF(AND(IR$16&gt;=$F57,IR$16&lt;$F57+($G57*$I57)),"➤",""),"")</f>
        <v/>
      </c>
      <c r="IS57" s="76" t="str">
        <f aca="false">IF($I57&gt;0%,IF(AND(IS$16&gt;=$F57,IS$16&lt;$F57+($G57*$I57)),"➤",""),"")</f>
        <v/>
      </c>
      <c r="IT57" s="76" t="str">
        <f aca="false">IF($I57&gt;0%,IF(AND(IT$16&gt;=$F57,IT$16&lt;$F57+($G57*$I57)),"➤",""),"")</f>
        <v/>
      </c>
      <c r="IU57" s="76" t="str">
        <f aca="false">IF($I57&gt;0%,IF(AND(IU$16&gt;=$F57,IU$16&lt;$F57+($G57*$I57)),"➤",""),"")</f>
        <v/>
      </c>
      <c r="IV57" s="76" t="str">
        <f aca="false">IF($I57&gt;0%,IF(AND(IV$16&gt;=$F57,IV$16&lt;$F57+($G57*$I57)),"➤",""),"")</f>
        <v/>
      </c>
      <c r="IW57" s="76" t="str">
        <f aca="false">IF($I57&gt;0%,IF(AND(IW$16&gt;=$F57,IW$16&lt;$F57+($G57*$I57)),"➤",""),"")</f>
        <v/>
      </c>
      <c r="IX57" s="76" t="str">
        <f aca="false">IF($I57&gt;0%,IF(AND(IX$16&gt;=$F57,IX$16&lt;$F57+($G57*$I57)),"➤",""),"")</f>
        <v/>
      </c>
      <c r="IY57" s="76" t="str">
        <f aca="false">IF($I57&gt;0%,IF(AND(IY$16&gt;=$F57,IY$16&lt;$F57+($G57*$I57)),"➤",""),"")</f>
        <v/>
      </c>
      <c r="IZ57" s="76" t="str">
        <f aca="false">IF($I57&gt;0%,IF(AND(IZ$16&gt;=$F57,IZ$16&lt;$F57+($G57*$I57)),"➤",""),"")</f>
        <v/>
      </c>
      <c r="JA57" s="76" t="str">
        <f aca="false">IF($I57&gt;0%,IF(AND(JA$16&gt;=$F57,JA$16&lt;$F57+($G57*$I57)),"➤",""),"")</f>
        <v/>
      </c>
      <c r="JB57" s="76" t="str">
        <f aca="false">IF($I57&gt;0%,IF(AND(JB$16&gt;=$F57,JB$16&lt;$F57+($G57*$I57)),"➤",""),"")</f>
        <v/>
      </c>
      <c r="JC57" s="76" t="str">
        <f aca="false">IF($I57&gt;0%,IF(AND(JC$16&gt;=$F57,JC$16&lt;$F57+($G57*$I57)),"➤",""),"")</f>
        <v/>
      </c>
      <c r="JD57" s="76" t="str">
        <f aca="false">IF($I57&gt;0%,IF(AND(JD$16&gt;=$F57,JD$16&lt;$F57+($G57*$I57)),"➤",""),"")</f>
        <v/>
      </c>
      <c r="JE57" s="76" t="str">
        <f aca="false">IF($I57&gt;0%,IF(AND(JE$16&gt;=$F57,JE$16&lt;$F57+($G57*$I57)),"➤",""),"")</f>
        <v/>
      </c>
      <c r="JF57" s="76" t="str">
        <f aca="false">IF($I57&gt;0%,IF(AND(JF$16&gt;=$F57,JF$16&lt;$F57+($G57*$I57)),"➤",""),"")</f>
        <v/>
      </c>
      <c r="JG57" s="76" t="str">
        <f aca="false">IF($I57&gt;0%,IF(AND(JG$16&gt;=$F57,JG$16&lt;$F57+($G57*$I57)),"➤",""),"")</f>
        <v/>
      </c>
      <c r="JH57" s="76" t="str">
        <f aca="false">IF($I57&gt;0%,IF(AND(JH$16&gt;=$F57,JH$16&lt;$F57+($G57*$I57)),"➤",""),"")</f>
        <v/>
      </c>
      <c r="JI57" s="76" t="str">
        <f aca="false">IF($I57&gt;0%,IF(AND(JI$16&gt;=$F57,JI$16&lt;$F57+($G57*$I57)),"➤",""),"")</f>
        <v/>
      </c>
      <c r="JJ57" s="76" t="str">
        <f aca="false">IF($I57&gt;0%,IF(AND(JJ$16&gt;=$F57,JJ$16&lt;$F57+($G57*$I57)),"➤",""),"")</f>
        <v/>
      </c>
      <c r="JK57" s="76" t="str">
        <f aca="false">IF($I57&gt;0%,IF(AND(JK$16&gt;=$F57,JK$16&lt;$F57+($G57*$I57)),"➤",""),"")</f>
        <v/>
      </c>
      <c r="JL57" s="76" t="str">
        <f aca="false">IF($I57&gt;0%,IF(AND(JL$16&gt;=$F57,JL$16&lt;$F57+($G57*$I57)),"➤",""),"")</f>
        <v/>
      </c>
      <c r="JM57" s="76" t="str">
        <f aca="false">IF($I57&gt;0%,IF(AND(JM$16&gt;=$F57,JM$16&lt;$F57+($G57*$I57)),"➤",""),"")</f>
        <v/>
      </c>
      <c r="JN57" s="76" t="str">
        <f aca="false">IF($I57&gt;0%,IF(AND(JN$16&gt;=$F57,JN$16&lt;$F57+($G57*$I57)),"➤",""),"")</f>
        <v/>
      </c>
      <c r="JO57" s="76" t="str">
        <f aca="false">IF($I57&gt;0%,IF(AND(JO$16&gt;=$F57,JO$16&lt;$F57+($G57*$I57)),"➤",""),"")</f>
        <v/>
      </c>
      <c r="JP57" s="76" t="str">
        <f aca="false">IF($I57&gt;0%,IF(AND(JP$16&gt;=$F57,JP$16&lt;$F57+($G57*$I57)),"➤",""),"")</f>
        <v/>
      </c>
      <c r="JQ57" s="76" t="str">
        <f aca="false">IF($I57&gt;0%,IF(AND(JQ$16&gt;=$F57,JQ$16&lt;$F57+($G57*$I57)),"➤",""),"")</f>
        <v/>
      </c>
      <c r="JR57" s="76" t="str">
        <f aca="false">IF($I57&gt;0%,IF(AND(JR$16&gt;=$F57,JR$16&lt;$F57+($G57*$I57)),"➤",""),"")</f>
        <v/>
      </c>
      <c r="JS57" s="76" t="str">
        <f aca="false">IF($I57&gt;0%,IF(AND(JS$16&gt;=$F57,JS$16&lt;$F57+($G57*$I57)),"➤",""),"")</f>
        <v/>
      </c>
      <c r="JT57" s="76" t="str">
        <f aca="false">IF($I57&gt;0%,IF(AND(JT$16&gt;=$F57,JT$16&lt;$F57+($G57*$I57)),"➤",""),"")</f>
        <v/>
      </c>
      <c r="JU57" s="76" t="str">
        <f aca="false">IF($I57&gt;0%,IF(AND(JU$16&gt;=$F57,JU$16&lt;$F57+($G57*$I57)),"➤",""),"")</f>
        <v/>
      </c>
      <c r="JV57" s="76" t="str">
        <f aca="false">IF($I57&gt;0%,IF(AND(JV$16&gt;=$F57,JV$16&lt;$F57+($G57*$I57)),"➤",""),"")</f>
        <v/>
      </c>
      <c r="JW57" s="76" t="str">
        <f aca="false">IF($I57&gt;0%,IF(AND(JW$16&gt;=$F57,JW$16&lt;$F57+($G57*$I57)),"➤",""),"")</f>
        <v/>
      </c>
      <c r="JX57" s="76" t="str">
        <f aca="false">IF($I57&gt;0%,IF(AND(JX$16&gt;=$F57,JX$16&lt;$F57+($G57*$I57)),"➤",""),"")</f>
        <v/>
      </c>
      <c r="JY57" s="76" t="str">
        <f aca="false">IF($I57&gt;0%,IF(AND(JY$16&gt;=$F57,JY$16&lt;$F57+($G57*$I57)),"➤",""),"")</f>
        <v/>
      </c>
      <c r="JZ57" s="76" t="str">
        <f aca="false">IF($I57&gt;0%,IF(AND(JZ$16&gt;=$F57,JZ$16&lt;$F57+($G57*$I57)),"➤",""),"")</f>
        <v/>
      </c>
      <c r="KA57" s="76" t="str">
        <f aca="false">IF($I57&gt;0%,IF(AND(KA$16&gt;=$F57,KA$16&lt;$F57+($G57*$I57)),"➤",""),"")</f>
        <v/>
      </c>
      <c r="KB57" s="76" t="str">
        <f aca="false">IF($I57&gt;0%,IF(AND(KB$16&gt;=$F57,KB$16&lt;$F57+($G57*$I57)),"➤",""),"")</f>
        <v/>
      </c>
      <c r="KC57" s="76" t="str">
        <f aca="false">IF($I57&gt;0%,IF(AND(KC$16&gt;=$F57,KC$16&lt;$F57+($G57*$I57)),"➤",""),"")</f>
        <v/>
      </c>
      <c r="KD57" s="76" t="str">
        <f aca="false">IF($I57&gt;0%,IF(AND(KD$16&gt;=$F57,KD$16&lt;$F57+($G57*$I57)),"➤",""),"")</f>
        <v/>
      </c>
      <c r="KE57" s="76" t="str">
        <f aca="false">IF($I57&gt;0%,IF(AND(KE$16&gt;=$F57,KE$16&lt;$F57+($G57*$I57)),"➤",""),"")</f>
        <v/>
      </c>
      <c r="KF57" s="76" t="str">
        <f aca="false">IF($I57&gt;0%,IF(AND(KF$16&gt;=$F57,KF$16&lt;$F57+($G57*$I57)),"➤",""),"")</f>
        <v/>
      </c>
      <c r="KG57" s="76" t="str">
        <f aca="false">IF($I57&gt;0%,IF(AND(KG$16&gt;=$F57,KG$16&lt;$F57+($G57*$I57)),"➤",""),"")</f>
        <v/>
      </c>
      <c r="KH57" s="76" t="str">
        <f aca="false">IF($I57&gt;0%,IF(AND(KH$16&gt;=$F57,KH$16&lt;$F57+($G57*$I57)),"➤",""),"")</f>
        <v/>
      </c>
      <c r="KI57" s="76" t="str">
        <f aca="false">IF($I57&gt;0%,IF(AND(KI$16&gt;=$F57,KI$16&lt;$F57+($G57*$I57)),"➤",""),"")</f>
        <v/>
      </c>
      <c r="KJ57" s="76" t="str">
        <f aca="false">IF($I57&gt;0%,IF(AND(KJ$16&gt;=$F57,KJ$16&lt;$F57+($G57*$I57)),"➤",""),"")</f>
        <v/>
      </c>
      <c r="KK57" s="76" t="str">
        <f aca="false">IF($I57&gt;0%,IF(AND(KK$16&gt;=$F57,KK$16&lt;$F57+($G57*$I57)),"➤",""),"")</f>
        <v/>
      </c>
      <c r="KL57" s="76" t="str">
        <f aca="false">IF($I57&gt;0%,IF(AND(KL$16&gt;=$F57,KL$16&lt;$F57+($G57*$I57)),"➤",""),"")</f>
        <v/>
      </c>
      <c r="KM57" s="76" t="str">
        <f aca="false">IF($I57&gt;0%,IF(AND(KM$16&gt;=$F57,KM$16&lt;$F57+($G57*$I57)),"➤",""),"")</f>
        <v/>
      </c>
      <c r="KN57" s="76" t="str">
        <f aca="false">IF($I57&gt;0%,IF(AND(KN$16&gt;=$F57,KN$16&lt;$F57+($G57*$I57)),"➤",""),"")</f>
        <v/>
      </c>
      <c r="KO57" s="76" t="str">
        <f aca="false">IF($I57&gt;0%,IF(AND(KO$16&gt;=$F57,KO$16&lt;$F57+($G57*$I57)),"➤",""),"")</f>
        <v/>
      </c>
      <c r="KP57" s="76" t="str">
        <f aca="false">IF($I57&gt;0%,IF(AND(KP$16&gt;=$F57,KP$16&lt;$F57+($G57*$I57)),"➤",""),"")</f>
        <v/>
      </c>
      <c r="KQ57" s="76" t="str">
        <f aca="false">IF($I57&gt;0%,IF(AND(KQ$16&gt;=$F57,KQ$16&lt;$F57+($G57*$I57)),"➤",""),"")</f>
        <v/>
      </c>
      <c r="KR57" s="76" t="str">
        <f aca="false">IF($I57&gt;0%,IF(AND(KR$16&gt;=$F57,KR$16&lt;$F57+($G57*$I57)),"➤",""),"")</f>
        <v/>
      </c>
      <c r="KS57" s="76" t="str">
        <f aca="false">IF($I57&gt;0%,IF(AND(KS$16&gt;=$F57,KS$16&lt;$F57+($G57*$I57)),"➤",""),"")</f>
        <v/>
      </c>
      <c r="KT57" s="76" t="str">
        <f aca="false">IF($I57&gt;0%,IF(AND(KT$16&gt;=$F57,KT$16&lt;$F57+($G57*$I57)),"➤",""),"")</f>
        <v/>
      </c>
      <c r="KU57" s="76" t="str">
        <f aca="false">IF($I57&gt;0%,IF(AND(KU$16&gt;=$F57,KU$16&lt;$F57+($G57*$I57)),"➤",""),"")</f>
        <v/>
      </c>
      <c r="KV57" s="76" t="str">
        <f aca="false">IF($I57&gt;0%,IF(AND(KV$16&gt;=$F57,KV$16&lt;$F57+($G57*$I57)),"➤",""),"")</f>
        <v/>
      </c>
      <c r="KW57" s="76" t="str">
        <f aca="false">IF($I57&gt;0%,IF(AND(KW$16&gt;=$F57,KW$16&lt;$F57+($G57*$I57)),"➤",""),"")</f>
        <v/>
      </c>
      <c r="KX57" s="76" t="str">
        <f aca="false">IF($I57&gt;0%,IF(AND(KX$16&gt;=$F57,KX$16&lt;$F57+($G57*$I57)),"➤",""),"")</f>
        <v/>
      </c>
      <c r="KY57" s="76" t="str">
        <f aca="false">IF($I57&gt;0%,IF(AND(KY$16&gt;=$F57,KY$16&lt;$F57+($G57*$I57)),"➤",""),"")</f>
        <v/>
      </c>
      <c r="KZ57" s="76" t="str">
        <f aca="false">IF($I57&gt;0%,IF(AND(KZ$16&gt;=$F57,KZ$16&lt;$F57+($G57*$I57)),"➤",""),"")</f>
        <v/>
      </c>
      <c r="LA57" s="76" t="str">
        <f aca="false">IF($I57&gt;0%,IF(AND(LA$16&gt;=$F57,LA$16&lt;$F57+($G57*$I57)),"➤",""),"")</f>
        <v/>
      </c>
      <c r="LB57" s="76" t="str">
        <f aca="false">IF($I57&gt;0%,IF(AND(LB$16&gt;=$F57,LB$16&lt;$F57+($G57*$I57)),"➤",""),"")</f>
        <v/>
      </c>
      <c r="LC57" s="76" t="str">
        <f aca="false">IF($I57&gt;0%,IF(AND(LC$16&gt;=$F57,LC$16&lt;$F57+($G57*$I57)),"➤",""),"")</f>
        <v/>
      </c>
      <c r="LD57" s="76" t="str">
        <f aca="false">IF($I57&gt;0%,IF(AND(LD$16&gt;=$F57,LD$16&lt;$F57+($G57*$I57)),"➤",""),"")</f>
        <v/>
      </c>
      <c r="LE57" s="76" t="str">
        <f aca="false">IF($I57&gt;0%,IF(AND(LE$16&gt;=$F57,LE$16&lt;$F57+($G57*$I57)),"➤",""),"")</f>
        <v/>
      </c>
      <c r="LF57" s="76" t="str">
        <f aca="false">IF($I57&gt;0%,IF(AND(LF$16&gt;=$F57,LF$16&lt;$F57+($G57*$I57)),"➤",""),"")</f>
        <v/>
      </c>
      <c r="LG57" s="76" t="str">
        <f aca="false">IF($I57&gt;0%,IF(AND(LG$16&gt;=$F57,LG$16&lt;$F57+($G57*$I57)),"➤",""),"")</f>
        <v/>
      </c>
      <c r="LH57" s="76" t="str">
        <f aca="false">IF($I57&gt;0%,IF(AND(LH$16&gt;=$F57,LH$16&lt;$F57+($G57*$I57)),"➤",""),"")</f>
        <v/>
      </c>
      <c r="LI57" s="76" t="str">
        <f aca="false">IF($I57&gt;0%,IF(AND(LI$16&gt;=$F57,LI$16&lt;$F57+($G57*$I57)),"➤",""),"")</f>
        <v/>
      </c>
      <c r="LJ57" s="76" t="str">
        <f aca="false">IF($I57&gt;0%,IF(AND(LJ$16&gt;=$F57,LJ$16&lt;$F57+($G57*$I57)),"➤",""),"")</f>
        <v/>
      </c>
      <c r="LK57" s="76" t="str">
        <f aca="false">IF($I57&gt;0%,IF(AND(LK$16&gt;=$F57,LK$16&lt;$F57+($G57*$I57)),"➤",""),"")</f>
        <v/>
      </c>
      <c r="LL57" s="76" t="str">
        <f aca="false">IF($I57&gt;0%,IF(AND(LL$16&gt;=$F57,LL$16&lt;$F57+($G57*$I57)),"➤",""),"")</f>
        <v/>
      </c>
      <c r="LM57" s="76" t="str">
        <f aca="false">IF($I57&gt;0%,IF(AND(LM$16&gt;=$F57,LM$16&lt;$F57+($G57*$I57)),"➤",""),"")</f>
        <v/>
      </c>
      <c r="LN57" s="76" t="str">
        <f aca="false">IF($I57&gt;0%,IF(AND(LN$16&gt;=$F57,LN$16&lt;$F57+($G57*$I57)),"➤",""),"")</f>
        <v/>
      </c>
      <c r="LO57" s="76" t="str">
        <f aca="false">IF($I57&gt;0%,IF(AND(LO$16&gt;=$F57,LO$16&lt;$F57+($G57*$I57)),"➤",""),"")</f>
        <v/>
      </c>
      <c r="LP57" s="76" t="str">
        <f aca="false">IF($I57&gt;0%,IF(AND(LP$16&gt;=$F57,LP$16&lt;$F57+($G57*$I57)),"➤",""),"")</f>
        <v/>
      </c>
      <c r="LQ57" s="76" t="str">
        <f aca="false">IF($I57&gt;0%,IF(AND(LQ$16&gt;=$F57,LQ$16&lt;$F57+($G57*$I57)),"➤",""),"")</f>
        <v/>
      </c>
      <c r="LR57" s="76" t="str">
        <f aca="false">IF($I57&gt;0%,IF(AND(LR$16&gt;=$F57,LR$16&lt;$F57+($G57*$I57)),"➤",""),"")</f>
        <v/>
      </c>
      <c r="LS57" s="76" t="str">
        <f aca="false">IF($I57&gt;0%,IF(AND(LS$16&gt;=$F57,LS$16&lt;$F57+($G57*$I57)),"➤",""),"")</f>
        <v/>
      </c>
      <c r="LT57" s="76" t="str">
        <f aca="false">IF($I57&gt;0%,IF(AND(LT$16&gt;=$F57,LT$16&lt;$F57+($G57*$I57)),"➤",""),"")</f>
        <v/>
      </c>
      <c r="LU57" s="76" t="str">
        <f aca="false">IF($I57&gt;0%,IF(AND(LU$16&gt;=$F57,LU$16&lt;$F57+($G57*$I57)),"➤",""),"")</f>
        <v/>
      </c>
      <c r="LV57" s="76" t="str">
        <f aca="false">IF($I57&gt;0%,IF(AND(LV$16&gt;=$F57,LV$16&lt;$F57+($G57*$I57)),"➤",""),"")</f>
        <v/>
      </c>
      <c r="LW57" s="76" t="str">
        <f aca="false">IF($I57&gt;0%,IF(AND(LW$16&gt;=$F57,LW$16&lt;$F57+($G57*$I57)),"➤",""),"")</f>
        <v/>
      </c>
      <c r="LX57" s="76" t="str">
        <f aca="false">IF($I57&gt;0%,IF(AND(LX$16&gt;=$F57,LX$16&lt;$F57+($G57*$I57)),"➤",""),"")</f>
        <v/>
      </c>
      <c r="LY57" s="76" t="str">
        <f aca="false">IF($I57&gt;0%,IF(AND(LY$16&gt;=$F57,LY$16&lt;$F57+($G57*$I57)),"➤",""),"")</f>
        <v/>
      </c>
      <c r="LZ57" s="76" t="str">
        <f aca="false">IF($I57&gt;0%,IF(AND(LZ$16&gt;=$F57,LZ$16&lt;$F57+($G57*$I57)),"➤",""),"")</f>
        <v/>
      </c>
      <c r="MA57" s="76" t="str">
        <f aca="false">IF($I57&gt;0%,IF(AND(MA$16&gt;=$F57,MA$16&lt;$F57+($G57*$I57)),"➤",""),"")</f>
        <v/>
      </c>
      <c r="MB57" s="76" t="str">
        <f aca="false">IF($I57&gt;0%,IF(AND(MB$16&gt;=$F57,MB$16&lt;$F57+($G57*$I57)),"➤",""),"")</f>
        <v/>
      </c>
      <c r="MC57" s="76" t="str">
        <f aca="false">IF($I57&gt;0%,IF(AND(MC$16&gt;=$F57,MC$16&lt;$F57+($G57*$I57)),"➤",""),"")</f>
        <v/>
      </c>
      <c r="MD57" s="76" t="str">
        <f aca="false">IF($I57&gt;0%,IF(AND(MD$16&gt;=$F57,MD$16&lt;$F57+($G57*$I57)),"➤",""),"")</f>
        <v/>
      </c>
      <c r="ME57" s="76" t="str">
        <f aca="false">IF($I57&gt;0%,IF(AND(ME$16&gt;=$F57,ME$16&lt;$F57+($G57*$I57)),"➤",""),"")</f>
        <v/>
      </c>
      <c r="MF57" s="76" t="str">
        <f aca="false">IF($I57&gt;0%,IF(AND(MF$16&gt;=$F57,MF$16&lt;$F57+($G57*$I57)),"➤",""),"")</f>
        <v/>
      </c>
      <c r="MG57" s="76" t="str">
        <f aca="false">IF($I57&gt;0%,IF(AND(MG$16&gt;=$F57,MG$16&lt;$F57+($G57*$I57)),"➤",""),"")</f>
        <v/>
      </c>
      <c r="MH57" s="76" t="str">
        <f aca="false">IF($I57&gt;0%,IF(AND(MH$16&gt;=$F57,MH$16&lt;$F57+($G57*$I57)),"➤",""),"")</f>
        <v/>
      </c>
      <c r="MI57" s="76" t="str">
        <f aca="false">IF($I57&gt;0%,IF(AND(MI$16&gt;=$F57,MI$16&lt;$F57+($G57*$I57)),"➤",""),"")</f>
        <v/>
      </c>
      <c r="MJ57" s="76" t="str">
        <f aca="false">IF($I57&gt;0%,IF(AND(MJ$16&gt;=$F57,MJ$16&lt;$F57+($G57*$I57)),"➤",""),"")</f>
        <v/>
      </c>
      <c r="MK57" s="76" t="str">
        <f aca="false">IF($I57&gt;0%,IF(AND(MK$16&gt;=$F57,MK$16&lt;$F57+($G57*$I57)),"➤",""),"")</f>
        <v/>
      </c>
      <c r="ML57" s="76" t="str">
        <f aca="false">IF($I57&gt;0%,IF(AND(ML$16&gt;=$F57,ML$16&lt;$F57+($G57*$I57)),"➤",""),"")</f>
        <v/>
      </c>
      <c r="MM57" s="76" t="str">
        <f aca="false">IF($I57&gt;0%,IF(AND(MM$16&gt;=$F57,MM$16&lt;$F57+($G57*$I57)),"➤",""),"")</f>
        <v/>
      </c>
      <c r="MN57" s="76" t="str">
        <f aca="false">IF($I57&gt;0%,IF(AND(MN$16&gt;=$F57,MN$16&lt;$F57+($G57*$I57)),"➤",""),"")</f>
        <v/>
      </c>
      <c r="MO57" s="76" t="str">
        <f aca="false">IF($I57&gt;0%,IF(AND(MO$16&gt;=$F57,MO$16&lt;$F57+($G57*$I57)),"➤",""),"")</f>
        <v/>
      </c>
      <c r="MP57" s="76" t="str">
        <f aca="false">IF($I57&gt;0%,IF(AND(MP$16&gt;=$F57,MP$16&lt;$F57+($G57*$I57)),"➤",""),"")</f>
        <v/>
      </c>
      <c r="MQ57" s="76" t="str">
        <f aca="false">IF($I57&gt;0%,IF(AND(MQ$16&gt;=$F57,MQ$16&lt;$F57+($G57*$I57)),"➤",""),"")</f>
        <v/>
      </c>
      <c r="MR57" s="76" t="str">
        <f aca="false">IF($I57&gt;0%,IF(AND(MR$16&gt;=$F57,MR$16&lt;$F57+($G57*$I57)),"➤",""),"")</f>
        <v/>
      </c>
      <c r="MS57" s="76" t="str">
        <f aca="false">IF($I57&gt;0%,IF(AND(MS$16&gt;=$F57,MS$16&lt;$F57+($G57*$I57)),"➤",""),"")</f>
        <v/>
      </c>
      <c r="MT57" s="76" t="str">
        <f aca="false">IF($I57&gt;0%,IF(AND(MT$16&gt;=$F57,MT$16&lt;$F57+($G57*$I57)),"➤",""),"")</f>
        <v/>
      </c>
      <c r="MU57" s="76" t="str">
        <f aca="false">IF($I57&gt;0%,IF(AND(MU$16&gt;=$F57,MU$16&lt;$F57+($G57*$I57)),"➤",""),"")</f>
        <v/>
      </c>
      <c r="MV57" s="76" t="str">
        <f aca="false">IF($I57&gt;0%,IF(AND(MV$16&gt;=$F57,MV$16&lt;$F57+($G57*$I57)),"➤",""),"")</f>
        <v/>
      </c>
      <c r="MW57" s="76" t="str">
        <f aca="false">IF($I57&gt;0%,IF(AND(MW$16&gt;=$F57,MW$16&lt;$F57+($G57*$I57)),"➤",""),"")</f>
        <v/>
      </c>
      <c r="MX57" s="76" t="str">
        <f aca="false">IF($I57&gt;0%,IF(AND(MX$16&gt;=$F57,MX$16&lt;$F57+($G57*$I57)),"➤",""),"")</f>
        <v/>
      </c>
      <c r="MY57" s="76" t="str">
        <f aca="false">IF($I57&gt;0%,IF(AND(MY$16&gt;=$F57,MY$16&lt;$F57+($G57*$I57)),"➤",""),"")</f>
        <v/>
      </c>
      <c r="MZ57" s="76" t="str">
        <f aca="false">IF($I57&gt;0%,IF(AND(MZ$16&gt;=$F57,MZ$16&lt;$F57+($G57*$I57)),"➤",""),"")</f>
        <v/>
      </c>
      <c r="NA57" s="76" t="str">
        <f aca="false">IF($I57&gt;0%,IF(AND(NA$16&gt;=$F57,NA$16&lt;$F57+($G57*$I57)),"➤",""),"")</f>
        <v/>
      </c>
      <c r="NB57" s="76" t="str">
        <f aca="false">IF($I57&gt;0%,IF(AND(NB$16&gt;=$F57,NB$16&lt;$F57+($G57*$I57)),"➤",""),"")</f>
        <v/>
      </c>
      <c r="NC57" s="76" t="str">
        <f aca="false">IF($I57&gt;0%,IF(AND(NC$16&gt;=$F57,NC$16&lt;$F57+($G57*$I57)),"➤",""),"")</f>
        <v/>
      </c>
      <c r="ND57" s="76" t="str">
        <f aca="false">IF($I57&gt;0%,IF(AND(ND$16&gt;=$F57,ND$16&lt;$F57+($G57*$I57)),"➤",""),"")</f>
        <v/>
      </c>
      <c r="NE57" s="76" t="str">
        <f aca="false">IF($I57&gt;0%,IF(AND(NE$16&gt;=$F57,NE$16&lt;$F57+($G57*$I57)),"➤",""),"")</f>
        <v/>
      </c>
      <c r="NF57" s="76" t="str">
        <f aca="false">IF($I57&gt;0%,IF(AND(NF$16&gt;=$F57,NF$16&lt;$F57+($G57*$I57)),"➤",""),"")</f>
        <v/>
      </c>
      <c r="NG57" s="76" t="str">
        <f aca="false">IF($I57&gt;0%,IF(AND(NG$16&gt;=$F57,NG$16&lt;$F57+($G57*$I57)),"➤",""),"")</f>
        <v/>
      </c>
      <c r="NH57" s="76" t="str">
        <f aca="false">IF($I57&gt;0%,IF(AND(NH$16&gt;=$F57,NH$16&lt;$F57+($G57*$I57)),"➤",""),"")</f>
        <v/>
      </c>
      <c r="NI57" s="76" t="str">
        <f aca="false">IF($I57&gt;0%,IF(AND(NI$16&gt;=$F57,NI$16&lt;$F57+($G57*$I57)),"➤",""),"")</f>
        <v/>
      </c>
      <c r="NJ57" s="76" t="str">
        <f aca="false">IF($I57&gt;0%,IF(AND(NJ$16&gt;=$F57,NJ$16&lt;$F57+($G57*$I57)),"➤",""),"")</f>
        <v/>
      </c>
      <c r="NK57" s="76" t="str">
        <f aca="false">IF($I57&gt;0%,IF(AND(NK$16&gt;=$F57,NK$16&lt;$F57+($G57*$I57)),"➤",""),"")</f>
        <v/>
      </c>
      <c r="NL57" s="76" t="str">
        <f aca="false">IF($I57&gt;0%,IF(AND(NL$16&gt;=$F57,NL$16&lt;$F57+($G57*$I57)),"➤",""),"")</f>
        <v/>
      </c>
      <c r="NM57" s="76" t="str">
        <f aca="false">IF($I57&gt;0%,IF(AND(NM$16&gt;=$F57,NM$16&lt;$F57+($G57*$I57)),"➤",""),"")</f>
        <v/>
      </c>
      <c r="NN57" s="76" t="str">
        <f aca="false">IF($I57&gt;0%,IF(AND(NN$16&gt;=$F57,NN$16&lt;$F57+($G57*$I57)),"➤",""),"")</f>
        <v/>
      </c>
      <c r="NO57" s="76" t="str">
        <f aca="false">IF($I57&gt;0%,IF(AND(NO$16&gt;=$F57,NO$16&lt;$F57+($G57*$I57)),"➤",""),"")</f>
        <v/>
      </c>
      <c r="NP57" s="76" t="str">
        <f aca="false">IF($I57&gt;0%,IF(AND(NP$16&gt;=$F57,NP$16&lt;$F57+($G57*$I57)),"➤",""),"")</f>
        <v/>
      </c>
      <c r="NQ57" s="76" t="str">
        <f aca="false">IF($I57&gt;0%,IF(AND(NQ$16&gt;=$F57,NQ$16&lt;$F57+($G57*$I57)),"➤",""),"")</f>
        <v/>
      </c>
      <c r="NR57" s="76" t="str">
        <f aca="false">IF($I57&gt;0%,IF(AND(NR$16&gt;=$F57,NR$16&lt;$F57+($G57*$I57)),"➤",""),"")</f>
        <v/>
      </c>
      <c r="NS57" s="76" t="str">
        <f aca="false">IF($I57&gt;0%,IF(AND(NS$16&gt;=$F57,NS$16&lt;$F57+($G57*$I57)),"➤",""),"")</f>
        <v/>
      </c>
      <c r="NT57" s="76" t="str">
        <f aca="false">IF($I57&gt;0%,IF(AND(NT$16&gt;=$F57,NT$16&lt;$F57+($G57*$I57)),"➤",""),"")</f>
        <v/>
      </c>
      <c r="NU57" s="76" t="str">
        <f aca="false">IF($I57&gt;0%,IF(AND(NU$16&gt;=$F57,NU$16&lt;$F57+($G57*$I57)),"➤",""),"")</f>
        <v/>
      </c>
      <c r="NV57" s="76" t="str">
        <f aca="false">IF($I57&gt;0%,IF(AND(NV$16&gt;=$F57,NV$16&lt;$F57+($G57*$I57)),"➤",""),"")</f>
        <v/>
      </c>
      <c r="NW57" s="76" t="str">
        <f aca="false">IF($I57&gt;0%,IF(AND(NW$16&gt;=$F57,NW$16&lt;$F57+($G57*$I57)),"➤",""),"")</f>
        <v/>
      </c>
      <c r="NX57" s="76" t="str">
        <f aca="false">IF($I57&gt;0%,IF(AND(NX$16&gt;=$F57,NX$16&lt;$F57+($G57*$I57)),"➤",""),"")</f>
        <v/>
      </c>
      <c r="NY57" s="76" t="str">
        <f aca="false">IF($I57&gt;0%,IF(AND(NY$16&gt;=$F57,NY$16&lt;$F57+($G57*$I57)),"➤",""),"")</f>
        <v/>
      </c>
      <c r="NZ57" s="76" t="str">
        <f aca="false">IF($I57&gt;0%,IF(AND(NZ$16&gt;=$F57,NZ$16&lt;$F57+($G57*$I57)),"➤",""),"")</f>
        <v/>
      </c>
      <c r="OA57" s="76" t="str">
        <f aca="false">IF($I57&gt;0%,IF(AND(OA$16&gt;=$F57,OA$16&lt;$F57+($G57*$I57)),"➤",""),"")</f>
        <v/>
      </c>
      <c r="OB57" s="76" t="str">
        <f aca="false">IF($I57&gt;0%,IF(AND(OB$16&gt;=$F57,OB$16&lt;$F57+($G57*$I57)),"➤",""),"")</f>
        <v/>
      </c>
      <c r="OC57" s="76" t="str">
        <f aca="false">IF($I57&gt;0%,IF(AND(OC$16&gt;=$F57,OC$16&lt;$F57+($G57*$I57)),"➤",""),"")</f>
        <v/>
      </c>
      <c r="OD57" s="76" t="str">
        <f aca="false">IF($I57&gt;0%,IF(AND(OD$16&gt;=$F57,OD$16&lt;$F57+($G57*$I57)),"➤",""),"")</f>
        <v/>
      </c>
      <c r="OE57" s="76" t="str">
        <f aca="false">IF($I57&gt;0%,IF(AND(OE$16&gt;=$F57,OE$16&lt;$F57+($G57*$I57)),"➤",""),"")</f>
        <v/>
      </c>
      <c r="OF57" s="76" t="str">
        <f aca="false">IF($I57&gt;0%,IF(AND(OF$16&gt;=$F57,OF$16&lt;$F57+($G57*$I57)),"➤",""),"")</f>
        <v/>
      </c>
      <c r="OG57" s="76" t="str">
        <f aca="false">IF($I57&gt;0%,IF(AND(OG$16&gt;=$F57,OG$16&lt;$F57+($G57*$I57)),"➤",""),"")</f>
        <v/>
      </c>
      <c r="OH57" s="76" t="str">
        <f aca="false">IF($I57&gt;0%,IF(AND(OH$16&gt;=$F57,OH$16&lt;$F57+($G57*$I57)),"➤",""),"")</f>
        <v/>
      </c>
      <c r="OI57" s="76" t="str">
        <f aca="false">IF($I57&gt;0%,IF(AND(OI$16&gt;=$F57,OI$16&lt;$F57+($G57*$I57)),"➤",""),"")</f>
        <v/>
      </c>
      <c r="OJ57" s="76" t="str">
        <f aca="false">IF($I57&gt;0%,IF(AND(OJ$16&gt;=$F57,OJ$16&lt;$F57+($G57*$I57)),"➤",""),"")</f>
        <v/>
      </c>
      <c r="OK57" s="76" t="str">
        <f aca="false">IF($I57&gt;0%,IF(AND(OK$16&gt;=$F57,OK$16&lt;$F57+($G57*$I57)),"➤",""),"")</f>
        <v/>
      </c>
      <c r="OL57" s="76" t="str">
        <f aca="false">IF($I57&gt;0%,IF(AND(OL$16&gt;=$F57,OL$16&lt;$F57+($G57*$I57)),"➤",""),"")</f>
        <v/>
      </c>
      <c r="OM57" s="76" t="str">
        <f aca="false">IF($I57&gt;0%,IF(AND(OM$16&gt;=$F57,OM$16&lt;$F57+($G57*$I57)),"➤",""),"")</f>
        <v/>
      </c>
      <c r="ON57" s="76" t="str">
        <f aca="false">IF($I57&gt;0%,IF(AND(ON$16&gt;=$F57,ON$16&lt;$F57+($G57*$I57)),"➤",""),"")</f>
        <v/>
      </c>
      <c r="OO57" s="76" t="str">
        <f aca="false">IF($I57&gt;0%,IF(AND(OO$16&gt;=$F57,OO$16&lt;$F57+($G57*$I57)),"➤",""),"")</f>
        <v/>
      </c>
      <c r="OP57" s="76" t="str">
        <f aca="false">IF($I57&gt;0%,IF(AND(OP$16&gt;=$F57,OP$16&lt;$F57+($G57*$I57)),"➤",""),"")</f>
        <v/>
      </c>
      <c r="OQ57" s="76" t="str">
        <f aca="false">IF($I57&gt;0%,IF(AND(OQ$16&gt;=$F57,OQ$16&lt;$F57+($G57*$I57)),"➤",""),"")</f>
        <v/>
      </c>
      <c r="OR57" s="76" t="str">
        <f aca="false">IF($I57&gt;0%,IF(AND(OR$16&gt;=$F57,OR$16&lt;$F57+($G57*$I57)),"➤",""),"")</f>
        <v/>
      </c>
      <c r="OS57" s="76" t="str">
        <f aca="false">IF($I57&gt;0%,IF(AND(OS$16&gt;=$F57,OS$16&lt;$F57+($G57*$I57)),"➤",""),"")</f>
        <v/>
      </c>
      <c r="OT57" s="76" t="str">
        <f aca="false">IF($I57&gt;0%,IF(AND(OT$16&gt;=$F57,OT$16&lt;$F57+($G57*$I57)),"➤",""),"")</f>
        <v/>
      </c>
      <c r="OU57" s="76" t="str">
        <f aca="false">IF($I57&gt;0%,IF(AND(OU$16&gt;=$F57,OU$16&lt;$F57+($G57*$I57)),"➤",""),"")</f>
        <v/>
      </c>
      <c r="OV57" s="76" t="str">
        <f aca="false">IF($I57&gt;0%,IF(AND(OV$16&gt;=$F57,OV$16&lt;$F57+($G57*$I57)),"➤",""),"")</f>
        <v/>
      </c>
      <c r="OW57" s="76" t="str">
        <f aca="false">IF($I57&gt;0%,IF(AND(OW$16&gt;=$F57,OW$16&lt;$F57+($G57*$I57)),"➤",""),"")</f>
        <v/>
      </c>
      <c r="OX57" s="76" t="str">
        <f aca="false">IF($I57&gt;0%,IF(AND(OX$16&gt;=$F57,OX$16&lt;$F57+($G57*$I57)),"➤",""),"")</f>
        <v/>
      </c>
      <c r="OY57" s="76" t="str">
        <f aca="false">IF($I57&gt;0%,IF(AND(OY$16&gt;=$F57,OY$16&lt;$F57+($G57*$I57)),"➤",""),"")</f>
        <v/>
      </c>
      <c r="OZ57" s="76" t="str">
        <f aca="false">IF($I57&gt;0%,IF(AND(OZ$16&gt;=$F57,OZ$16&lt;$F57+($G57*$I57)),"➤",""),"")</f>
        <v/>
      </c>
      <c r="PA57" s="76" t="str">
        <f aca="false">IF($I57&gt;0%,IF(AND(PA$16&gt;=$F57,PA$16&lt;$F57+($G57*$I57)),"➤",""),"")</f>
        <v/>
      </c>
      <c r="PB57" s="76" t="str">
        <f aca="false">IF($I57&gt;0%,IF(AND(PB$16&gt;=$F57,PB$16&lt;$F57+($G57*$I57)),"➤",""),"")</f>
        <v/>
      </c>
      <c r="PC57" s="76" t="str">
        <f aca="false">IF($I57&gt;0%,IF(AND(PC$16&gt;=$F57,PC$16&lt;$F57+($G57*$I57)),"➤",""),"")</f>
        <v/>
      </c>
      <c r="PD57" s="76" t="str">
        <f aca="false">IF($I57&gt;0%,IF(AND(PD$16&gt;=$F57,PD$16&lt;$F57+($G57*$I57)),"➤",""),"")</f>
        <v/>
      </c>
      <c r="PE57" s="76" t="str">
        <f aca="false">IF($I57&gt;0%,IF(AND(PE$16&gt;=$F57,PE$16&lt;$F57+($G57*$I57)),"➤",""),"")</f>
        <v/>
      </c>
      <c r="PF57" s="76" t="str">
        <f aca="false">IF($I57&gt;0%,IF(AND(PF$16&gt;=$F57,PF$16&lt;$F57+($G57*$I57)),"➤",""),"")</f>
        <v/>
      </c>
      <c r="PG57" s="76" t="str">
        <f aca="false">IF($I57&gt;0%,IF(AND(PG$16&gt;=$F57,PG$16&lt;$F57+($G57*$I57)),"➤",""),"")</f>
        <v/>
      </c>
      <c r="PH57" s="76" t="str">
        <f aca="false">IF($I57&gt;0%,IF(AND(PH$16&gt;=$F57,PH$16&lt;$F57+($G57*$I57)),"➤",""),"")</f>
        <v/>
      </c>
      <c r="PI57" s="76" t="str">
        <f aca="false">IF($I57&gt;0%,IF(AND(PI$16&gt;=$F57,PI$16&lt;$F57+($G57*$I57)),"➤",""),"")</f>
        <v/>
      </c>
      <c r="PJ57" s="76" t="str">
        <f aca="false">IF($I57&gt;0%,IF(AND(PJ$16&gt;=$F57,PJ$16&lt;$F57+($G57*$I57)),"➤",""),"")</f>
        <v/>
      </c>
      <c r="PK57" s="76" t="str">
        <f aca="false">IF($I57&gt;0%,IF(AND(PK$16&gt;=$F57,PK$16&lt;$F57+($G57*$I57)),"➤",""),"")</f>
        <v/>
      </c>
      <c r="PL57" s="76" t="str">
        <f aca="false">IF($I57&gt;0%,IF(AND(PL$16&gt;=$F57,PL$16&lt;$F57+($G57*$I57)),"➤",""),"")</f>
        <v/>
      </c>
      <c r="PM57" s="76" t="str">
        <f aca="false">IF($I57&gt;0%,IF(AND(PM$16&gt;=$F57,PM$16&lt;$F57+($G57*$I57)),"➤",""),"")</f>
        <v/>
      </c>
      <c r="PN57" s="76" t="str">
        <f aca="false">IF($I57&gt;0%,IF(AND(PN$16&gt;=$F57,PN$16&lt;$F57+($G57*$I57)),"➤",""),"")</f>
        <v/>
      </c>
      <c r="PO57" s="76" t="str">
        <f aca="false">IF($I57&gt;0%,IF(AND(PO$16&gt;=$F57,PO$16&lt;$F57+($G57*$I57)),"➤",""),"")</f>
        <v/>
      </c>
      <c r="PP57" s="76" t="str">
        <f aca="false">IF($I57&gt;0%,IF(AND(PP$16&gt;=$F57,PP$16&lt;$F57+($G57*$I57)),"➤",""),"")</f>
        <v/>
      </c>
      <c r="PQ57" s="76" t="str">
        <f aca="false">IF($I57&gt;0%,IF(AND(PQ$16&gt;=$F57,PQ$16&lt;$F57+($G57*$I57)),"➤",""),"")</f>
        <v/>
      </c>
      <c r="PR57" s="76" t="str">
        <f aca="false">IF($I57&gt;0%,IF(AND(PR$16&gt;=$F57,PR$16&lt;$F57+($G57*$I57)),"➤",""),"")</f>
        <v/>
      </c>
      <c r="PS57" s="76" t="str">
        <f aca="false">IF($I57&gt;0%,IF(AND(PS$16&gt;=$F57,PS$16&lt;$F57+($G57*$I57)),"➤",""),"")</f>
        <v/>
      </c>
      <c r="PT57" s="76" t="str">
        <f aca="false">IF($I57&gt;0%,IF(AND(PT$16&gt;=$F57,PT$16&lt;$F57+($G57*$I57)),"➤",""),"")</f>
        <v/>
      </c>
      <c r="PU57" s="76" t="str">
        <f aca="false">IF($I57&gt;0%,IF(AND(PU$16&gt;=$F57,PU$16&lt;$F57+($G57*$I57)),"➤",""),"")</f>
        <v/>
      </c>
      <c r="PV57" s="76" t="str">
        <f aca="false">IF($I57&gt;0%,IF(AND(PV$16&gt;=$F57,PV$16&lt;$F57+($G57*$I57)),"➤",""),"")</f>
        <v/>
      </c>
      <c r="PW57" s="76" t="str">
        <f aca="false">IF($I57&gt;0%,IF(AND(PW$16&gt;=$F57,PW$16&lt;$F57+($G57*$I57)),"➤",""),"")</f>
        <v/>
      </c>
      <c r="PX57" s="76" t="str">
        <f aca="false">IF($I57&gt;0%,IF(AND(PX$16&gt;=$F57,PX$16&lt;$F57+($G57*$I57)),"➤",""),"")</f>
        <v/>
      </c>
      <c r="PY57" s="76" t="str">
        <f aca="false">IF($I57&gt;0%,IF(AND(PY$16&gt;=$F57,PY$16&lt;$F57+($G57*$I57)),"➤",""),"")</f>
        <v/>
      </c>
      <c r="PZ57" s="76" t="str">
        <f aca="false">IF($I57&gt;0%,IF(AND(PZ$16&gt;=$F57,PZ$16&lt;$F57+($G57*$I57)),"➤",""),"")</f>
        <v/>
      </c>
      <c r="QA57" s="76" t="str">
        <f aca="false">IF($I57&gt;0%,IF(AND(QA$16&gt;=$F57,QA$16&lt;$F57+($G57*$I57)),"➤",""),"")</f>
        <v/>
      </c>
      <c r="QB57" s="76" t="str">
        <f aca="false">IF($I57&gt;0%,IF(AND(QB$16&gt;=$F57,QB$16&lt;$F57+($G57*$I57)),"➤",""),"")</f>
        <v/>
      </c>
      <c r="QC57" s="76" t="str">
        <f aca="false">IF($I57&gt;0%,IF(AND(QC$16&gt;=$F57,QC$16&lt;$F57+($G57*$I57)),"➤",""),"")</f>
        <v/>
      </c>
      <c r="QD57" s="76" t="str">
        <f aca="false">IF($I57&gt;0%,IF(AND(QD$16&gt;=$F57,QD$16&lt;$F57+($G57*$I57)),"➤",""),"")</f>
        <v/>
      </c>
      <c r="QE57" s="76" t="str">
        <f aca="false">IF($I57&gt;0%,IF(AND(QE$16&gt;=$F57,QE$16&lt;$F57+($G57*$I57)),"➤",""),"")</f>
        <v/>
      </c>
      <c r="QF57" s="76" t="str">
        <f aca="false">IF($I57&gt;0%,IF(AND(QF$16&gt;=$F57,QF$16&lt;$F57+($G57*$I57)),"➤",""),"")</f>
        <v/>
      </c>
      <c r="QG57" s="76" t="str">
        <f aca="false">IF($I57&gt;0%,IF(AND(QG$16&gt;=$F57,QG$16&lt;$F57+($G57*$I57)),"➤",""),"")</f>
        <v/>
      </c>
      <c r="QH57" s="76" t="str">
        <f aca="false">IF($I57&gt;0%,IF(AND(QH$16&gt;=$F57,QH$16&lt;$F57+($G57*$I57)),"➤",""),"")</f>
        <v/>
      </c>
      <c r="QI57" s="76" t="str">
        <f aca="false">IF($I57&gt;0%,IF(AND(QI$16&gt;=$F57,QI$16&lt;$F57+($G57*$I57)),"➤",""),"")</f>
        <v/>
      </c>
      <c r="QJ57" s="76" t="str">
        <f aca="false">IF($I57&gt;0%,IF(AND(QJ$16&gt;=$F57,QJ$16&lt;$F57+($G57*$I57)),"➤",""),"")</f>
        <v/>
      </c>
      <c r="QK57" s="76" t="str">
        <f aca="false">IF($I57&gt;0%,IF(AND(QK$16&gt;=$F57,QK$16&lt;$F57+($G57*$I57)),"➤",""),"")</f>
        <v/>
      </c>
      <c r="QL57" s="76" t="str">
        <f aca="false">IF($I57&gt;0%,IF(AND(QL$16&gt;=$F57,QL$16&lt;$F57+($G57*$I57)),"➤",""),"")</f>
        <v/>
      </c>
      <c r="QM57" s="76" t="str">
        <f aca="false">IF($I57&gt;0%,IF(AND(QM$16&gt;=$F57,QM$16&lt;$F57+($G57*$I57)),"➤",""),"")</f>
        <v/>
      </c>
      <c r="QN57" s="76" t="str">
        <f aca="false">IF($I57&gt;0%,IF(AND(QN$16&gt;=$F57,QN$16&lt;$F57+($G57*$I57)),"➤",""),"")</f>
        <v/>
      </c>
      <c r="QO57" s="76" t="str">
        <f aca="false">IF($I57&gt;0%,IF(AND(QO$16&gt;=$F57,QO$16&lt;$F57+($G57*$I57)),"➤",""),"")</f>
        <v/>
      </c>
      <c r="QP57" s="76" t="str">
        <f aca="false">IF($I57&gt;0%,IF(AND(QP$16&gt;=$F57,QP$16&lt;$F57+($G57*$I57)),"➤",""),"")</f>
        <v/>
      </c>
      <c r="QQ57" s="76" t="str">
        <f aca="false">IF($I57&gt;0%,IF(AND(QQ$16&gt;=$F57,QQ$16&lt;$F57+($G57*$I57)),"➤",""),"")</f>
        <v/>
      </c>
      <c r="QR57" s="76" t="str">
        <f aca="false">IF($I57&gt;0%,IF(AND(QR$16&gt;=$F57,QR$16&lt;$F57+($G57*$I57)),"➤",""),"")</f>
        <v/>
      </c>
      <c r="QS57" s="76" t="str">
        <f aca="false">IF($I57&gt;0%,IF(AND(QS$16&gt;=$F57,QS$16&lt;$F57+($G57*$I57)),"➤",""),"")</f>
        <v/>
      </c>
      <c r="QT57" s="76" t="str">
        <f aca="false">IF($I57&gt;0%,IF(AND(QT$16&gt;=$F57,QT$16&lt;$F57+($G57*$I57)),"➤",""),"")</f>
        <v/>
      </c>
      <c r="QU57" s="76" t="str">
        <f aca="false">IF($I57&gt;0%,IF(AND(QU$16&gt;=$F57,QU$16&lt;$F57+($G57*$I57)),"➤",""),"")</f>
        <v/>
      </c>
      <c r="QV57" s="76" t="str">
        <f aca="false">IF($I57&gt;0%,IF(AND(QV$16&gt;=$F57,QV$16&lt;$F57+($G57*$I57)),"➤",""),"")</f>
        <v/>
      </c>
      <c r="QW57" s="76" t="str">
        <f aca="false">IF($I57&gt;0%,IF(AND(QW$16&gt;=$F57,QW$16&lt;$F57+($G57*$I57)),"➤",""),"")</f>
        <v/>
      </c>
      <c r="QX57" s="76" t="str">
        <f aca="false">IF($I57&gt;0%,IF(AND(QX$16&gt;=$F57,QX$16&lt;$F57+($G57*$I57)),"➤",""),"")</f>
        <v/>
      </c>
      <c r="QY57" s="76" t="str">
        <f aca="false">IF($I57&gt;0%,IF(AND(QY$16&gt;=$F57,QY$16&lt;$F57+($G57*$I57)),"➤",""),"")</f>
        <v/>
      </c>
      <c r="QZ57" s="76" t="str">
        <f aca="false">IF($I57&gt;0%,IF(AND(QZ$16&gt;=$F57,QZ$16&lt;$F57+($G57*$I57)),"➤",""),"")</f>
        <v/>
      </c>
      <c r="RA57" s="76" t="str">
        <f aca="false">IF($I57&gt;0%,IF(AND(RA$16&gt;=$F57,RA$16&lt;$F57+($G57*$I57)),"➤",""),"")</f>
        <v/>
      </c>
      <c r="RB57" s="76" t="str">
        <f aca="false">IF($I57&gt;0%,IF(AND(RB$16&gt;=$F57,RB$16&lt;$F57+($G57*$I57)),"➤",""),"")</f>
        <v/>
      </c>
      <c r="RC57" s="76" t="str">
        <f aca="false">IF($I57&gt;0%,IF(AND(RC$16&gt;=$F57,RC$16&lt;$F57+($G57*$I57)),"➤",""),"")</f>
        <v/>
      </c>
      <c r="RD57" s="76" t="str">
        <f aca="false">IF($I57&gt;0%,IF(AND(RD$16&gt;=$F57,RD$16&lt;$F57+($G57*$I57)),"➤",""),"")</f>
        <v/>
      </c>
      <c r="RE57" s="76" t="str">
        <f aca="false">IF($I57&gt;0%,IF(AND(RE$16&gt;=$F57,RE$16&lt;$F57+($G57*$I57)),"➤",""),"")</f>
        <v/>
      </c>
      <c r="RF57" s="76" t="str">
        <f aca="false">IF($I57&gt;0%,IF(AND(RF$16&gt;=$F57,RF$16&lt;$F57+($G57*$I57)),"➤",""),"")</f>
        <v/>
      </c>
      <c r="RG57" s="76" t="str">
        <f aca="false">IF($I57&gt;0%,IF(AND(RG$16&gt;=$F57,RG$16&lt;$F57+($G57*$I57)),"➤",""),"")</f>
        <v/>
      </c>
      <c r="RH57" s="76" t="str">
        <f aca="false">IF($I57&gt;0%,IF(AND(RH$16&gt;=$F57,RH$16&lt;$F57+($G57*$I57)),"➤",""),"")</f>
        <v/>
      </c>
      <c r="RI57" s="76" t="str">
        <f aca="false">IF($I57&gt;0%,IF(AND(RI$16&gt;=$F57,RI$16&lt;$F57+($G57*$I57)),"➤",""),"")</f>
        <v/>
      </c>
      <c r="RJ57" s="76" t="str">
        <f aca="false">IF($I57&gt;0%,IF(AND(RJ$16&gt;=$F57,RJ$16&lt;$F57+($G57*$I57)),"➤",""),"")</f>
        <v/>
      </c>
      <c r="RK57" s="76" t="str">
        <f aca="false">IF($I57&gt;0%,IF(AND(RK$16&gt;=$F57,RK$16&lt;$F57+($G57*$I57)),"➤",""),"")</f>
        <v/>
      </c>
      <c r="RL57" s="76" t="str">
        <f aca="false">IF($I57&gt;0%,IF(AND(RL$16&gt;=$F57,RL$16&lt;$F57+($G57*$I57)),"➤",""),"")</f>
        <v/>
      </c>
      <c r="RM57" s="76" t="str">
        <f aca="false">IF($I57&gt;0%,IF(AND(RM$16&gt;=$F57,RM$16&lt;$F57+($G57*$I57)),"➤",""),"")</f>
        <v/>
      </c>
      <c r="RN57" s="76" t="str">
        <f aca="false">IF($I57&gt;0%,IF(AND(RN$16&gt;=$F57,RN$16&lt;$F57+($G57*$I57)),"➤",""),"")</f>
        <v/>
      </c>
      <c r="RO57" s="76" t="str">
        <f aca="false">IF($I57&gt;0%,IF(AND(RO$16&gt;=$F57,RO$16&lt;$F57+($G57*$I57)),"➤",""),"")</f>
        <v/>
      </c>
      <c r="RP57" s="76" t="str">
        <f aca="false">IF($I57&gt;0%,IF(AND(RP$16&gt;=$F57,RP$16&lt;$F57+($G57*$I57)),"➤",""),"")</f>
        <v/>
      </c>
      <c r="RQ57" s="76" t="str">
        <f aca="false">IF($I57&gt;0%,IF(AND(RQ$16&gt;=$F57,RQ$16&lt;$F57+($G57*$I57)),"➤",""),"")</f>
        <v/>
      </c>
      <c r="RR57" s="76" t="str">
        <f aca="false">IF($I57&gt;0%,IF(AND(RR$16&gt;=$F57,RR$16&lt;$F57+($G57*$I57)),"➤",""),"")</f>
        <v/>
      </c>
      <c r="RS57" s="76" t="str">
        <f aca="false">IF($I57&gt;0%,IF(AND(RS$16&gt;=$F57,RS$16&lt;$F57+($G57*$I57)),"➤",""),"")</f>
        <v/>
      </c>
      <c r="RT57" s="76" t="str">
        <f aca="false">IF($I57&gt;0%,IF(AND(RT$16&gt;=$F57,RT$16&lt;$F57+($G57*$I57)),"➤",""),"")</f>
        <v/>
      </c>
      <c r="RU57" s="76" t="str">
        <f aca="false">IF($I57&gt;0%,IF(AND(RU$16&gt;=$F57,RU$16&lt;$F57+($G57*$I57)),"➤",""),"")</f>
        <v/>
      </c>
      <c r="RV57" s="76" t="str">
        <f aca="false">IF($I57&gt;0%,IF(AND(RV$16&gt;=$F57,RV$16&lt;$F57+($G57*$I57)),"➤",""),"")</f>
        <v/>
      </c>
      <c r="RW57" s="76" t="str">
        <f aca="false">IF($I57&gt;0%,IF(AND(RW$16&gt;=$F57,RW$16&lt;$F57+($G57*$I57)),"➤",""),"")</f>
        <v/>
      </c>
      <c r="RX57" s="76" t="str">
        <f aca="false">IF($I57&gt;0%,IF(AND(RX$16&gt;=$F57,RX$16&lt;$F57+($G57*$I57)),"➤",""),"")</f>
        <v/>
      </c>
      <c r="RY57" s="76" t="str">
        <f aca="false">IF($I57&gt;0%,IF(AND(RY$16&gt;=$F57,RY$16&lt;$F57+($G57*$I57)),"➤",""),"")</f>
        <v/>
      </c>
      <c r="RZ57" s="76" t="str">
        <f aca="false">IF($I57&gt;0%,IF(AND(RZ$16&gt;=$F57,RZ$16&lt;$F57+($G57*$I57)),"➤",""),"")</f>
        <v/>
      </c>
      <c r="SA57" s="76" t="str">
        <f aca="false">IF($I57&gt;0%,IF(AND(SA$16&gt;=$F57,SA$16&lt;$F57+($G57*$I57)),"➤",""),"")</f>
        <v/>
      </c>
      <c r="SB57" s="76" t="str">
        <f aca="false">IF($I57&gt;0%,IF(AND(SB$16&gt;=$F57,SB$16&lt;$F57+($G57*$I57)),"➤",""),"")</f>
        <v/>
      </c>
      <c r="SC57" s="76" t="str">
        <f aca="false">IF($I57&gt;0%,IF(AND(SC$16&gt;=$F57,SC$16&lt;$F57+($G57*$I57)),"➤",""),"")</f>
        <v/>
      </c>
      <c r="SD57" s="76" t="str">
        <f aca="false">IF($I57&gt;0%,IF(AND(SD$16&gt;=$F57,SD$16&lt;$F57+($G57*$I57)),"➤",""),"")</f>
        <v/>
      </c>
      <c r="SE57" s="76" t="str">
        <f aca="false">IF($I57&gt;0%,IF(AND(SE$16&gt;=$F57,SE$16&lt;$F57+($G57*$I57)),"➤",""),"")</f>
        <v/>
      </c>
      <c r="SF57" s="76" t="str">
        <f aca="false">IF($I57&gt;0%,IF(AND(SF$16&gt;=$F57,SF$16&lt;$F57+($G57*$I57)),"➤",""),"")</f>
        <v/>
      </c>
      <c r="SG57" s="76" t="str">
        <f aca="false">IF($I57&gt;0%,IF(AND(SG$16&gt;=$F57,SG$16&lt;$F57+($G57*$I57)),"➤",""),"")</f>
        <v/>
      </c>
      <c r="SH57" s="76" t="str">
        <f aca="false">IF($I57&gt;0%,IF(AND(SH$16&gt;=$F57,SH$16&lt;$F57+($G57*$I57)),"➤",""),"")</f>
        <v/>
      </c>
      <c r="SI57" s="76" t="str">
        <f aca="false">IF($I57&gt;0%,IF(AND(SI$16&gt;=$F57,SI$16&lt;$F57+($G57*$I57)),"➤",""),"")</f>
        <v/>
      </c>
      <c r="SJ57" s="76" t="str">
        <f aca="false">IF($I57&gt;0%,IF(AND(SJ$16&gt;=$F57,SJ$16&lt;$F57+($G57*$I57)),"➤",""),"")</f>
        <v/>
      </c>
      <c r="SK57" s="76" t="str">
        <f aca="false">IF($I57&gt;0%,IF(AND(SK$16&gt;=$F57,SK$16&lt;$F57+($G57*$I57)),"➤",""),"")</f>
        <v/>
      </c>
      <c r="SL57" s="76" t="str">
        <f aca="false">IF($I57&gt;0%,IF(AND(SL$16&gt;=$F57,SL$16&lt;$F57+($G57*$I57)),"➤",""),"")</f>
        <v/>
      </c>
      <c r="SM57" s="76" t="str">
        <f aca="false">IF($I57&gt;0%,IF(AND(SM$16&gt;=$F57,SM$16&lt;$F57+($G57*$I57)),"➤",""),"")</f>
        <v/>
      </c>
      <c r="SN57" s="76" t="str">
        <f aca="false">IF($I57&gt;0%,IF(AND(SN$16&gt;=$F57,SN$16&lt;$F57+($G57*$I57)),"➤",""),"")</f>
        <v/>
      </c>
      <c r="SO57" s="76" t="str">
        <f aca="false">IF($I57&gt;0%,IF(AND(SO$16&gt;=$F57,SO$16&lt;$F57+($G57*$I57)),"➤",""),"")</f>
        <v/>
      </c>
      <c r="SP57" s="76" t="str">
        <f aca="false">IF($I57&gt;0%,IF(AND(SP$16&gt;=$F57,SP$16&lt;$F57+($G57*$I57)),"➤",""),"")</f>
        <v/>
      </c>
      <c r="SQ57" s="76" t="str">
        <f aca="false">IF($I57&gt;0%,IF(AND(SQ$16&gt;=$F57,SQ$16&lt;$F57+($G57*$I57)),"➤",""),"")</f>
        <v/>
      </c>
      <c r="SR57" s="76" t="str">
        <f aca="false">IF($I57&gt;0%,IF(AND(SR$16&gt;=$F57,SR$16&lt;$F57+($G57*$I57)),"➤",""),"")</f>
        <v/>
      </c>
      <c r="SS57" s="76" t="str">
        <f aca="false">IF($I57&gt;0%,IF(AND(SS$16&gt;=$F57,SS$16&lt;$F57+($G57*$I57)),"➤",""),"")</f>
        <v/>
      </c>
      <c r="ST57" s="76" t="str">
        <f aca="false">IF($I57&gt;0%,IF(AND(ST$16&gt;=$F57,ST$16&lt;$F57+($G57*$I57)),"➤",""),"")</f>
        <v/>
      </c>
      <c r="SU57" s="76" t="str">
        <f aca="false">IF($I57&gt;0%,IF(AND(SU$16&gt;=$F57,SU$16&lt;$F57+($G57*$I57)),"➤",""),"")</f>
        <v/>
      </c>
      <c r="SV57" s="76" t="str">
        <f aca="false">IF($I57&gt;0%,IF(AND(SV$16&gt;=$F57,SV$16&lt;$F57+($G57*$I57)),"➤",""),"")</f>
        <v/>
      </c>
      <c r="SW57" s="77" t="str">
        <f aca="false">IF($I57&gt;0%,IF(AND(SW$16&gt;=$F57,SW$16&lt;$F57+($G57*$I57)),"➤",""),"")</f>
        <v/>
      </c>
    </row>
    <row r="58" customFormat="false" ht="14.25" hidden="false" customHeight="false" outlineLevel="1" collapsed="false">
      <c r="C58" s="10"/>
      <c r="D58" s="112"/>
      <c r="E58" s="79"/>
      <c r="F58" s="92" t="n">
        <v>44195</v>
      </c>
      <c r="G58" s="109" t="n">
        <v>4</v>
      </c>
      <c r="H58" s="94" t="n">
        <f aca="false">(F58+G58)-1</f>
        <v>44198</v>
      </c>
      <c r="I58" s="95" t="n">
        <v>0</v>
      </c>
      <c r="J58" s="84"/>
      <c r="K58" s="85"/>
      <c r="L58" s="75" t="str">
        <f aca="false">IF($I58&gt;0%,IF(AND(L$16&gt;=$F58,L$16&lt;$F58+($G58*$I58)),"➤",""),"")</f>
        <v/>
      </c>
      <c r="M58" s="76" t="str">
        <f aca="false">IF($I58&gt;0%,IF(AND(M$16&gt;=$F58,M$16&lt;$F58+($G58*$I58)),"➤",""),"")</f>
        <v/>
      </c>
      <c r="N58" s="76" t="str">
        <f aca="false">IF($I58&gt;0%,IF(AND(N$16&gt;=$F58,N$16&lt;$F58+($G58*$I58)),"➤",""),"")</f>
        <v/>
      </c>
      <c r="O58" s="76" t="str">
        <f aca="false">IF($I58&gt;0%,IF(AND(O$16&gt;=$F58,O$16&lt;$F58+($G58*$I58)),"➤",""),"")</f>
        <v/>
      </c>
      <c r="P58" s="76" t="str">
        <f aca="false">IF($I58&gt;0%,IF(AND(P$16&gt;=$F58,P$16&lt;$F58+($G58*$I58)),"➤",""),"")</f>
        <v/>
      </c>
      <c r="Q58" s="76" t="str">
        <f aca="false">IF($I58&gt;0%,IF(AND(Q$16&gt;=$F58,Q$16&lt;$F58+($G58*$I58)),"➤",""),"")</f>
        <v/>
      </c>
      <c r="R58" s="76" t="str">
        <f aca="false">IF($I58&gt;0%,IF(AND(R$16&gt;=$F58,R$16&lt;$F58+($G58*$I58)),"➤",""),"")</f>
        <v/>
      </c>
      <c r="S58" s="76" t="str">
        <f aca="false">IF($I58&gt;0%,IF(AND(S$16&gt;=$F58,S$16&lt;$F58+($G58*$I58)),"➤",""),"")</f>
        <v/>
      </c>
      <c r="T58" s="76" t="str">
        <f aca="false">IF($I58&gt;0%,IF(AND(T$16&gt;=$F58,T$16&lt;$F58+($G58*$I58)),"➤",""),"")</f>
        <v/>
      </c>
      <c r="U58" s="76" t="str">
        <f aca="false">IF($I58&gt;0%,IF(AND(U$16&gt;=$F58,U$16&lt;$F58+($G58*$I58)),"➤",""),"")</f>
        <v/>
      </c>
      <c r="V58" s="76" t="str">
        <f aca="false">IF($I58&gt;0%,IF(AND(V$16&gt;=$F58,V$16&lt;$F58+($G58*$I58)),"➤",""),"")</f>
        <v/>
      </c>
      <c r="W58" s="76" t="str">
        <f aca="false">IF($I58&gt;0%,IF(AND(W$16&gt;=$F58,W$16&lt;$F58+($G58*$I58)),"➤",""),"")</f>
        <v/>
      </c>
      <c r="X58" s="76" t="str">
        <f aca="false">IF($I58&gt;0%,IF(AND(X$16&gt;=$F58,X$16&lt;$F58+($G58*$I58)),"➤",""),"")</f>
        <v/>
      </c>
      <c r="Y58" s="76" t="str">
        <f aca="false">IF($I58&gt;0%,IF(AND(Y$16&gt;=$F58,Y$16&lt;$F58+($G58*$I58)),"➤",""),"")</f>
        <v/>
      </c>
      <c r="Z58" s="76" t="str">
        <f aca="false">IF($I58&gt;0%,IF(AND(Z$16&gt;=$F58,Z$16&lt;$F58+($G58*$I58)),"➤",""),"")</f>
        <v/>
      </c>
      <c r="AA58" s="76" t="str">
        <f aca="false">IF($I58&gt;0%,IF(AND(AA$16&gt;=$F58,AA$16&lt;$F58+($G58*$I58)),"➤",""),"")</f>
        <v/>
      </c>
      <c r="AB58" s="76" t="str">
        <f aca="false">IF($I58&gt;0%,IF(AND(AB$16&gt;=$F58,AB$16&lt;$F58+($G58*$I58)),"➤",""),"")</f>
        <v/>
      </c>
      <c r="AC58" s="76" t="str">
        <f aca="false">IF($I58&gt;0%,IF(AND(AC$16&gt;=$F58,AC$16&lt;$F58+($G58*$I58)),"➤",""),"")</f>
        <v/>
      </c>
      <c r="AD58" s="76" t="str">
        <f aca="false">IF($I58&gt;0%,IF(AND(AD$16&gt;=$F58,AD$16&lt;$F58+($G58*$I58)),"➤",""),"")</f>
        <v/>
      </c>
      <c r="AE58" s="76" t="str">
        <f aca="false">IF($I58&gt;0%,IF(AND(AE$16&gt;=$F58,AE$16&lt;$F58+($G58*$I58)),"➤",""),"")</f>
        <v/>
      </c>
      <c r="AF58" s="76" t="str">
        <f aca="false">IF($I58&gt;0%,IF(AND(AF$16&gt;=$F58,AF$16&lt;$F58+($G58*$I58)),"➤",""),"")</f>
        <v/>
      </c>
      <c r="AG58" s="76" t="str">
        <f aca="false">IF($I58&gt;0%,IF(AND(AG$16&gt;=$F58,AG$16&lt;$F58+($G58*$I58)),"➤",""),"")</f>
        <v/>
      </c>
      <c r="AH58" s="76" t="str">
        <f aca="false">IF($I58&gt;0%,IF(AND(AH$16&gt;=$F58,AH$16&lt;$F58+($G58*$I58)),"➤",""),"")</f>
        <v/>
      </c>
      <c r="AI58" s="76" t="str">
        <f aca="false">IF($I58&gt;0%,IF(AND(AI$16&gt;=$F58,AI$16&lt;$F58+($G58*$I58)),"➤",""),"")</f>
        <v/>
      </c>
      <c r="AJ58" s="76" t="str">
        <f aca="false">IF($I58&gt;0%,IF(AND(AJ$16&gt;=$F58,AJ$16&lt;$F58+($G58*$I58)),"➤",""),"")</f>
        <v/>
      </c>
      <c r="AK58" s="76" t="str">
        <f aca="false">IF($I58&gt;0%,IF(AND(AK$16&gt;=$F58,AK$16&lt;$F58+($G58*$I58)),"➤",""),"")</f>
        <v/>
      </c>
      <c r="AL58" s="76" t="str">
        <f aca="false">IF($I58&gt;0%,IF(AND(AL$16&gt;=$F58,AL$16&lt;$F58+($G58*$I58)),"➤",""),"")</f>
        <v/>
      </c>
      <c r="AM58" s="76" t="str">
        <f aca="false">IF($I58&gt;0%,IF(AND(AM$16&gt;=$F58,AM$16&lt;$F58+($G58*$I58)),"➤",""),"")</f>
        <v/>
      </c>
      <c r="AN58" s="76" t="str">
        <f aca="false">IF($I58&gt;0%,IF(AND(AN$16&gt;=$F58,AN$16&lt;$F58+($G58*$I58)),"➤",""),"")</f>
        <v/>
      </c>
      <c r="AO58" s="76" t="str">
        <f aca="false">IF($I58&gt;0%,IF(AND(AO$16&gt;=$F58,AO$16&lt;$F58+($G58*$I58)),"➤",""),"")</f>
        <v/>
      </c>
      <c r="AP58" s="76" t="str">
        <f aca="false">IF($I58&gt;0%,IF(AND(AP$16&gt;=$F58,AP$16&lt;$F58+($G58*$I58)),"➤",""),"")</f>
        <v/>
      </c>
      <c r="AQ58" s="76" t="str">
        <f aca="false">IF($I58&gt;0%,IF(AND(AQ$16&gt;=$F58,AQ$16&lt;$F58+($G58*$I58)),"➤",""),"")</f>
        <v/>
      </c>
      <c r="AR58" s="76" t="str">
        <f aca="false">IF($I58&gt;0%,IF(AND(AR$16&gt;=$F58,AR$16&lt;$F58+($G58*$I58)),"➤",""),"")</f>
        <v/>
      </c>
      <c r="AS58" s="76" t="str">
        <f aca="false">IF($I58&gt;0%,IF(AND(AS$16&gt;=$F58,AS$16&lt;$F58+($G58*$I58)),"➤",""),"")</f>
        <v/>
      </c>
      <c r="AT58" s="76" t="str">
        <f aca="false">IF($I58&gt;0%,IF(AND(AT$16&gt;=$F58,AT$16&lt;$F58+($G58*$I58)),"➤",""),"")</f>
        <v/>
      </c>
      <c r="AU58" s="76" t="str">
        <f aca="false">IF($I58&gt;0%,IF(AND(AU$16&gt;=$F58,AU$16&lt;$F58+($G58*$I58)),"➤",""),"")</f>
        <v/>
      </c>
      <c r="AV58" s="76" t="str">
        <f aca="false">IF($I58&gt;0%,IF(AND(AV$16&gt;=$F58,AV$16&lt;$F58+($G58*$I58)),"➤",""),"")</f>
        <v/>
      </c>
      <c r="AW58" s="76" t="str">
        <f aca="false">IF($I58&gt;0%,IF(AND(AW$16&gt;=$F58,AW$16&lt;$F58+($G58*$I58)),"➤",""),"")</f>
        <v/>
      </c>
      <c r="AX58" s="76" t="str">
        <f aca="false">IF($I58&gt;0%,IF(AND(AX$16&gt;=$F58,AX$16&lt;$F58+($G58*$I58)),"➤",""),"")</f>
        <v/>
      </c>
      <c r="AY58" s="76" t="str">
        <f aca="false">IF($I58&gt;0%,IF(AND(AY$16&gt;=$F58,AY$16&lt;$F58+($G58*$I58)),"➤",""),"")</f>
        <v/>
      </c>
      <c r="AZ58" s="76" t="str">
        <f aca="false">IF($I58&gt;0%,IF(AND(AZ$16&gt;=$F58,AZ$16&lt;$F58+($G58*$I58)),"➤",""),"")</f>
        <v/>
      </c>
      <c r="BA58" s="76" t="str">
        <f aca="false">IF($I58&gt;0%,IF(AND(BA$16&gt;=$F58,BA$16&lt;$F58+($G58*$I58)),"➤",""),"")</f>
        <v/>
      </c>
      <c r="BB58" s="76" t="str">
        <f aca="false">IF($I58&gt;0%,IF(AND(BB$16&gt;=$F58,BB$16&lt;$F58+($G58*$I58)),"➤",""),"")</f>
        <v/>
      </c>
      <c r="BC58" s="76" t="str">
        <f aca="false">IF($I58&gt;0%,IF(AND(BC$16&gt;=$F58,BC$16&lt;$F58+($G58*$I58)),"➤",""),"")</f>
        <v/>
      </c>
      <c r="BD58" s="76" t="str">
        <f aca="false">IF($I58&gt;0%,IF(AND(BD$16&gt;=$F58,BD$16&lt;$F58+($G58*$I58)),"➤",""),"")</f>
        <v/>
      </c>
      <c r="BE58" s="76" t="str">
        <f aca="false">IF($I58&gt;0%,IF(AND(BE$16&gt;=$F58,BE$16&lt;$F58+($G58*$I58)),"➤",""),"")</f>
        <v/>
      </c>
      <c r="BF58" s="76" t="str">
        <f aca="false">IF($I58&gt;0%,IF(AND(BF$16&gt;=$F58,BF$16&lt;$F58+($G58*$I58)),"➤",""),"")</f>
        <v/>
      </c>
      <c r="BG58" s="76" t="str">
        <f aca="false">IF($I58&gt;0%,IF(AND(BG$16&gt;=$F58,BG$16&lt;$F58+($G58*$I58)),"➤",""),"")</f>
        <v/>
      </c>
      <c r="BH58" s="76" t="str">
        <f aca="false">IF($I58&gt;0%,IF(AND(BH$16&gt;=$F58,BH$16&lt;$F58+($G58*$I58)),"➤",""),"")</f>
        <v/>
      </c>
      <c r="BI58" s="76" t="str">
        <f aca="false">IF($I58&gt;0%,IF(AND(BI$16&gt;=$F58,BI$16&lt;$F58+($G58*$I58)),"➤",""),"")</f>
        <v/>
      </c>
      <c r="BJ58" s="76" t="str">
        <f aca="false">IF($I58&gt;0%,IF(AND(BJ$16&gt;=$F58,BJ$16&lt;$F58+($G58*$I58)),"➤",""),"")</f>
        <v/>
      </c>
      <c r="BK58" s="76" t="str">
        <f aca="false">IF($I58&gt;0%,IF(AND(BK$16&gt;=$F58,BK$16&lt;$F58+($G58*$I58)),"➤",""),"")</f>
        <v/>
      </c>
      <c r="BL58" s="76" t="str">
        <f aca="false">IF($I58&gt;0%,IF(AND(BL$16&gt;=$F58,BL$16&lt;$F58+($G58*$I58)),"➤",""),"")</f>
        <v/>
      </c>
      <c r="BM58" s="76" t="str">
        <f aca="false">IF($I58&gt;0%,IF(AND(BM$16&gt;=$F58,BM$16&lt;$F58+($G58*$I58)),"➤",""),"")</f>
        <v/>
      </c>
      <c r="BN58" s="76" t="str">
        <f aca="false">IF($I58&gt;0%,IF(AND(BN$16&gt;=$F58,BN$16&lt;$F58+($G58*$I58)),"➤",""),"")</f>
        <v/>
      </c>
      <c r="BO58" s="76" t="str">
        <f aca="false">IF($I58&gt;0%,IF(AND(BO$16&gt;=$F58,BO$16&lt;$F58+($G58*$I58)),"➤",""),"")</f>
        <v/>
      </c>
      <c r="BP58" s="76" t="str">
        <f aca="false">IF($I58&gt;0%,IF(AND(BP$16&gt;=$F58,BP$16&lt;$F58+($G58*$I58)),"➤",""),"")</f>
        <v/>
      </c>
      <c r="BQ58" s="76" t="str">
        <f aca="false">IF($I58&gt;0%,IF(AND(BQ$16&gt;=$F58,BQ$16&lt;$F58+($G58*$I58)),"➤",""),"")</f>
        <v/>
      </c>
      <c r="BR58" s="76" t="str">
        <f aca="false">IF($I58&gt;0%,IF(AND(BR$16&gt;=$F58,BR$16&lt;$F58+($G58*$I58)),"➤",""),"")</f>
        <v/>
      </c>
      <c r="BS58" s="76" t="str">
        <f aca="false">IF($I58&gt;0%,IF(AND(BS$16&gt;=$F58,BS$16&lt;$F58+($G58*$I58)),"➤",""),"")</f>
        <v/>
      </c>
      <c r="BT58" s="76" t="str">
        <f aca="false">IF($I58&gt;0%,IF(AND(BT$16&gt;=$F58,BT$16&lt;$F58+($G58*$I58)),"➤",""),"")</f>
        <v/>
      </c>
      <c r="BU58" s="76" t="str">
        <f aca="false">IF($I58&gt;0%,IF(AND(BU$16&gt;=$F58,BU$16&lt;$F58+($G58*$I58)),"➤",""),"")</f>
        <v/>
      </c>
      <c r="BV58" s="76" t="str">
        <f aca="false">IF($I58&gt;0%,IF(AND(BV$16&gt;=$F58,BV$16&lt;$F58+($G58*$I58)),"➤",""),"")</f>
        <v/>
      </c>
      <c r="BW58" s="76" t="str">
        <f aca="false">IF($I58&gt;0%,IF(AND(BW$16&gt;=$F58,BW$16&lt;$F58+($G58*$I58)),"➤",""),"")</f>
        <v/>
      </c>
      <c r="BX58" s="76" t="str">
        <f aca="false">IF($I58&gt;0%,IF(AND(BX$16&gt;=$F58,BX$16&lt;$F58+($G58*$I58)),"➤",""),"")</f>
        <v/>
      </c>
      <c r="BY58" s="76" t="str">
        <f aca="false">IF($I58&gt;0%,IF(AND(BY$16&gt;=$F58,BY$16&lt;$F58+($G58*$I58)),"➤",""),"")</f>
        <v/>
      </c>
      <c r="BZ58" s="76" t="str">
        <f aca="false">IF($I58&gt;0%,IF(AND(BZ$16&gt;=$F58,BZ$16&lt;$F58+($G58*$I58)),"➤",""),"")</f>
        <v/>
      </c>
      <c r="CA58" s="76" t="str">
        <f aca="false">IF($I58&gt;0%,IF(AND(CA$16&gt;=$F58,CA$16&lt;$F58+($G58*$I58)),"➤",""),"")</f>
        <v/>
      </c>
      <c r="CB58" s="76" t="str">
        <f aca="false">IF($I58&gt;0%,IF(AND(CB$16&gt;=$F58,CB$16&lt;$F58+($G58*$I58)),"➤",""),"")</f>
        <v/>
      </c>
      <c r="CC58" s="76" t="str">
        <f aca="false">IF($I58&gt;0%,IF(AND(CC$16&gt;=$F58,CC$16&lt;$F58+($G58*$I58)),"➤",""),"")</f>
        <v/>
      </c>
      <c r="CD58" s="76" t="str">
        <f aca="false">IF($I58&gt;0%,IF(AND(CD$16&gt;=$F58,CD$16&lt;$F58+($G58*$I58)),"➤",""),"")</f>
        <v/>
      </c>
      <c r="CE58" s="76" t="str">
        <f aca="false">IF($I58&gt;0%,IF(AND(CE$16&gt;=$F58,CE$16&lt;$F58+($G58*$I58)),"➤",""),"")</f>
        <v/>
      </c>
      <c r="CF58" s="76" t="str">
        <f aca="false">IF($I58&gt;0%,IF(AND(CF$16&gt;=$F58,CF$16&lt;$F58+($G58*$I58)),"➤",""),"")</f>
        <v/>
      </c>
      <c r="CG58" s="76" t="str">
        <f aca="false">IF($I58&gt;0%,IF(AND(CG$16&gt;=$F58,CG$16&lt;$F58+($G58*$I58)),"➤",""),"")</f>
        <v/>
      </c>
      <c r="CH58" s="76" t="str">
        <f aca="false">IF($I58&gt;0%,IF(AND(CH$16&gt;=$F58,CH$16&lt;$F58+($G58*$I58)),"➤",""),"")</f>
        <v/>
      </c>
      <c r="CI58" s="76" t="str">
        <f aca="false">IF($I58&gt;0%,IF(AND(CI$16&gt;=$F58,CI$16&lt;$F58+($G58*$I58)),"➤",""),"")</f>
        <v/>
      </c>
      <c r="CJ58" s="76" t="str">
        <f aca="false">IF($I58&gt;0%,IF(AND(CJ$16&gt;=$F58,CJ$16&lt;$F58+($G58*$I58)),"➤",""),"")</f>
        <v/>
      </c>
      <c r="CK58" s="76" t="str">
        <f aca="false">IF($I58&gt;0%,IF(AND(CK$16&gt;=$F58,CK$16&lt;$F58+($G58*$I58)),"➤",""),"")</f>
        <v/>
      </c>
      <c r="CL58" s="76" t="str">
        <f aca="false">IF($I58&gt;0%,IF(AND(CL$16&gt;=$F58,CL$16&lt;$F58+($G58*$I58)),"➤",""),"")</f>
        <v/>
      </c>
      <c r="CM58" s="76" t="str">
        <f aca="false">IF($I58&gt;0%,IF(AND(CM$16&gt;=$F58,CM$16&lt;$F58+($G58*$I58)),"➤",""),"")</f>
        <v/>
      </c>
      <c r="CN58" s="76" t="str">
        <f aca="false">IF($I58&gt;0%,IF(AND(CN$16&gt;=$F58,CN$16&lt;$F58+($G58*$I58)),"➤",""),"")</f>
        <v/>
      </c>
      <c r="CO58" s="76" t="str">
        <f aca="false">IF($I58&gt;0%,IF(AND(CO$16&gt;=$F58,CO$16&lt;$F58+($G58*$I58)),"➤",""),"")</f>
        <v/>
      </c>
      <c r="CP58" s="76" t="str">
        <f aca="false">IF($I58&gt;0%,IF(AND(CP$16&gt;=$F58,CP$16&lt;$F58+($G58*$I58)),"➤",""),"")</f>
        <v/>
      </c>
      <c r="CQ58" s="76" t="str">
        <f aca="false">IF($I58&gt;0%,IF(AND(CQ$16&gt;=$F58,CQ$16&lt;$F58+($G58*$I58)),"➤",""),"")</f>
        <v/>
      </c>
      <c r="CR58" s="76" t="str">
        <f aca="false">IF($I58&gt;0%,IF(AND(CR$16&gt;=$F58,CR$16&lt;$F58+($G58*$I58)),"➤",""),"")</f>
        <v/>
      </c>
      <c r="CS58" s="76" t="str">
        <f aca="false">IF($I58&gt;0%,IF(AND(CS$16&gt;=$F58,CS$16&lt;$F58+($G58*$I58)),"➤",""),"")</f>
        <v/>
      </c>
      <c r="CT58" s="76" t="str">
        <f aca="false">IF($I58&gt;0%,IF(AND(CT$16&gt;=$F58,CT$16&lt;$F58+($G58*$I58)),"➤",""),"")</f>
        <v/>
      </c>
      <c r="CU58" s="76" t="str">
        <f aca="false">IF($I58&gt;0%,IF(AND(CU$16&gt;=$F58,CU$16&lt;$F58+($G58*$I58)),"➤",""),"")</f>
        <v/>
      </c>
      <c r="CV58" s="76" t="str">
        <f aca="false">IF($I58&gt;0%,IF(AND(CV$16&gt;=$F58,CV$16&lt;$F58+($G58*$I58)),"➤",""),"")</f>
        <v/>
      </c>
      <c r="CW58" s="76" t="str">
        <f aca="false">IF($I58&gt;0%,IF(AND(CW$16&gt;=$F58,CW$16&lt;$F58+($G58*$I58)),"➤",""),"")</f>
        <v/>
      </c>
      <c r="CX58" s="76" t="str">
        <f aca="false">IF($I58&gt;0%,IF(AND(CX$16&gt;=$F58,CX$16&lt;$F58+($G58*$I58)),"➤",""),"")</f>
        <v/>
      </c>
      <c r="CY58" s="76" t="str">
        <f aca="false">IF($I58&gt;0%,IF(AND(CY$16&gt;=$F58,CY$16&lt;$F58+($G58*$I58)),"➤",""),"")</f>
        <v/>
      </c>
      <c r="CZ58" s="76" t="str">
        <f aca="false">IF($I58&gt;0%,IF(AND(CZ$16&gt;=$F58,CZ$16&lt;$F58+($G58*$I58)),"➤",""),"")</f>
        <v/>
      </c>
      <c r="DA58" s="76" t="str">
        <f aca="false">IF($I58&gt;0%,IF(AND(DA$16&gt;=$F58,DA$16&lt;$F58+($G58*$I58)),"➤",""),"")</f>
        <v/>
      </c>
      <c r="DB58" s="76" t="str">
        <f aca="false">IF($I58&gt;0%,IF(AND(DB$16&gt;=$F58,DB$16&lt;$F58+($G58*$I58)),"➤",""),"")</f>
        <v/>
      </c>
      <c r="DC58" s="76" t="str">
        <f aca="false">IF($I58&gt;0%,IF(AND(DC$16&gt;=$F58,DC$16&lt;$F58+($G58*$I58)),"➤",""),"")</f>
        <v/>
      </c>
      <c r="DD58" s="76" t="str">
        <f aca="false">IF($I58&gt;0%,IF(AND(DD$16&gt;=$F58,DD$16&lt;$F58+($G58*$I58)),"➤",""),"")</f>
        <v/>
      </c>
      <c r="DE58" s="76" t="str">
        <f aca="false">IF($I58&gt;0%,IF(AND(DE$16&gt;=$F58,DE$16&lt;$F58+($G58*$I58)),"➤",""),"")</f>
        <v/>
      </c>
      <c r="DF58" s="76" t="str">
        <f aca="false">IF($I58&gt;0%,IF(AND(DF$16&gt;=$F58,DF$16&lt;$F58+($G58*$I58)),"➤",""),"")</f>
        <v/>
      </c>
      <c r="DG58" s="76" t="str">
        <f aca="false">IF($I58&gt;0%,IF(AND(DG$16&gt;=$F58,DG$16&lt;$F58+($G58*$I58)),"➤",""),"")</f>
        <v/>
      </c>
      <c r="DH58" s="76" t="str">
        <f aca="false">IF($I58&gt;0%,IF(AND(DH$16&gt;=$F58,DH$16&lt;$F58+($G58*$I58)),"➤",""),"")</f>
        <v/>
      </c>
      <c r="DI58" s="76" t="str">
        <f aca="false">IF($I58&gt;0%,IF(AND(DI$16&gt;=$F58,DI$16&lt;$F58+($G58*$I58)),"➤",""),"")</f>
        <v/>
      </c>
      <c r="DJ58" s="76" t="str">
        <f aca="false">IF($I58&gt;0%,IF(AND(DJ$16&gt;=$F58,DJ$16&lt;$F58+($G58*$I58)),"➤",""),"")</f>
        <v/>
      </c>
      <c r="DK58" s="76" t="str">
        <f aca="false">IF($I58&gt;0%,IF(AND(DK$16&gt;=$F58,DK$16&lt;$F58+($G58*$I58)),"➤",""),"")</f>
        <v/>
      </c>
      <c r="DL58" s="76" t="str">
        <f aca="false">IF($I58&gt;0%,IF(AND(DL$16&gt;=$F58,DL$16&lt;$F58+($G58*$I58)),"➤",""),"")</f>
        <v/>
      </c>
      <c r="DM58" s="76" t="str">
        <f aca="false">IF($I58&gt;0%,IF(AND(DM$16&gt;=$F58,DM$16&lt;$F58+($G58*$I58)),"➤",""),"")</f>
        <v/>
      </c>
      <c r="DN58" s="76" t="str">
        <f aca="false">IF($I58&gt;0%,IF(AND(DN$16&gt;=$F58,DN$16&lt;$F58+($G58*$I58)),"➤",""),"")</f>
        <v/>
      </c>
      <c r="DO58" s="76" t="str">
        <f aca="false">IF($I58&gt;0%,IF(AND(DO$16&gt;=$F58,DO$16&lt;$F58+($G58*$I58)),"➤",""),"")</f>
        <v/>
      </c>
      <c r="DP58" s="76" t="str">
        <f aca="false">IF($I58&gt;0%,IF(AND(DP$16&gt;=$F58,DP$16&lt;$F58+($G58*$I58)),"➤",""),"")</f>
        <v/>
      </c>
      <c r="DQ58" s="76" t="str">
        <f aca="false">IF($I58&gt;0%,IF(AND(DQ$16&gt;=$F58,DQ$16&lt;$F58+($G58*$I58)),"➤",""),"")</f>
        <v/>
      </c>
      <c r="DR58" s="76" t="str">
        <f aca="false">IF($I58&gt;0%,IF(AND(DR$16&gt;=$F58,DR$16&lt;$F58+($G58*$I58)),"➤",""),"")</f>
        <v/>
      </c>
      <c r="DS58" s="76" t="str">
        <f aca="false">IF($I58&gt;0%,IF(AND(DS$16&gt;=$F58,DS$16&lt;$F58+($G58*$I58)),"➤",""),"")</f>
        <v/>
      </c>
      <c r="DT58" s="76" t="str">
        <f aca="false">IF($I58&gt;0%,IF(AND(DT$16&gt;=$F58,DT$16&lt;$F58+($G58*$I58)),"➤",""),"")</f>
        <v/>
      </c>
      <c r="DU58" s="76" t="str">
        <f aca="false">IF($I58&gt;0%,IF(AND(DU$16&gt;=$F58,DU$16&lt;$F58+($G58*$I58)),"➤",""),"")</f>
        <v/>
      </c>
      <c r="DV58" s="76" t="str">
        <f aca="false">IF($I58&gt;0%,IF(AND(DV$16&gt;=$F58,DV$16&lt;$F58+($G58*$I58)),"➤",""),"")</f>
        <v/>
      </c>
      <c r="DW58" s="76" t="str">
        <f aca="false">IF($I58&gt;0%,IF(AND(DW$16&gt;=$F58,DW$16&lt;$F58+($G58*$I58)),"➤",""),"")</f>
        <v/>
      </c>
      <c r="DX58" s="76" t="str">
        <f aca="false">IF($I58&gt;0%,IF(AND(DX$16&gt;=$F58,DX$16&lt;$F58+($G58*$I58)),"➤",""),"")</f>
        <v/>
      </c>
      <c r="DY58" s="76" t="str">
        <f aca="false">IF($I58&gt;0%,IF(AND(DY$16&gt;=$F58,DY$16&lt;$F58+($G58*$I58)),"➤",""),"")</f>
        <v/>
      </c>
      <c r="DZ58" s="76" t="str">
        <f aca="false">IF($I58&gt;0%,IF(AND(DZ$16&gt;=$F58,DZ$16&lt;$F58+($G58*$I58)),"➤",""),"")</f>
        <v/>
      </c>
      <c r="EA58" s="76" t="str">
        <f aca="false">IF($I58&gt;0%,IF(AND(EA$16&gt;=$F58,EA$16&lt;$F58+($G58*$I58)),"➤",""),"")</f>
        <v/>
      </c>
      <c r="EB58" s="76" t="str">
        <f aca="false">IF($I58&gt;0%,IF(AND(EB$16&gt;=$F58,EB$16&lt;$F58+($G58*$I58)),"➤",""),"")</f>
        <v/>
      </c>
      <c r="EC58" s="76" t="str">
        <f aca="false">IF($I58&gt;0%,IF(AND(EC$16&gt;=$F58,EC$16&lt;$F58+($G58*$I58)),"➤",""),"")</f>
        <v/>
      </c>
      <c r="ED58" s="76" t="str">
        <f aca="false">IF($I58&gt;0%,IF(AND(ED$16&gt;=$F58,ED$16&lt;$F58+($G58*$I58)),"➤",""),"")</f>
        <v/>
      </c>
      <c r="EE58" s="76" t="str">
        <f aca="false">IF($I58&gt;0%,IF(AND(EE$16&gt;=$F58,EE$16&lt;$F58+($G58*$I58)),"➤",""),"")</f>
        <v/>
      </c>
      <c r="EF58" s="76" t="str">
        <f aca="false">IF($I58&gt;0%,IF(AND(EF$16&gt;=$F58,EF$16&lt;$F58+($G58*$I58)),"➤",""),"")</f>
        <v/>
      </c>
      <c r="EG58" s="76" t="str">
        <f aca="false">IF($I58&gt;0%,IF(AND(EG$16&gt;=$F58,EG$16&lt;$F58+($G58*$I58)),"➤",""),"")</f>
        <v/>
      </c>
      <c r="EH58" s="76" t="str">
        <f aca="false">IF($I58&gt;0%,IF(AND(EH$16&gt;=$F58,EH$16&lt;$F58+($G58*$I58)),"➤",""),"")</f>
        <v/>
      </c>
      <c r="EI58" s="76" t="str">
        <f aca="false">IF($I58&gt;0%,IF(AND(EI$16&gt;=$F58,EI$16&lt;$F58+($G58*$I58)),"➤",""),"")</f>
        <v/>
      </c>
      <c r="EJ58" s="76" t="str">
        <f aca="false">IF($I58&gt;0%,IF(AND(EJ$16&gt;=$F58,EJ$16&lt;$F58+($G58*$I58)),"➤",""),"")</f>
        <v/>
      </c>
      <c r="EK58" s="76" t="str">
        <f aca="false">IF($I58&gt;0%,IF(AND(EK$16&gt;=$F58,EK$16&lt;$F58+($G58*$I58)),"➤",""),"")</f>
        <v/>
      </c>
      <c r="EL58" s="76" t="str">
        <f aca="false">IF($I58&gt;0%,IF(AND(EL$16&gt;=$F58,EL$16&lt;$F58+($G58*$I58)),"➤",""),"")</f>
        <v/>
      </c>
      <c r="EM58" s="76" t="str">
        <f aca="false">IF($I58&gt;0%,IF(AND(EM$16&gt;=$F58,EM$16&lt;$F58+($G58*$I58)),"➤",""),"")</f>
        <v/>
      </c>
      <c r="EN58" s="76" t="str">
        <f aca="false">IF($I58&gt;0%,IF(AND(EN$16&gt;=$F58,EN$16&lt;$F58+($G58*$I58)),"➤",""),"")</f>
        <v/>
      </c>
      <c r="EO58" s="76" t="str">
        <f aca="false">IF($I58&gt;0%,IF(AND(EO$16&gt;=$F58,EO$16&lt;$F58+($G58*$I58)),"➤",""),"")</f>
        <v/>
      </c>
      <c r="EP58" s="76" t="str">
        <f aca="false">IF($I58&gt;0%,IF(AND(EP$16&gt;=$F58,EP$16&lt;$F58+($G58*$I58)),"➤",""),"")</f>
        <v/>
      </c>
      <c r="EQ58" s="76" t="str">
        <f aca="false">IF($I58&gt;0%,IF(AND(EQ$16&gt;=$F58,EQ$16&lt;$F58+($G58*$I58)),"➤",""),"")</f>
        <v/>
      </c>
      <c r="ER58" s="76" t="str">
        <f aca="false">IF($I58&gt;0%,IF(AND(ER$16&gt;=$F58,ER$16&lt;$F58+($G58*$I58)),"➤",""),"")</f>
        <v/>
      </c>
      <c r="ES58" s="76" t="str">
        <f aca="false">IF($I58&gt;0%,IF(AND(ES$16&gt;=$F58,ES$16&lt;$F58+($G58*$I58)),"➤",""),"")</f>
        <v/>
      </c>
      <c r="ET58" s="76" t="str">
        <f aca="false">IF($I58&gt;0%,IF(AND(ET$16&gt;=$F58,ET$16&lt;$F58+($G58*$I58)),"➤",""),"")</f>
        <v/>
      </c>
      <c r="EU58" s="76" t="str">
        <f aca="false">IF($I58&gt;0%,IF(AND(EU$16&gt;=$F58,EU$16&lt;$F58+($G58*$I58)),"➤",""),"")</f>
        <v/>
      </c>
      <c r="EV58" s="76" t="str">
        <f aca="false">IF($I58&gt;0%,IF(AND(EV$16&gt;=$F58,EV$16&lt;$F58+($G58*$I58)),"➤",""),"")</f>
        <v/>
      </c>
      <c r="EW58" s="76" t="str">
        <f aca="false">IF($I58&gt;0%,IF(AND(EW$16&gt;=$F58,EW$16&lt;$F58+($G58*$I58)),"➤",""),"")</f>
        <v/>
      </c>
      <c r="EX58" s="76" t="str">
        <f aca="false">IF($I58&gt;0%,IF(AND(EX$16&gt;=$F58,EX$16&lt;$F58+($G58*$I58)),"➤",""),"")</f>
        <v/>
      </c>
      <c r="EY58" s="76" t="str">
        <f aca="false">IF($I58&gt;0%,IF(AND(EY$16&gt;=$F58,EY$16&lt;$F58+($G58*$I58)),"➤",""),"")</f>
        <v/>
      </c>
      <c r="EZ58" s="76" t="str">
        <f aca="false">IF($I58&gt;0%,IF(AND(EZ$16&gt;=$F58,EZ$16&lt;$F58+($G58*$I58)),"➤",""),"")</f>
        <v/>
      </c>
      <c r="FA58" s="76" t="str">
        <f aca="false">IF($I58&gt;0%,IF(AND(FA$16&gt;=$F58,FA$16&lt;$F58+($G58*$I58)),"➤",""),"")</f>
        <v/>
      </c>
      <c r="FB58" s="76" t="str">
        <f aca="false">IF($I58&gt;0%,IF(AND(FB$16&gt;=$F58,FB$16&lt;$F58+($G58*$I58)),"➤",""),"")</f>
        <v/>
      </c>
      <c r="FC58" s="76" t="str">
        <f aca="false">IF($I58&gt;0%,IF(AND(FC$16&gt;=$F58,FC$16&lt;$F58+($G58*$I58)),"➤",""),"")</f>
        <v/>
      </c>
      <c r="FD58" s="76" t="str">
        <f aca="false">IF($I58&gt;0%,IF(AND(FD$16&gt;=$F58,FD$16&lt;$F58+($G58*$I58)),"➤",""),"")</f>
        <v/>
      </c>
      <c r="FE58" s="76" t="str">
        <f aca="false">IF($I58&gt;0%,IF(AND(FE$16&gt;=$F58,FE$16&lt;$F58+($G58*$I58)),"➤",""),"")</f>
        <v/>
      </c>
      <c r="FF58" s="76" t="str">
        <f aca="false">IF($I58&gt;0%,IF(AND(FF$16&gt;=$F58,FF$16&lt;$F58+($G58*$I58)),"➤",""),"")</f>
        <v/>
      </c>
      <c r="FG58" s="76" t="str">
        <f aca="false">IF($I58&gt;0%,IF(AND(FG$16&gt;=$F58,FG$16&lt;$F58+($G58*$I58)),"➤",""),"")</f>
        <v/>
      </c>
      <c r="FH58" s="76" t="str">
        <f aca="false">IF($I58&gt;0%,IF(AND(FH$16&gt;=$F58,FH$16&lt;$F58+($G58*$I58)),"➤",""),"")</f>
        <v/>
      </c>
      <c r="FI58" s="76" t="str">
        <f aca="false">IF($I58&gt;0%,IF(AND(FI$16&gt;=$F58,FI$16&lt;$F58+($G58*$I58)),"➤",""),"")</f>
        <v/>
      </c>
      <c r="FJ58" s="76" t="str">
        <f aca="false">IF($I58&gt;0%,IF(AND(FJ$16&gt;=$F58,FJ$16&lt;$F58+($G58*$I58)),"➤",""),"")</f>
        <v/>
      </c>
      <c r="FK58" s="76" t="str">
        <f aca="false">IF($I58&gt;0%,IF(AND(FK$16&gt;=$F58,FK$16&lt;$F58+($G58*$I58)),"➤",""),"")</f>
        <v/>
      </c>
      <c r="FL58" s="76" t="str">
        <f aca="false">IF($I58&gt;0%,IF(AND(FL$16&gt;=$F58,FL$16&lt;$F58+($G58*$I58)),"➤",""),"")</f>
        <v/>
      </c>
      <c r="FM58" s="76" t="str">
        <f aca="false">IF($I58&gt;0%,IF(AND(FM$16&gt;=$F58,FM$16&lt;$F58+($G58*$I58)),"➤",""),"")</f>
        <v/>
      </c>
      <c r="FN58" s="76" t="str">
        <f aca="false">IF($I58&gt;0%,IF(AND(FN$16&gt;=$F58,FN$16&lt;$F58+($G58*$I58)),"➤",""),"")</f>
        <v/>
      </c>
      <c r="FO58" s="76" t="str">
        <f aca="false">IF($I58&gt;0%,IF(AND(FO$16&gt;=$F58,FO$16&lt;$F58+($G58*$I58)),"➤",""),"")</f>
        <v/>
      </c>
      <c r="FP58" s="76" t="str">
        <f aca="false">IF($I58&gt;0%,IF(AND(FP$16&gt;=$F58,FP$16&lt;$F58+($G58*$I58)),"➤",""),"")</f>
        <v/>
      </c>
      <c r="FQ58" s="76" t="str">
        <f aca="false">IF($I58&gt;0%,IF(AND(FQ$16&gt;=$F58,FQ$16&lt;$F58+($G58*$I58)),"➤",""),"")</f>
        <v/>
      </c>
      <c r="FR58" s="76" t="str">
        <f aca="false">IF($I58&gt;0%,IF(AND(FR$16&gt;=$F58,FR$16&lt;$F58+($G58*$I58)),"➤",""),"")</f>
        <v/>
      </c>
      <c r="FS58" s="76" t="str">
        <f aca="false">IF($I58&gt;0%,IF(AND(FS$16&gt;=$F58,FS$16&lt;$F58+($G58*$I58)),"➤",""),"")</f>
        <v/>
      </c>
      <c r="FT58" s="76" t="str">
        <f aca="false">IF($I58&gt;0%,IF(AND(FT$16&gt;=$F58,FT$16&lt;$F58+($G58*$I58)),"➤",""),"")</f>
        <v/>
      </c>
      <c r="FU58" s="76" t="str">
        <f aca="false">IF($I58&gt;0%,IF(AND(FU$16&gt;=$F58,FU$16&lt;$F58+($G58*$I58)),"➤",""),"")</f>
        <v/>
      </c>
      <c r="FV58" s="76" t="str">
        <f aca="false">IF($I58&gt;0%,IF(AND(FV$16&gt;=$F58,FV$16&lt;$F58+($G58*$I58)),"➤",""),"")</f>
        <v/>
      </c>
      <c r="FW58" s="76" t="str">
        <f aca="false">IF($I58&gt;0%,IF(AND(FW$16&gt;=$F58,FW$16&lt;$F58+($G58*$I58)),"➤",""),"")</f>
        <v/>
      </c>
      <c r="FX58" s="76" t="str">
        <f aca="false">IF($I58&gt;0%,IF(AND(FX$16&gt;=$F58,FX$16&lt;$F58+($G58*$I58)),"➤",""),"")</f>
        <v/>
      </c>
      <c r="FY58" s="76" t="str">
        <f aca="false">IF($I58&gt;0%,IF(AND(FY$16&gt;=$F58,FY$16&lt;$F58+($G58*$I58)),"➤",""),"")</f>
        <v/>
      </c>
      <c r="FZ58" s="76" t="str">
        <f aca="false">IF($I58&gt;0%,IF(AND(FZ$16&gt;=$F58,FZ$16&lt;$F58+($G58*$I58)),"➤",""),"")</f>
        <v/>
      </c>
      <c r="GA58" s="76" t="str">
        <f aca="false">IF($I58&gt;0%,IF(AND(GA$16&gt;=$F58,GA$16&lt;$F58+($G58*$I58)),"➤",""),"")</f>
        <v/>
      </c>
      <c r="GB58" s="76" t="str">
        <f aca="false">IF($I58&gt;0%,IF(AND(GB$16&gt;=$F58,GB$16&lt;$F58+($G58*$I58)),"➤",""),"")</f>
        <v/>
      </c>
      <c r="GC58" s="76" t="str">
        <f aca="false">IF($I58&gt;0%,IF(AND(GC$16&gt;=$F58,GC$16&lt;$F58+($G58*$I58)),"➤",""),"")</f>
        <v/>
      </c>
      <c r="GD58" s="76" t="str">
        <f aca="false">IF($I58&gt;0%,IF(AND(GD$16&gt;=$F58,GD$16&lt;$F58+($G58*$I58)),"➤",""),"")</f>
        <v/>
      </c>
      <c r="GE58" s="76" t="str">
        <f aca="false">IF($I58&gt;0%,IF(AND(GE$16&gt;=$F58,GE$16&lt;$F58+($G58*$I58)),"➤",""),"")</f>
        <v/>
      </c>
      <c r="GF58" s="76" t="str">
        <f aca="false">IF($I58&gt;0%,IF(AND(GF$16&gt;=$F58,GF$16&lt;$F58+($G58*$I58)),"➤",""),"")</f>
        <v/>
      </c>
      <c r="GG58" s="76" t="str">
        <f aca="false">IF($I58&gt;0%,IF(AND(GG$16&gt;=$F58,GG$16&lt;$F58+($G58*$I58)),"➤",""),"")</f>
        <v/>
      </c>
      <c r="GH58" s="76" t="str">
        <f aca="false">IF($I58&gt;0%,IF(AND(GH$16&gt;=$F58,GH$16&lt;$F58+($G58*$I58)),"➤",""),"")</f>
        <v/>
      </c>
      <c r="GI58" s="76" t="str">
        <f aca="false">IF($I58&gt;0%,IF(AND(GI$16&gt;=$F58,GI$16&lt;$F58+($G58*$I58)),"➤",""),"")</f>
        <v/>
      </c>
      <c r="GJ58" s="76" t="str">
        <f aca="false">IF($I58&gt;0%,IF(AND(GJ$16&gt;=$F58,GJ$16&lt;$F58+($G58*$I58)),"➤",""),"")</f>
        <v/>
      </c>
      <c r="GK58" s="76" t="str">
        <f aca="false">IF($I58&gt;0%,IF(AND(GK$16&gt;=$F58,GK$16&lt;$F58+($G58*$I58)),"➤",""),"")</f>
        <v/>
      </c>
      <c r="GL58" s="76" t="str">
        <f aca="false">IF($I58&gt;0%,IF(AND(GL$16&gt;=$F58,GL$16&lt;$F58+($G58*$I58)),"➤",""),"")</f>
        <v/>
      </c>
      <c r="GM58" s="76" t="str">
        <f aca="false">IF($I58&gt;0%,IF(AND(GM$16&gt;=$F58,GM$16&lt;$F58+($G58*$I58)),"➤",""),"")</f>
        <v/>
      </c>
      <c r="GN58" s="76" t="str">
        <f aca="false">IF($I58&gt;0%,IF(AND(GN$16&gt;=$F58,GN$16&lt;$F58+($G58*$I58)),"➤",""),"")</f>
        <v/>
      </c>
      <c r="GO58" s="76" t="str">
        <f aca="false">IF($I58&gt;0%,IF(AND(GO$16&gt;=$F58,GO$16&lt;$F58+($G58*$I58)),"➤",""),"")</f>
        <v/>
      </c>
      <c r="GP58" s="76" t="str">
        <f aca="false">IF($I58&gt;0%,IF(AND(GP$16&gt;=$F58,GP$16&lt;$F58+($G58*$I58)),"➤",""),"")</f>
        <v/>
      </c>
      <c r="GQ58" s="76" t="str">
        <f aca="false">IF($I58&gt;0%,IF(AND(GQ$16&gt;=$F58,GQ$16&lt;$F58+($G58*$I58)),"➤",""),"")</f>
        <v/>
      </c>
      <c r="GR58" s="76" t="str">
        <f aca="false">IF($I58&gt;0%,IF(AND(GR$16&gt;=$F58,GR$16&lt;$F58+($G58*$I58)),"➤",""),"")</f>
        <v/>
      </c>
      <c r="GS58" s="76" t="str">
        <f aca="false">IF($I58&gt;0%,IF(AND(GS$16&gt;=$F58,GS$16&lt;$F58+($G58*$I58)),"➤",""),"")</f>
        <v/>
      </c>
      <c r="GT58" s="76" t="str">
        <f aca="false">IF($I58&gt;0%,IF(AND(GT$16&gt;=$F58,GT$16&lt;$F58+($G58*$I58)),"➤",""),"")</f>
        <v/>
      </c>
      <c r="GU58" s="76" t="str">
        <f aca="false">IF($I58&gt;0%,IF(AND(GU$16&gt;=$F58,GU$16&lt;$F58+($G58*$I58)),"➤",""),"")</f>
        <v/>
      </c>
      <c r="GV58" s="76" t="str">
        <f aca="false">IF($I58&gt;0%,IF(AND(GV$16&gt;=$F58,GV$16&lt;$F58+($G58*$I58)),"➤",""),"")</f>
        <v/>
      </c>
      <c r="GW58" s="76" t="str">
        <f aca="false">IF($I58&gt;0%,IF(AND(GW$16&gt;=$F58,GW$16&lt;$F58+($G58*$I58)),"➤",""),"")</f>
        <v/>
      </c>
      <c r="GX58" s="76" t="str">
        <f aca="false">IF($I58&gt;0%,IF(AND(GX$16&gt;=$F58,GX$16&lt;$F58+($G58*$I58)),"➤",""),"")</f>
        <v/>
      </c>
      <c r="GY58" s="76" t="str">
        <f aca="false">IF($I58&gt;0%,IF(AND(GY$16&gt;=$F58,GY$16&lt;$F58+($G58*$I58)),"➤",""),"")</f>
        <v/>
      </c>
      <c r="GZ58" s="76" t="str">
        <f aca="false">IF($I58&gt;0%,IF(AND(GZ$16&gt;=$F58,GZ$16&lt;$F58+($G58*$I58)),"➤",""),"")</f>
        <v/>
      </c>
      <c r="HA58" s="76" t="str">
        <f aca="false">IF($I58&gt;0%,IF(AND(HA$16&gt;=$F58,HA$16&lt;$F58+($G58*$I58)),"➤",""),"")</f>
        <v/>
      </c>
      <c r="HB58" s="76" t="str">
        <f aca="false">IF($I58&gt;0%,IF(AND(HB$16&gt;=$F58,HB$16&lt;$F58+($G58*$I58)),"➤",""),"")</f>
        <v/>
      </c>
      <c r="HC58" s="76" t="str">
        <f aca="false">IF($I58&gt;0%,IF(AND(HC$16&gt;=$F58,HC$16&lt;$F58+($G58*$I58)),"➤",""),"")</f>
        <v/>
      </c>
      <c r="HD58" s="76" t="str">
        <f aca="false">IF($I58&gt;0%,IF(AND(HD$16&gt;=$F58,HD$16&lt;$F58+($G58*$I58)),"➤",""),"")</f>
        <v/>
      </c>
      <c r="HE58" s="76" t="str">
        <f aca="false">IF($I58&gt;0%,IF(AND(HE$16&gt;=$F58,HE$16&lt;$F58+($G58*$I58)),"➤",""),"")</f>
        <v/>
      </c>
      <c r="HF58" s="76" t="str">
        <f aca="false">IF($I58&gt;0%,IF(AND(HF$16&gt;=$F58,HF$16&lt;$F58+($G58*$I58)),"➤",""),"")</f>
        <v/>
      </c>
      <c r="HG58" s="76" t="str">
        <f aca="false">IF($I58&gt;0%,IF(AND(HG$16&gt;=$F58,HG$16&lt;$F58+($G58*$I58)),"➤",""),"")</f>
        <v/>
      </c>
      <c r="HH58" s="76" t="str">
        <f aca="false">IF($I58&gt;0%,IF(AND(HH$16&gt;=$F58,HH$16&lt;$F58+($G58*$I58)),"➤",""),"")</f>
        <v/>
      </c>
      <c r="HI58" s="76" t="str">
        <f aca="false">IF($I58&gt;0%,IF(AND(HI$16&gt;=$F58,HI$16&lt;$F58+($G58*$I58)),"➤",""),"")</f>
        <v/>
      </c>
      <c r="HJ58" s="76" t="str">
        <f aca="false">IF($I58&gt;0%,IF(AND(HJ$16&gt;=$F58,HJ$16&lt;$F58+($G58*$I58)),"➤",""),"")</f>
        <v/>
      </c>
      <c r="HK58" s="76" t="str">
        <f aca="false">IF($I58&gt;0%,IF(AND(HK$16&gt;=$F58,HK$16&lt;$F58+($G58*$I58)),"➤",""),"")</f>
        <v/>
      </c>
      <c r="HL58" s="76" t="str">
        <f aca="false">IF($I58&gt;0%,IF(AND(HL$16&gt;=$F58,HL$16&lt;$F58+($G58*$I58)),"➤",""),"")</f>
        <v/>
      </c>
      <c r="HM58" s="76" t="str">
        <f aca="false">IF($I58&gt;0%,IF(AND(HM$16&gt;=$F58,HM$16&lt;$F58+($G58*$I58)),"➤",""),"")</f>
        <v/>
      </c>
      <c r="HN58" s="76" t="str">
        <f aca="false">IF($I58&gt;0%,IF(AND(HN$16&gt;=$F58,HN$16&lt;$F58+($G58*$I58)),"➤",""),"")</f>
        <v/>
      </c>
      <c r="HO58" s="76" t="str">
        <f aca="false">IF($I58&gt;0%,IF(AND(HO$16&gt;=$F58,HO$16&lt;$F58+($G58*$I58)),"➤",""),"")</f>
        <v/>
      </c>
      <c r="HP58" s="76" t="str">
        <f aca="false">IF($I58&gt;0%,IF(AND(HP$16&gt;=$F58,HP$16&lt;$F58+($G58*$I58)),"➤",""),"")</f>
        <v/>
      </c>
      <c r="HQ58" s="76" t="str">
        <f aca="false">IF($I58&gt;0%,IF(AND(HQ$16&gt;=$F58,HQ$16&lt;$F58+($G58*$I58)),"➤",""),"")</f>
        <v/>
      </c>
      <c r="HR58" s="76" t="str">
        <f aca="false">IF($I58&gt;0%,IF(AND(HR$16&gt;=$F58,HR$16&lt;$F58+($G58*$I58)),"➤",""),"")</f>
        <v/>
      </c>
      <c r="HS58" s="76" t="str">
        <f aca="false">IF($I58&gt;0%,IF(AND(HS$16&gt;=$F58,HS$16&lt;$F58+($G58*$I58)),"➤",""),"")</f>
        <v/>
      </c>
      <c r="HT58" s="76" t="str">
        <f aca="false">IF($I58&gt;0%,IF(AND(HT$16&gt;=$F58,HT$16&lt;$F58+($G58*$I58)),"➤",""),"")</f>
        <v/>
      </c>
      <c r="HU58" s="76" t="str">
        <f aca="false">IF($I58&gt;0%,IF(AND(HU$16&gt;=$F58,HU$16&lt;$F58+($G58*$I58)),"➤",""),"")</f>
        <v/>
      </c>
      <c r="HV58" s="76" t="str">
        <f aca="false">IF($I58&gt;0%,IF(AND(HV$16&gt;=$F58,HV$16&lt;$F58+($G58*$I58)),"➤",""),"")</f>
        <v/>
      </c>
      <c r="HW58" s="76" t="str">
        <f aca="false">IF($I58&gt;0%,IF(AND(HW$16&gt;=$F58,HW$16&lt;$F58+($G58*$I58)),"➤",""),"")</f>
        <v/>
      </c>
      <c r="HX58" s="76" t="str">
        <f aca="false">IF($I58&gt;0%,IF(AND(HX$16&gt;=$F58,HX$16&lt;$F58+($G58*$I58)),"➤",""),"")</f>
        <v/>
      </c>
      <c r="HY58" s="76" t="str">
        <f aca="false">IF($I58&gt;0%,IF(AND(HY$16&gt;=$F58,HY$16&lt;$F58+($G58*$I58)),"➤",""),"")</f>
        <v/>
      </c>
      <c r="HZ58" s="76" t="str">
        <f aca="false">IF($I58&gt;0%,IF(AND(HZ$16&gt;=$F58,HZ$16&lt;$F58+($G58*$I58)),"➤",""),"")</f>
        <v/>
      </c>
      <c r="IA58" s="76" t="str">
        <f aca="false">IF($I58&gt;0%,IF(AND(IA$16&gt;=$F58,IA$16&lt;$F58+($G58*$I58)),"➤",""),"")</f>
        <v/>
      </c>
      <c r="IB58" s="76" t="str">
        <f aca="false">IF($I58&gt;0%,IF(AND(IB$16&gt;=$F58,IB$16&lt;$F58+($G58*$I58)),"➤",""),"")</f>
        <v/>
      </c>
      <c r="IC58" s="76" t="str">
        <f aca="false">IF($I58&gt;0%,IF(AND(IC$16&gt;=$F58,IC$16&lt;$F58+($G58*$I58)),"➤",""),"")</f>
        <v/>
      </c>
      <c r="ID58" s="76" t="str">
        <f aca="false">IF($I58&gt;0%,IF(AND(ID$16&gt;=$F58,ID$16&lt;$F58+($G58*$I58)),"➤",""),"")</f>
        <v/>
      </c>
      <c r="IE58" s="76" t="str">
        <f aca="false">IF($I58&gt;0%,IF(AND(IE$16&gt;=$F58,IE$16&lt;$F58+($G58*$I58)),"➤",""),"")</f>
        <v/>
      </c>
      <c r="IF58" s="76" t="str">
        <f aca="false">IF($I58&gt;0%,IF(AND(IF$16&gt;=$F58,IF$16&lt;$F58+($G58*$I58)),"➤",""),"")</f>
        <v/>
      </c>
      <c r="IG58" s="76" t="str">
        <f aca="false">IF($I58&gt;0%,IF(AND(IG$16&gt;=$F58,IG$16&lt;$F58+($G58*$I58)),"➤",""),"")</f>
        <v/>
      </c>
      <c r="IH58" s="76" t="str">
        <f aca="false">IF($I58&gt;0%,IF(AND(IH$16&gt;=$F58,IH$16&lt;$F58+($G58*$I58)),"➤",""),"")</f>
        <v/>
      </c>
      <c r="II58" s="76" t="str">
        <f aca="false">IF($I58&gt;0%,IF(AND(II$16&gt;=$F58,II$16&lt;$F58+($G58*$I58)),"➤",""),"")</f>
        <v/>
      </c>
      <c r="IJ58" s="76" t="str">
        <f aca="false">IF($I58&gt;0%,IF(AND(IJ$16&gt;=$F58,IJ$16&lt;$F58+($G58*$I58)),"➤",""),"")</f>
        <v/>
      </c>
      <c r="IK58" s="76" t="str">
        <f aca="false">IF($I58&gt;0%,IF(AND(IK$16&gt;=$F58,IK$16&lt;$F58+($G58*$I58)),"➤",""),"")</f>
        <v/>
      </c>
      <c r="IL58" s="76" t="str">
        <f aca="false">IF($I58&gt;0%,IF(AND(IL$16&gt;=$F58,IL$16&lt;$F58+($G58*$I58)),"➤",""),"")</f>
        <v/>
      </c>
      <c r="IM58" s="76" t="str">
        <f aca="false">IF($I58&gt;0%,IF(AND(IM$16&gt;=$F58,IM$16&lt;$F58+($G58*$I58)),"➤",""),"")</f>
        <v/>
      </c>
      <c r="IN58" s="76" t="str">
        <f aca="false">IF($I58&gt;0%,IF(AND(IN$16&gt;=$F58,IN$16&lt;$F58+($G58*$I58)),"➤",""),"")</f>
        <v/>
      </c>
      <c r="IO58" s="76" t="str">
        <f aca="false">IF($I58&gt;0%,IF(AND(IO$16&gt;=$F58,IO$16&lt;$F58+($G58*$I58)),"➤",""),"")</f>
        <v/>
      </c>
      <c r="IP58" s="76" t="str">
        <f aca="false">IF($I58&gt;0%,IF(AND(IP$16&gt;=$F58,IP$16&lt;$F58+($G58*$I58)),"➤",""),"")</f>
        <v/>
      </c>
      <c r="IQ58" s="76" t="str">
        <f aca="false">IF($I58&gt;0%,IF(AND(IQ$16&gt;=$F58,IQ$16&lt;$F58+($G58*$I58)),"➤",""),"")</f>
        <v/>
      </c>
      <c r="IR58" s="76" t="str">
        <f aca="false">IF($I58&gt;0%,IF(AND(IR$16&gt;=$F58,IR$16&lt;$F58+($G58*$I58)),"➤",""),"")</f>
        <v/>
      </c>
      <c r="IS58" s="76" t="str">
        <f aca="false">IF($I58&gt;0%,IF(AND(IS$16&gt;=$F58,IS$16&lt;$F58+($G58*$I58)),"➤",""),"")</f>
        <v/>
      </c>
      <c r="IT58" s="76" t="str">
        <f aca="false">IF($I58&gt;0%,IF(AND(IT$16&gt;=$F58,IT$16&lt;$F58+($G58*$I58)),"➤",""),"")</f>
        <v/>
      </c>
      <c r="IU58" s="76" t="str">
        <f aca="false">IF($I58&gt;0%,IF(AND(IU$16&gt;=$F58,IU$16&lt;$F58+($G58*$I58)),"➤",""),"")</f>
        <v/>
      </c>
      <c r="IV58" s="76" t="str">
        <f aca="false">IF($I58&gt;0%,IF(AND(IV$16&gt;=$F58,IV$16&lt;$F58+($G58*$I58)),"➤",""),"")</f>
        <v/>
      </c>
      <c r="IW58" s="76" t="str">
        <f aca="false">IF($I58&gt;0%,IF(AND(IW$16&gt;=$F58,IW$16&lt;$F58+($G58*$I58)),"➤",""),"")</f>
        <v/>
      </c>
      <c r="IX58" s="76" t="str">
        <f aca="false">IF($I58&gt;0%,IF(AND(IX$16&gt;=$F58,IX$16&lt;$F58+($G58*$I58)),"➤",""),"")</f>
        <v/>
      </c>
      <c r="IY58" s="76" t="str">
        <f aca="false">IF($I58&gt;0%,IF(AND(IY$16&gt;=$F58,IY$16&lt;$F58+($G58*$I58)),"➤",""),"")</f>
        <v/>
      </c>
      <c r="IZ58" s="76" t="str">
        <f aca="false">IF($I58&gt;0%,IF(AND(IZ$16&gt;=$F58,IZ$16&lt;$F58+($G58*$I58)),"➤",""),"")</f>
        <v/>
      </c>
      <c r="JA58" s="76" t="str">
        <f aca="false">IF($I58&gt;0%,IF(AND(JA$16&gt;=$F58,JA$16&lt;$F58+($G58*$I58)),"➤",""),"")</f>
        <v/>
      </c>
      <c r="JB58" s="76" t="str">
        <f aca="false">IF($I58&gt;0%,IF(AND(JB$16&gt;=$F58,JB$16&lt;$F58+($G58*$I58)),"➤",""),"")</f>
        <v/>
      </c>
      <c r="JC58" s="76" t="str">
        <f aca="false">IF($I58&gt;0%,IF(AND(JC$16&gt;=$F58,JC$16&lt;$F58+($G58*$I58)),"➤",""),"")</f>
        <v/>
      </c>
      <c r="JD58" s="76" t="str">
        <f aca="false">IF($I58&gt;0%,IF(AND(JD$16&gt;=$F58,JD$16&lt;$F58+($G58*$I58)),"➤",""),"")</f>
        <v/>
      </c>
      <c r="JE58" s="76" t="str">
        <f aca="false">IF($I58&gt;0%,IF(AND(JE$16&gt;=$F58,JE$16&lt;$F58+($G58*$I58)),"➤",""),"")</f>
        <v/>
      </c>
      <c r="JF58" s="76" t="str">
        <f aca="false">IF($I58&gt;0%,IF(AND(JF$16&gt;=$F58,JF$16&lt;$F58+($G58*$I58)),"➤",""),"")</f>
        <v/>
      </c>
      <c r="JG58" s="76" t="str">
        <f aca="false">IF($I58&gt;0%,IF(AND(JG$16&gt;=$F58,JG$16&lt;$F58+($G58*$I58)),"➤",""),"")</f>
        <v/>
      </c>
      <c r="JH58" s="76" t="str">
        <f aca="false">IF($I58&gt;0%,IF(AND(JH$16&gt;=$F58,JH$16&lt;$F58+($G58*$I58)),"➤",""),"")</f>
        <v/>
      </c>
      <c r="JI58" s="76" t="str">
        <f aca="false">IF($I58&gt;0%,IF(AND(JI$16&gt;=$F58,JI$16&lt;$F58+($G58*$I58)),"➤",""),"")</f>
        <v/>
      </c>
      <c r="JJ58" s="76" t="str">
        <f aca="false">IF($I58&gt;0%,IF(AND(JJ$16&gt;=$F58,JJ$16&lt;$F58+($G58*$I58)),"➤",""),"")</f>
        <v/>
      </c>
      <c r="JK58" s="76" t="str">
        <f aca="false">IF($I58&gt;0%,IF(AND(JK$16&gt;=$F58,JK$16&lt;$F58+($G58*$I58)),"➤",""),"")</f>
        <v/>
      </c>
      <c r="JL58" s="76" t="str">
        <f aca="false">IF($I58&gt;0%,IF(AND(JL$16&gt;=$F58,JL$16&lt;$F58+($G58*$I58)),"➤",""),"")</f>
        <v/>
      </c>
      <c r="JM58" s="76" t="str">
        <f aca="false">IF($I58&gt;0%,IF(AND(JM$16&gt;=$F58,JM$16&lt;$F58+($G58*$I58)),"➤",""),"")</f>
        <v/>
      </c>
      <c r="JN58" s="76" t="str">
        <f aca="false">IF($I58&gt;0%,IF(AND(JN$16&gt;=$F58,JN$16&lt;$F58+($G58*$I58)),"➤",""),"")</f>
        <v/>
      </c>
      <c r="JO58" s="76" t="str">
        <f aca="false">IF($I58&gt;0%,IF(AND(JO$16&gt;=$F58,JO$16&lt;$F58+($G58*$I58)),"➤",""),"")</f>
        <v/>
      </c>
      <c r="JP58" s="76" t="str">
        <f aca="false">IF($I58&gt;0%,IF(AND(JP$16&gt;=$F58,JP$16&lt;$F58+($G58*$I58)),"➤",""),"")</f>
        <v/>
      </c>
      <c r="JQ58" s="76" t="str">
        <f aca="false">IF($I58&gt;0%,IF(AND(JQ$16&gt;=$F58,JQ$16&lt;$F58+($G58*$I58)),"➤",""),"")</f>
        <v/>
      </c>
      <c r="JR58" s="76" t="str">
        <f aca="false">IF($I58&gt;0%,IF(AND(JR$16&gt;=$F58,JR$16&lt;$F58+($G58*$I58)),"➤",""),"")</f>
        <v/>
      </c>
      <c r="JS58" s="76" t="str">
        <f aca="false">IF($I58&gt;0%,IF(AND(JS$16&gt;=$F58,JS$16&lt;$F58+($G58*$I58)),"➤",""),"")</f>
        <v/>
      </c>
      <c r="JT58" s="76" t="str">
        <f aca="false">IF($I58&gt;0%,IF(AND(JT$16&gt;=$F58,JT$16&lt;$F58+($G58*$I58)),"➤",""),"")</f>
        <v/>
      </c>
      <c r="JU58" s="76" t="str">
        <f aca="false">IF($I58&gt;0%,IF(AND(JU$16&gt;=$F58,JU$16&lt;$F58+($G58*$I58)),"➤",""),"")</f>
        <v/>
      </c>
      <c r="JV58" s="76" t="str">
        <f aca="false">IF($I58&gt;0%,IF(AND(JV$16&gt;=$F58,JV$16&lt;$F58+($G58*$I58)),"➤",""),"")</f>
        <v/>
      </c>
      <c r="JW58" s="76" t="str">
        <f aca="false">IF($I58&gt;0%,IF(AND(JW$16&gt;=$F58,JW$16&lt;$F58+($G58*$I58)),"➤",""),"")</f>
        <v/>
      </c>
      <c r="JX58" s="76" t="str">
        <f aca="false">IF($I58&gt;0%,IF(AND(JX$16&gt;=$F58,JX$16&lt;$F58+($G58*$I58)),"➤",""),"")</f>
        <v/>
      </c>
      <c r="JY58" s="76" t="str">
        <f aca="false">IF($I58&gt;0%,IF(AND(JY$16&gt;=$F58,JY$16&lt;$F58+($G58*$I58)),"➤",""),"")</f>
        <v/>
      </c>
      <c r="JZ58" s="76" t="str">
        <f aca="false">IF($I58&gt;0%,IF(AND(JZ$16&gt;=$F58,JZ$16&lt;$F58+($G58*$I58)),"➤",""),"")</f>
        <v/>
      </c>
      <c r="KA58" s="76" t="str">
        <f aca="false">IF($I58&gt;0%,IF(AND(KA$16&gt;=$F58,KA$16&lt;$F58+($G58*$I58)),"➤",""),"")</f>
        <v/>
      </c>
      <c r="KB58" s="76" t="str">
        <f aca="false">IF($I58&gt;0%,IF(AND(KB$16&gt;=$F58,KB$16&lt;$F58+($G58*$I58)),"➤",""),"")</f>
        <v/>
      </c>
      <c r="KC58" s="76" t="str">
        <f aca="false">IF($I58&gt;0%,IF(AND(KC$16&gt;=$F58,KC$16&lt;$F58+($G58*$I58)),"➤",""),"")</f>
        <v/>
      </c>
      <c r="KD58" s="76" t="str">
        <f aca="false">IF($I58&gt;0%,IF(AND(KD$16&gt;=$F58,KD$16&lt;$F58+($G58*$I58)),"➤",""),"")</f>
        <v/>
      </c>
      <c r="KE58" s="76" t="str">
        <f aca="false">IF($I58&gt;0%,IF(AND(KE$16&gt;=$F58,KE$16&lt;$F58+($G58*$I58)),"➤",""),"")</f>
        <v/>
      </c>
      <c r="KF58" s="76" t="str">
        <f aca="false">IF($I58&gt;0%,IF(AND(KF$16&gt;=$F58,KF$16&lt;$F58+($G58*$I58)),"➤",""),"")</f>
        <v/>
      </c>
      <c r="KG58" s="76" t="str">
        <f aca="false">IF($I58&gt;0%,IF(AND(KG$16&gt;=$F58,KG$16&lt;$F58+($G58*$I58)),"➤",""),"")</f>
        <v/>
      </c>
      <c r="KH58" s="76" t="str">
        <f aca="false">IF($I58&gt;0%,IF(AND(KH$16&gt;=$F58,KH$16&lt;$F58+($G58*$I58)),"➤",""),"")</f>
        <v/>
      </c>
      <c r="KI58" s="76" t="str">
        <f aca="false">IF($I58&gt;0%,IF(AND(KI$16&gt;=$F58,KI$16&lt;$F58+($G58*$I58)),"➤",""),"")</f>
        <v/>
      </c>
      <c r="KJ58" s="76" t="str">
        <f aca="false">IF($I58&gt;0%,IF(AND(KJ$16&gt;=$F58,KJ$16&lt;$F58+($G58*$I58)),"➤",""),"")</f>
        <v/>
      </c>
      <c r="KK58" s="76" t="str">
        <f aca="false">IF($I58&gt;0%,IF(AND(KK$16&gt;=$F58,KK$16&lt;$F58+($G58*$I58)),"➤",""),"")</f>
        <v/>
      </c>
      <c r="KL58" s="76" t="str">
        <f aca="false">IF($I58&gt;0%,IF(AND(KL$16&gt;=$F58,KL$16&lt;$F58+($G58*$I58)),"➤",""),"")</f>
        <v/>
      </c>
      <c r="KM58" s="76" t="str">
        <f aca="false">IF($I58&gt;0%,IF(AND(KM$16&gt;=$F58,KM$16&lt;$F58+($G58*$I58)),"➤",""),"")</f>
        <v/>
      </c>
      <c r="KN58" s="76" t="str">
        <f aca="false">IF($I58&gt;0%,IF(AND(KN$16&gt;=$F58,KN$16&lt;$F58+($G58*$I58)),"➤",""),"")</f>
        <v/>
      </c>
      <c r="KO58" s="76" t="str">
        <f aca="false">IF($I58&gt;0%,IF(AND(KO$16&gt;=$F58,KO$16&lt;$F58+($G58*$I58)),"➤",""),"")</f>
        <v/>
      </c>
      <c r="KP58" s="76" t="str">
        <f aca="false">IF($I58&gt;0%,IF(AND(KP$16&gt;=$F58,KP$16&lt;$F58+($G58*$I58)),"➤",""),"")</f>
        <v/>
      </c>
      <c r="KQ58" s="76" t="str">
        <f aca="false">IF($I58&gt;0%,IF(AND(KQ$16&gt;=$F58,KQ$16&lt;$F58+($G58*$I58)),"➤",""),"")</f>
        <v/>
      </c>
      <c r="KR58" s="76" t="str">
        <f aca="false">IF($I58&gt;0%,IF(AND(KR$16&gt;=$F58,KR$16&lt;$F58+($G58*$I58)),"➤",""),"")</f>
        <v/>
      </c>
      <c r="KS58" s="76" t="str">
        <f aca="false">IF($I58&gt;0%,IF(AND(KS$16&gt;=$F58,KS$16&lt;$F58+($G58*$I58)),"➤",""),"")</f>
        <v/>
      </c>
      <c r="KT58" s="76" t="str">
        <f aca="false">IF($I58&gt;0%,IF(AND(KT$16&gt;=$F58,KT$16&lt;$F58+($G58*$I58)),"➤",""),"")</f>
        <v/>
      </c>
      <c r="KU58" s="76" t="str">
        <f aca="false">IF($I58&gt;0%,IF(AND(KU$16&gt;=$F58,KU$16&lt;$F58+($G58*$I58)),"➤",""),"")</f>
        <v/>
      </c>
      <c r="KV58" s="76" t="str">
        <f aca="false">IF($I58&gt;0%,IF(AND(KV$16&gt;=$F58,KV$16&lt;$F58+($G58*$I58)),"➤",""),"")</f>
        <v/>
      </c>
      <c r="KW58" s="76" t="str">
        <f aca="false">IF($I58&gt;0%,IF(AND(KW$16&gt;=$F58,KW$16&lt;$F58+($G58*$I58)),"➤",""),"")</f>
        <v/>
      </c>
      <c r="KX58" s="76" t="str">
        <f aca="false">IF($I58&gt;0%,IF(AND(KX$16&gt;=$F58,KX$16&lt;$F58+($G58*$I58)),"➤",""),"")</f>
        <v/>
      </c>
      <c r="KY58" s="76" t="str">
        <f aca="false">IF($I58&gt;0%,IF(AND(KY$16&gt;=$F58,KY$16&lt;$F58+($G58*$I58)),"➤",""),"")</f>
        <v/>
      </c>
      <c r="KZ58" s="76" t="str">
        <f aca="false">IF($I58&gt;0%,IF(AND(KZ$16&gt;=$F58,KZ$16&lt;$F58+($G58*$I58)),"➤",""),"")</f>
        <v/>
      </c>
      <c r="LA58" s="76" t="str">
        <f aca="false">IF($I58&gt;0%,IF(AND(LA$16&gt;=$F58,LA$16&lt;$F58+($G58*$I58)),"➤",""),"")</f>
        <v/>
      </c>
      <c r="LB58" s="76" t="str">
        <f aca="false">IF($I58&gt;0%,IF(AND(LB$16&gt;=$F58,LB$16&lt;$F58+($G58*$I58)),"➤",""),"")</f>
        <v/>
      </c>
      <c r="LC58" s="76" t="str">
        <f aca="false">IF($I58&gt;0%,IF(AND(LC$16&gt;=$F58,LC$16&lt;$F58+($G58*$I58)),"➤",""),"")</f>
        <v/>
      </c>
      <c r="LD58" s="76" t="str">
        <f aca="false">IF($I58&gt;0%,IF(AND(LD$16&gt;=$F58,LD$16&lt;$F58+($G58*$I58)),"➤",""),"")</f>
        <v/>
      </c>
      <c r="LE58" s="76" t="str">
        <f aca="false">IF($I58&gt;0%,IF(AND(LE$16&gt;=$F58,LE$16&lt;$F58+($G58*$I58)),"➤",""),"")</f>
        <v/>
      </c>
      <c r="LF58" s="76" t="str">
        <f aca="false">IF($I58&gt;0%,IF(AND(LF$16&gt;=$F58,LF$16&lt;$F58+($G58*$I58)),"➤",""),"")</f>
        <v/>
      </c>
      <c r="LG58" s="76" t="str">
        <f aca="false">IF($I58&gt;0%,IF(AND(LG$16&gt;=$F58,LG$16&lt;$F58+($G58*$I58)),"➤",""),"")</f>
        <v/>
      </c>
      <c r="LH58" s="76" t="str">
        <f aca="false">IF($I58&gt;0%,IF(AND(LH$16&gt;=$F58,LH$16&lt;$F58+($G58*$I58)),"➤",""),"")</f>
        <v/>
      </c>
      <c r="LI58" s="76" t="str">
        <f aca="false">IF($I58&gt;0%,IF(AND(LI$16&gt;=$F58,LI$16&lt;$F58+($G58*$I58)),"➤",""),"")</f>
        <v/>
      </c>
      <c r="LJ58" s="76" t="str">
        <f aca="false">IF($I58&gt;0%,IF(AND(LJ$16&gt;=$F58,LJ$16&lt;$F58+($G58*$I58)),"➤",""),"")</f>
        <v/>
      </c>
      <c r="LK58" s="76" t="str">
        <f aca="false">IF($I58&gt;0%,IF(AND(LK$16&gt;=$F58,LK$16&lt;$F58+($G58*$I58)),"➤",""),"")</f>
        <v/>
      </c>
      <c r="LL58" s="76" t="str">
        <f aca="false">IF($I58&gt;0%,IF(AND(LL$16&gt;=$F58,LL$16&lt;$F58+($G58*$I58)),"➤",""),"")</f>
        <v/>
      </c>
      <c r="LM58" s="76" t="str">
        <f aca="false">IF($I58&gt;0%,IF(AND(LM$16&gt;=$F58,LM$16&lt;$F58+($G58*$I58)),"➤",""),"")</f>
        <v/>
      </c>
      <c r="LN58" s="76" t="str">
        <f aca="false">IF($I58&gt;0%,IF(AND(LN$16&gt;=$F58,LN$16&lt;$F58+($G58*$I58)),"➤",""),"")</f>
        <v/>
      </c>
      <c r="LO58" s="76" t="str">
        <f aca="false">IF($I58&gt;0%,IF(AND(LO$16&gt;=$F58,LO$16&lt;$F58+($G58*$I58)),"➤",""),"")</f>
        <v/>
      </c>
      <c r="LP58" s="76" t="str">
        <f aca="false">IF($I58&gt;0%,IF(AND(LP$16&gt;=$F58,LP$16&lt;$F58+($G58*$I58)),"➤",""),"")</f>
        <v/>
      </c>
      <c r="LQ58" s="76" t="str">
        <f aca="false">IF($I58&gt;0%,IF(AND(LQ$16&gt;=$F58,LQ$16&lt;$F58+($G58*$I58)),"➤",""),"")</f>
        <v/>
      </c>
      <c r="LR58" s="76" t="str">
        <f aca="false">IF($I58&gt;0%,IF(AND(LR$16&gt;=$F58,LR$16&lt;$F58+($G58*$I58)),"➤",""),"")</f>
        <v/>
      </c>
      <c r="LS58" s="76" t="str">
        <f aca="false">IF($I58&gt;0%,IF(AND(LS$16&gt;=$F58,LS$16&lt;$F58+($G58*$I58)),"➤",""),"")</f>
        <v/>
      </c>
      <c r="LT58" s="76" t="str">
        <f aca="false">IF($I58&gt;0%,IF(AND(LT$16&gt;=$F58,LT$16&lt;$F58+($G58*$I58)),"➤",""),"")</f>
        <v/>
      </c>
      <c r="LU58" s="76" t="str">
        <f aca="false">IF($I58&gt;0%,IF(AND(LU$16&gt;=$F58,LU$16&lt;$F58+($G58*$I58)),"➤",""),"")</f>
        <v/>
      </c>
      <c r="LV58" s="76" t="str">
        <f aca="false">IF($I58&gt;0%,IF(AND(LV$16&gt;=$F58,LV$16&lt;$F58+($G58*$I58)),"➤",""),"")</f>
        <v/>
      </c>
      <c r="LW58" s="76" t="str">
        <f aca="false">IF($I58&gt;0%,IF(AND(LW$16&gt;=$F58,LW$16&lt;$F58+($G58*$I58)),"➤",""),"")</f>
        <v/>
      </c>
      <c r="LX58" s="76" t="str">
        <f aca="false">IF($I58&gt;0%,IF(AND(LX$16&gt;=$F58,LX$16&lt;$F58+($G58*$I58)),"➤",""),"")</f>
        <v/>
      </c>
      <c r="LY58" s="76" t="str">
        <f aca="false">IF($I58&gt;0%,IF(AND(LY$16&gt;=$F58,LY$16&lt;$F58+($G58*$I58)),"➤",""),"")</f>
        <v/>
      </c>
      <c r="LZ58" s="76" t="str">
        <f aca="false">IF($I58&gt;0%,IF(AND(LZ$16&gt;=$F58,LZ$16&lt;$F58+($G58*$I58)),"➤",""),"")</f>
        <v/>
      </c>
      <c r="MA58" s="76" t="str">
        <f aca="false">IF($I58&gt;0%,IF(AND(MA$16&gt;=$F58,MA$16&lt;$F58+($G58*$I58)),"➤",""),"")</f>
        <v/>
      </c>
      <c r="MB58" s="76" t="str">
        <f aca="false">IF($I58&gt;0%,IF(AND(MB$16&gt;=$F58,MB$16&lt;$F58+($G58*$I58)),"➤",""),"")</f>
        <v/>
      </c>
      <c r="MC58" s="76" t="str">
        <f aca="false">IF($I58&gt;0%,IF(AND(MC$16&gt;=$F58,MC$16&lt;$F58+($G58*$I58)),"➤",""),"")</f>
        <v/>
      </c>
      <c r="MD58" s="76" t="str">
        <f aca="false">IF($I58&gt;0%,IF(AND(MD$16&gt;=$F58,MD$16&lt;$F58+($G58*$I58)),"➤",""),"")</f>
        <v/>
      </c>
      <c r="ME58" s="76" t="str">
        <f aca="false">IF($I58&gt;0%,IF(AND(ME$16&gt;=$F58,ME$16&lt;$F58+($G58*$I58)),"➤",""),"")</f>
        <v/>
      </c>
      <c r="MF58" s="76" t="str">
        <f aca="false">IF($I58&gt;0%,IF(AND(MF$16&gt;=$F58,MF$16&lt;$F58+($G58*$I58)),"➤",""),"")</f>
        <v/>
      </c>
      <c r="MG58" s="76" t="str">
        <f aca="false">IF($I58&gt;0%,IF(AND(MG$16&gt;=$F58,MG$16&lt;$F58+($G58*$I58)),"➤",""),"")</f>
        <v/>
      </c>
      <c r="MH58" s="76" t="str">
        <f aca="false">IF($I58&gt;0%,IF(AND(MH$16&gt;=$F58,MH$16&lt;$F58+($G58*$I58)),"➤",""),"")</f>
        <v/>
      </c>
      <c r="MI58" s="76" t="str">
        <f aca="false">IF($I58&gt;0%,IF(AND(MI$16&gt;=$F58,MI$16&lt;$F58+($G58*$I58)),"➤",""),"")</f>
        <v/>
      </c>
      <c r="MJ58" s="76" t="str">
        <f aca="false">IF($I58&gt;0%,IF(AND(MJ$16&gt;=$F58,MJ$16&lt;$F58+($G58*$I58)),"➤",""),"")</f>
        <v/>
      </c>
      <c r="MK58" s="76" t="str">
        <f aca="false">IF($I58&gt;0%,IF(AND(MK$16&gt;=$F58,MK$16&lt;$F58+($G58*$I58)),"➤",""),"")</f>
        <v/>
      </c>
      <c r="ML58" s="76" t="str">
        <f aca="false">IF($I58&gt;0%,IF(AND(ML$16&gt;=$F58,ML$16&lt;$F58+($G58*$I58)),"➤",""),"")</f>
        <v/>
      </c>
      <c r="MM58" s="76" t="str">
        <f aca="false">IF($I58&gt;0%,IF(AND(MM$16&gt;=$F58,MM$16&lt;$F58+($G58*$I58)),"➤",""),"")</f>
        <v/>
      </c>
      <c r="MN58" s="76" t="str">
        <f aca="false">IF($I58&gt;0%,IF(AND(MN$16&gt;=$F58,MN$16&lt;$F58+($G58*$I58)),"➤",""),"")</f>
        <v/>
      </c>
      <c r="MO58" s="76" t="str">
        <f aca="false">IF($I58&gt;0%,IF(AND(MO$16&gt;=$F58,MO$16&lt;$F58+($G58*$I58)),"➤",""),"")</f>
        <v/>
      </c>
      <c r="MP58" s="76" t="str">
        <f aca="false">IF($I58&gt;0%,IF(AND(MP$16&gt;=$F58,MP$16&lt;$F58+($G58*$I58)),"➤",""),"")</f>
        <v/>
      </c>
      <c r="MQ58" s="76" t="str">
        <f aca="false">IF($I58&gt;0%,IF(AND(MQ$16&gt;=$F58,MQ$16&lt;$F58+($G58*$I58)),"➤",""),"")</f>
        <v/>
      </c>
      <c r="MR58" s="76" t="str">
        <f aca="false">IF($I58&gt;0%,IF(AND(MR$16&gt;=$F58,MR$16&lt;$F58+($G58*$I58)),"➤",""),"")</f>
        <v/>
      </c>
      <c r="MS58" s="76" t="str">
        <f aca="false">IF($I58&gt;0%,IF(AND(MS$16&gt;=$F58,MS$16&lt;$F58+($G58*$I58)),"➤",""),"")</f>
        <v/>
      </c>
      <c r="MT58" s="76" t="str">
        <f aca="false">IF($I58&gt;0%,IF(AND(MT$16&gt;=$F58,MT$16&lt;$F58+($G58*$I58)),"➤",""),"")</f>
        <v/>
      </c>
      <c r="MU58" s="76" t="str">
        <f aca="false">IF($I58&gt;0%,IF(AND(MU$16&gt;=$F58,MU$16&lt;$F58+($G58*$I58)),"➤",""),"")</f>
        <v/>
      </c>
      <c r="MV58" s="76" t="str">
        <f aca="false">IF($I58&gt;0%,IF(AND(MV$16&gt;=$F58,MV$16&lt;$F58+($G58*$I58)),"➤",""),"")</f>
        <v/>
      </c>
      <c r="MW58" s="76" t="str">
        <f aca="false">IF($I58&gt;0%,IF(AND(MW$16&gt;=$F58,MW$16&lt;$F58+($G58*$I58)),"➤",""),"")</f>
        <v/>
      </c>
      <c r="MX58" s="76" t="str">
        <f aca="false">IF($I58&gt;0%,IF(AND(MX$16&gt;=$F58,MX$16&lt;$F58+($G58*$I58)),"➤",""),"")</f>
        <v/>
      </c>
      <c r="MY58" s="76" t="str">
        <f aca="false">IF($I58&gt;0%,IF(AND(MY$16&gt;=$F58,MY$16&lt;$F58+($G58*$I58)),"➤",""),"")</f>
        <v/>
      </c>
      <c r="MZ58" s="76" t="str">
        <f aca="false">IF($I58&gt;0%,IF(AND(MZ$16&gt;=$F58,MZ$16&lt;$F58+($G58*$I58)),"➤",""),"")</f>
        <v/>
      </c>
      <c r="NA58" s="76" t="str">
        <f aca="false">IF($I58&gt;0%,IF(AND(NA$16&gt;=$F58,NA$16&lt;$F58+($G58*$I58)),"➤",""),"")</f>
        <v/>
      </c>
      <c r="NB58" s="76" t="str">
        <f aca="false">IF($I58&gt;0%,IF(AND(NB$16&gt;=$F58,NB$16&lt;$F58+($G58*$I58)),"➤",""),"")</f>
        <v/>
      </c>
      <c r="NC58" s="76" t="str">
        <f aca="false">IF($I58&gt;0%,IF(AND(NC$16&gt;=$F58,NC$16&lt;$F58+($G58*$I58)),"➤",""),"")</f>
        <v/>
      </c>
      <c r="ND58" s="76" t="str">
        <f aca="false">IF($I58&gt;0%,IF(AND(ND$16&gt;=$F58,ND$16&lt;$F58+($G58*$I58)),"➤",""),"")</f>
        <v/>
      </c>
      <c r="NE58" s="76" t="str">
        <f aca="false">IF($I58&gt;0%,IF(AND(NE$16&gt;=$F58,NE$16&lt;$F58+($G58*$I58)),"➤",""),"")</f>
        <v/>
      </c>
      <c r="NF58" s="76" t="str">
        <f aca="false">IF($I58&gt;0%,IF(AND(NF$16&gt;=$F58,NF$16&lt;$F58+($G58*$I58)),"➤",""),"")</f>
        <v/>
      </c>
      <c r="NG58" s="76" t="str">
        <f aca="false">IF($I58&gt;0%,IF(AND(NG$16&gt;=$F58,NG$16&lt;$F58+($G58*$I58)),"➤",""),"")</f>
        <v/>
      </c>
      <c r="NH58" s="76" t="str">
        <f aca="false">IF($I58&gt;0%,IF(AND(NH$16&gt;=$F58,NH$16&lt;$F58+($G58*$I58)),"➤",""),"")</f>
        <v/>
      </c>
      <c r="NI58" s="76" t="str">
        <f aca="false">IF($I58&gt;0%,IF(AND(NI$16&gt;=$F58,NI$16&lt;$F58+($G58*$I58)),"➤",""),"")</f>
        <v/>
      </c>
      <c r="NJ58" s="76" t="str">
        <f aca="false">IF($I58&gt;0%,IF(AND(NJ$16&gt;=$F58,NJ$16&lt;$F58+($G58*$I58)),"➤",""),"")</f>
        <v/>
      </c>
      <c r="NK58" s="76" t="str">
        <f aca="false">IF($I58&gt;0%,IF(AND(NK$16&gt;=$F58,NK$16&lt;$F58+($G58*$I58)),"➤",""),"")</f>
        <v/>
      </c>
      <c r="NL58" s="76" t="str">
        <f aca="false">IF($I58&gt;0%,IF(AND(NL$16&gt;=$F58,NL$16&lt;$F58+($G58*$I58)),"➤",""),"")</f>
        <v/>
      </c>
      <c r="NM58" s="76" t="str">
        <f aca="false">IF($I58&gt;0%,IF(AND(NM$16&gt;=$F58,NM$16&lt;$F58+($G58*$I58)),"➤",""),"")</f>
        <v/>
      </c>
      <c r="NN58" s="76" t="str">
        <f aca="false">IF($I58&gt;0%,IF(AND(NN$16&gt;=$F58,NN$16&lt;$F58+($G58*$I58)),"➤",""),"")</f>
        <v/>
      </c>
      <c r="NO58" s="76" t="str">
        <f aca="false">IF($I58&gt;0%,IF(AND(NO$16&gt;=$F58,NO$16&lt;$F58+($G58*$I58)),"➤",""),"")</f>
        <v/>
      </c>
      <c r="NP58" s="76" t="str">
        <f aca="false">IF($I58&gt;0%,IF(AND(NP$16&gt;=$F58,NP$16&lt;$F58+($G58*$I58)),"➤",""),"")</f>
        <v/>
      </c>
      <c r="NQ58" s="76" t="str">
        <f aca="false">IF($I58&gt;0%,IF(AND(NQ$16&gt;=$F58,NQ$16&lt;$F58+($G58*$I58)),"➤",""),"")</f>
        <v/>
      </c>
      <c r="NR58" s="76" t="str">
        <f aca="false">IF($I58&gt;0%,IF(AND(NR$16&gt;=$F58,NR$16&lt;$F58+($G58*$I58)),"➤",""),"")</f>
        <v/>
      </c>
      <c r="NS58" s="76" t="str">
        <f aca="false">IF($I58&gt;0%,IF(AND(NS$16&gt;=$F58,NS$16&lt;$F58+($G58*$I58)),"➤",""),"")</f>
        <v/>
      </c>
      <c r="NT58" s="76" t="str">
        <f aca="false">IF($I58&gt;0%,IF(AND(NT$16&gt;=$F58,NT$16&lt;$F58+($G58*$I58)),"➤",""),"")</f>
        <v/>
      </c>
      <c r="NU58" s="76" t="str">
        <f aca="false">IF($I58&gt;0%,IF(AND(NU$16&gt;=$F58,NU$16&lt;$F58+($G58*$I58)),"➤",""),"")</f>
        <v/>
      </c>
      <c r="NV58" s="76" t="str">
        <f aca="false">IF($I58&gt;0%,IF(AND(NV$16&gt;=$F58,NV$16&lt;$F58+($G58*$I58)),"➤",""),"")</f>
        <v/>
      </c>
      <c r="NW58" s="76" t="str">
        <f aca="false">IF($I58&gt;0%,IF(AND(NW$16&gt;=$F58,NW$16&lt;$F58+($G58*$I58)),"➤",""),"")</f>
        <v/>
      </c>
      <c r="NX58" s="76" t="str">
        <f aca="false">IF($I58&gt;0%,IF(AND(NX$16&gt;=$F58,NX$16&lt;$F58+($G58*$I58)),"➤",""),"")</f>
        <v/>
      </c>
      <c r="NY58" s="76" t="str">
        <f aca="false">IF($I58&gt;0%,IF(AND(NY$16&gt;=$F58,NY$16&lt;$F58+($G58*$I58)),"➤",""),"")</f>
        <v/>
      </c>
      <c r="NZ58" s="76" t="str">
        <f aca="false">IF($I58&gt;0%,IF(AND(NZ$16&gt;=$F58,NZ$16&lt;$F58+($G58*$I58)),"➤",""),"")</f>
        <v/>
      </c>
      <c r="OA58" s="76" t="str">
        <f aca="false">IF($I58&gt;0%,IF(AND(OA$16&gt;=$F58,OA$16&lt;$F58+($G58*$I58)),"➤",""),"")</f>
        <v/>
      </c>
      <c r="OB58" s="76" t="str">
        <f aca="false">IF($I58&gt;0%,IF(AND(OB$16&gt;=$F58,OB$16&lt;$F58+($G58*$I58)),"➤",""),"")</f>
        <v/>
      </c>
      <c r="OC58" s="76" t="str">
        <f aca="false">IF($I58&gt;0%,IF(AND(OC$16&gt;=$F58,OC$16&lt;$F58+($G58*$I58)),"➤",""),"")</f>
        <v/>
      </c>
      <c r="OD58" s="76" t="str">
        <f aca="false">IF($I58&gt;0%,IF(AND(OD$16&gt;=$F58,OD$16&lt;$F58+($G58*$I58)),"➤",""),"")</f>
        <v/>
      </c>
      <c r="OE58" s="76" t="str">
        <f aca="false">IF($I58&gt;0%,IF(AND(OE$16&gt;=$F58,OE$16&lt;$F58+($G58*$I58)),"➤",""),"")</f>
        <v/>
      </c>
      <c r="OF58" s="76" t="str">
        <f aca="false">IF($I58&gt;0%,IF(AND(OF$16&gt;=$F58,OF$16&lt;$F58+($G58*$I58)),"➤",""),"")</f>
        <v/>
      </c>
      <c r="OG58" s="76" t="str">
        <f aca="false">IF($I58&gt;0%,IF(AND(OG$16&gt;=$F58,OG$16&lt;$F58+($G58*$I58)),"➤",""),"")</f>
        <v/>
      </c>
      <c r="OH58" s="76" t="str">
        <f aca="false">IF($I58&gt;0%,IF(AND(OH$16&gt;=$F58,OH$16&lt;$F58+($G58*$I58)),"➤",""),"")</f>
        <v/>
      </c>
      <c r="OI58" s="76" t="str">
        <f aca="false">IF($I58&gt;0%,IF(AND(OI$16&gt;=$F58,OI$16&lt;$F58+($G58*$I58)),"➤",""),"")</f>
        <v/>
      </c>
      <c r="OJ58" s="76" t="str">
        <f aca="false">IF($I58&gt;0%,IF(AND(OJ$16&gt;=$F58,OJ$16&lt;$F58+($G58*$I58)),"➤",""),"")</f>
        <v/>
      </c>
      <c r="OK58" s="76" t="str">
        <f aca="false">IF($I58&gt;0%,IF(AND(OK$16&gt;=$F58,OK$16&lt;$F58+($G58*$I58)),"➤",""),"")</f>
        <v/>
      </c>
      <c r="OL58" s="76" t="str">
        <f aca="false">IF($I58&gt;0%,IF(AND(OL$16&gt;=$F58,OL$16&lt;$F58+($G58*$I58)),"➤",""),"")</f>
        <v/>
      </c>
      <c r="OM58" s="76" t="str">
        <f aca="false">IF($I58&gt;0%,IF(AND(OM$16&gt;=$F58,OM$16&lt;$F58+($G58*$I58)),"➤",""),"")</f>
        <v/>
      </c>
      <c r="ON58" s="76" t="str">
        <f aca="false">IF($I58&gt;0%,IF(AND(ON$16&gt;=$F58,ON$16&lt;$F58+($G58*$I58)),"➤",""),"")</f>
        <v/>
      </c>
      <c r="OO58" s="76" t="str">
        <f aca="false">IF($I58&gt;0%,IF(AND(OO$16&gt;=$F58,OO$16&lt;$F58+($G58*$I58)),"➤",""),"")</f>
        <v/>
      </c>
      <c r="OP58" s="76" t="str">
        <f aca="false">IF($I58&gt;0%,IF(AND(OP$16&gt;=$F58,OP$16&lt;$F58+($G58*$I58)),"➤",""),"")</f>
        <v/>
      </c>
      <c r="OQ58" s="76" t="str">
        <f aca="false">IF($I58&gt;0%,IF(AND(OQ$16&gt;=$F58,OQ$16&lt;$F58+($G58*$I58)),"➤",""),"")</f>
        <v/>
      </c>
      <c r="OR58" s="76" t="str">
        <f aca="false">IF($I58&gt;0%,IF(AND(OR$16&gt;=$F58,OR$16&lt;$F58+($G58*$I58)),"➤",""),"")</f>
        <v/>
      </c>
      <c r="OS58" s="76" t="str">
        <f aca="false">IF($I58&gt;0%,IF(AND(OS$16&gt;=$F58,OS$16&lt;$F58+($G58*$I58)),"➤",""),"")</f>
        <v/>
      </c>
      <c r="OT58" s="76" t="str">
        <f aca="false">IF($I58&gt;0%,IF(AND(OT$16&gt;=$F58,OT$16&lt;$F58+($G58*$I58)),"➤",""),"")</f>
        <v/>
      </c>
      <c r="OU58" s="76" t="str">
        <f aca="false">IF($I58&gt;0%,IF(AND(OU$16&gt;=$F58,OU$16&lt;$F58+($G58*$I58)),"➤",""),"")</f>
        <v/>
      </c>
      <c r="OV58" s="76" t="str">
        <f aca="false">IF($I58&gt;0%,IF(AND(OV$16&gt;=$F58,OV$16&lt;$F58+($G58*$I58)),"➤",""),"")</f>
        <v/>
      </c>
      <c r="OW58" s="76" t="str">
        <f aca="false">IF($I58&gt;0%,IF(AND(OW$16&gt;=$F58,OW$16&lt;$F58+($G58*$I58)),"➤",""),"")</f>
        <v/>
      </c>
      <c r="OX58" s="76" t="str">
        <f aca="false">IF($I58&gt;0%,IF(AND(OX$16&gt;=$F58,OX$16&lt;$F58+($G58*$I58)),"➤",""),"")</f>
        <v/>
      </c>
      <c r="OY58" s="76" t="str">
        <f aca="false">IF($I58&gt;0%,IF(AND(OY$16&gt;=$F58,OY$16&lt;$F58+($G58*$I58)),"➤",""),"")</f>
        <v/>
      </c>
      <c r="OZ58" s="76" t="str">
        <f aca="false">IF($I58&gt;0%,IF(AND(OZ$16&gt;=$F58,OZ$16&lt;$F58+($G58*$I58)),"➤",""),"")</f>
        <v/>
      </c>
      <c r="PA58" s="76" t="str">
        <f aca="false">IF($I58&gt;0%,IF(AND(PA$16&gt;=$F58,PA$16&lt;$F58+($G58*$I58)),"➤",""),"")</f>
        <v/>
      </c>
      <c r="PB58" s="76" t="str">
        <f aca="false">IF($I58&gt;0%,IF(AND(PB$16&gt;=$F58,PB$16&lt;$F58+($G58*$I58)),"➤",""),"")</f>
        <v/>
      </c>
      <c r="PC58" s="76" t="str">
        <f aca="false">IF($I58&gt;0%,IF(AND(PC$16&gt;=$F58,PC$16&lt;$F58+($G58*$I58)),"➤",""),"")</f>
        <v/>
      </c>
      <c r="PD58" s="76" t="str">
        <f aca="false">IF($I58&gt;0%,IF(AND(PD$16&gt;=$F58,PD$16&lt;$F58+($G58*$I58)),"➤",""),"")</f>
        <v/>
      </c>
      <c r="PE58" s="76" t="str">
        <f aca="false">IF($I58&gt;0%,IF(AND(PE$16&gt;=$F58,PE$16&lt;$F58+($G58*$I58)),"➤",""),"")</f>
        <v/>
      </c>
      <c r="PF58" s="76" t="str">
        <f aca="false">IF($I58&gt;0%,IF(AND(PF$16&gt;=$F58,PF$16&lt;$F58+($G58*$I58)),"➤",""),"")</f>
        <v/>
      </c>
      <c r="PG58" s="76" t="str">
        <f aca="false">IF($I58&gt;0%,IF(AND(PG$16&gt;=$F58,PG$16&lt;$F58+($G58*$I58)),"➤",""),"")</f>
        <v/>
      </c>
      <c r="PH58" s="76" t="str">
        <f aca="false">IF($I58&gt;0%,IF(AND(PH$16&gt;=$F58,PH$16&lt;$F58+($G58*$I58)),"➤",""),"")</f>
        <v/>
      </c>
      <c r="PI58" s="76" t="str">
        <f aca="false">IF($I58&gt;0%,IF(AND(PI$16&gt;=$F58,PI$16&lt;$F58+($G58*$I58)),"➤",""),"")</f>
        <v/>
      </c>
      <c r="PJ58" s="76" t="str">
        <f aca="false">IF($I58&gt;0%,IF(AND(PJ$16&gt;=$F58,PJ$16&lt;$F58+($G58*$I58)),"➤",""),"")</f>
        <v/>
      </c>
      <c r="PK58" s="76" t="str">
        <f aca="false">IF($I58&gt;0%,IF(AND(PK$16&gt;=$F58,PK$16&lt;$F58+($G58*$I58)),"➤",""),"")</f>
        <v/>
      </c>
      <c r="PL58" s="76" t="str">
        <f aca="false">IF($I58&gt;0%,IF(AND(PL$16&gt;=$F58,PL$16&lt;$F58+($G58*$I58)),"➤",""),"")</f>
        <v/>
      </c>
      <c r="PM58" s="76" t="str">
        <f aca="false">IF($I58&gt;0%,IF(AND(PM$16&gt;=$F58,PM$16&lt;$F58+($G58*$I58)),"➤",""),"")</f>
        <v/>
      </c>
      <c r="PN58" s="76" t="str">
        <f aca="false">IF($I58&gt;0%,IF(AND(PN$16&gt;=$F58,PN$16&lt;$F58+($G58*$I58)),"➤",""),"")</f>
        <v/>
      </c>
      <c r="PO58" s="76" t="str">
        <f aca="false">IF($I58&gt;0%,IF(AND(PO$16&gt;=$F58,PO$16&lt;$F58+($G58*$I58)),"➤",""),"")</f>
        <v/>
      </c>
      <c r="PP58" s="76" t="str">
        <f aca="false">IF($I58&gt;0%,IF(AND(PP$16&gt;=$F58,PP$16&lt;$F58+($G58*$I58)),"➤",""),"")</f>
        <v/>
      </c>
      <c r="PQ58" s="76" t="str">
        <f aca="false">IF($I58&gt;0%,IF(AND(PQ$16&gt;=$F58,PQ$16&lt;$F58+($G58*$I58)),"➤",""),"")</f>
        <v/>
      </c>
      <c r="PR58" s="76" t="str">
        <f aca="false">IF($I58&gt;0%,IF(AND(PR$16&gt;=$F58,PR$16&lt;$F58+($G58*$I58)),"➤",""),"")</f>
        <v/>
      </c>
      <c r="PS58" s="76" t="str">
        <f aca="false">IF($I58&gt;0%,IF(AND(PS$16&gt;=$F58,PS$16&lt;$F58+($G58*$I58)),"➤",""),"")</f>
        <v/>
      </c>
      <c r="PT58" s="76" t="str">
        <f aca="false">IF($I58&gt;0%,IF(AND(PT$16&gt;=$F58,PT$16&lt;$F58+($G58*$I58)),"➤",""),"")</f>
        <v/>
      </c>
      <c r="PU58" s="76" t="str">
        <f aca="false">IF($I58&gt;0%,IF(AND(PU$16&gt;=$F58,PU$16&lt;$F58+($G58*$I58)),"➤",""),"")</f>
        <v/>
      </c>
      <c r="PV58" s="76" t="str">
        <f aca="false">IF($I58&gt;0%,IF(AND(PV$16&gt;=$F58,PV$16&lt;$F58+($G58*$I58)),"➤",""),"")</f>
        <v/>
      </c>
      <c r="PW58" s="76" t="str">
        <f aca="false">IF($I58&gt;0%,IF(AND(PW$16&gt;=$F58,PW$16&lt;$F58+($G58*$I58)),"➤",""),"")</f>
        <v/>
      </c>
      <c r="PX58" s="76" t="str">
        <f aca="false">IF($I58&gt;0%,IF(AND(PX$16&gt;=$F58,PX$16&lt;$F58+($G58*$I58)),"➤",""),"")</f>
        <v/>
      </c>
      <c r="PY58" s="76" t="str">
        <f aca="false">IF($I58&gt;0%,IF(AND(PY$16&gt;=$F58,PY$16&lt;$F58+($G58*$I58)),"➤",""),"")</f>
        <v/>
      </c>
      <c r="PZ58" s="76" t="str">
        <f aca="false">IF($I58&gt;0%,IF(AND(PZ$16&gt;=$F58,PZ$16&lt;$F58+($G58*$I58)),"➤",""),"")</f>
        <v/>
      </c>
      <c r="QA58" s="76" t="str">
        <f aca="false">IF($I58&gt;0%,IF(AND(QA$16&gt;=$F58,QA$16&lt;$F58+($G58*$I58)),"➤",""),"")</f>
        <v/>
      </c>
      <c r="QB58" s="76" t="str">
        <f aca="false">IF($I58&gt;0%,IF(AND(QB$16&gt;=$F58,QB$16&lt;$F58+($G58*$I58)),"➤",""),"")</f>
        <v/>
      </c>
      <c r="QC58" s="76" t="str">
        <f aca="false">IF($I58&gt;0%,IF(AND(QC$16&gt;=$F58,QC$16&lt;$F58+($G58*$I58)),"➤",""),"")</f>
        <v/>
      </c>
      <c r="QD58" s="76" t="str">
        <f aca="false">IF($I58&gt;0%,IF(AND(QD$16&gt;=$F58,QD$16&lt;$F58+($G58*$I58)),"➤",""),"")</f>
        <v/>
      </c>
      <c r="QE58" s="76" t="str">
        <f aca="false">IF($I58&gt;0%,IF(AND(QE$16&gt;=$F58,QE$16&lt;$F58+($G58*$I58)),"➤",""),"")</f>
        <v/>
      </c>
      <c r="QF58" s="76" t="str">
        <f aca="false">IF($I58&gt;0%,IF(AND(QF$16&gt;=$F58,QF$16&lt;$F58+($G58*$I58)),"➤",""),"")</f>
        <v/>
      </c>
      <c r="QG58" s="76" t="str">
        <f aca="false">IF($I58&gt;0%,IF(AND(QG$16&gt;=$F58,QG$16&lt;$F58+($G58*$I58)),"➤",""),"")</f>
        <v/>
      </c>
      <c r="QH58" s="76" t="str">
        <f aca="false">IF($I58&gt;0%,IF(AND(QH$16&gt;=$F58,QH$16&lt;$F58+($G58*$I58)),"➤",""),"")</f>
        <v/>
      </c>
      <c r="QI58" s="76" t="str">
        <f aca="false">IF($I58&gt;0%,IF(AND(QI$16&gt;=$F58,QI$16&lt;$F58+($G58*$I58)),"➤",""),"")</f>
        <v/>
      </c>
      <c r="QJ58" s="76" t="str">
        <f aca="false">IF($I58&gt;0%,IF(AND(QJ$16&gt;=$F58,QJ$16&lt;$F58+($G58*$I58)),"➤",""),"")</f>
        <v/>
      </c>
      <c r="QK58" s="76" t="str">
        <f aca="false">IF($I58&gt;0%,IF(AND(QK$16&gt;=$F58,QK$16&lt;$F58+($G58*$I58)),"➤",""),"")</f>
        <v/>
      </c>
      <c r="QL58" s="76" t="str">
        <f aca="false">IF($I58&gt;0%,IF(AND(QL$16&gt;=$F58,QL$16&lt;$F58+($G58*$I58)),"➤",""),"")</f>
        <v/>
      </c>
      <c r="QM58" s="76" t="str">
        <f aca="false">IF($I58&gt;0%,IF(AND(QM$16&gt;=$F58,QM$16&lt;$F58+($G58*$I58)),"➤",""),"")</f>
        <v/>
      </c>
      <c r="QN58" s="76" t="str">
        <f aca="false">IF($I58&gt;0%,IF(AND(QN$16&gt;=$F58,QN$16&lt;$F58+($G58*$I58)),"➤",""),"")</f>
        <v/>
      </c>
      <c r="QO58" s="76" t="str">
        <f aca="false">IF($I58&gt;0%,IF(AND(QO$16&gt;=$F58,QO$16&lt;$F58+($G58*$I58)),"➤",""),"")</f>
        <v/>
      </c>
      <c r="QP58" s="76" t="str">
        <f aca="false">IF($I58&gt;0%,IF(AND(QP$16&gt;=$F58,QP$16&lt;$F58+($G58*$I58)),"➤",""),"")</f>
        <v/>
      </c>
      <c r="QQ58" s="76" t="str">
        <f aca="false">IF($I58&gt;0%,IF(AND(QQ$16&gt;=$F58,QQ$16&lt;$F58+($G58*$I58)),"➤",""),"")</f>
        <v/>
      </c>
      <c r="QR58" s="76" t="str">
        <f aca="false">IF($I58&gt;0%,IF(AND(QR$16&gt;=$F58,QR$16&lt;$F58+($G58*$I58)),"➤",""),"")</f>
        <v/>
      </c>
      <c r="QS58" s="76" t="str">
        <f aca="false">IF($I58&gt;0%,IF(AND(QS$16&gt;=$F58,QS$16&lt;$F58+($G58*$I58)),"➤",""),"")</f>
        <v/>
      </c>
      <c r="QT58" s="76" t="str">
        <f aca="false">IF($I58&gt;0%,IF(AND(QT$16&gt;=$F58,QT$16&lt;$F58+($G58*$I58)),"➤",""),"")</f>
        <v/>
      </c>
      <c r="QU58" s="76" t="str">
        <f aca="false">IF($I58&gt;0%,IF(AND(QU$16&gt;=$F58,QU$16&lt;$F58+($G58*$I58)),"➤",""),"")</f>
        <v/>
      </c>
      <c r="QV58" s="76" t="str">
        <f aca="false">IF($I58&gt;0%,IF(AND(QV$16&gt;=$F58,QV$16&lt;$F58+($G58*$I58)),"➤",""),"")</f>
        <v/>
      </c>
      <c r="QW58" s="76" t="str">
        <f aca="false">IF($I58&gt;0%,IF(AND(QW$16&gt;=$F58,QW$16&lt;$F58+($G58*$I58)),"➤",""),"")</f>
        <v/>
      </c>
      <c r="QX58" s="76" t="str">
        <f aca="false">IF($I58&gt;0%,IF(AND(QX$16&gt;=$F58,QX$16&lt;$F58+($G58*$I58)),"➤",""),"")</f>
        <v/>
      </c>
      <c r="QY58" s="76" t="str">
        <f aca="false">IF($I58&gt;0%,IF(AND(QY$16&gt;=$F58,QY$16&lt;$F58+($G58*$I58)),"➤",""),"")</f>
        <v/>
      </c>
      <c r="QZ58" s="76" t="str">
        <f aca="false">IF($I58&gt;0%,IF(AND(QZ$16&gt;=$F58,QZ$16&lt;$F58+($G58*$I58)),"➤",""),"")</f>
        <v/>
      </c>
      <c r="RA58" s="76" t="str">
        <f aca="false">IF($I58&gt;0%,IF(AND(RA$16&gt;=$F58,RA$16&lt;$F58+($G58*$I58)),"➤",""),"")</f>
        <v/>
      </c>
      <c r="RB58" s="76" t="str">
        <f aca="false">IF($I58&gt;0%,IF(AND(RB$16&gt;=$F58,RB$16&lt;$F58+($G58*$I58)),"➤",""),"")</f>
        <v/>
      </c>
      <c r="RC58" s="76" t="str">
        <f aca="false">IF($I58&gt;0%,IF(AND(RC$16&gt;=$F58,RC$16&lt;$F58+($G58*$I58)),"➤",""),"")</f>
        <v/>
      </c>
      <c r="RD58" s="76" t="str">
        <f aca="false">IF($I58&gt;0%,IF(AND(RD$16&gt;=$F58,RD$16&lt;$F58+($G58*$I58)),"➤",""),"")</f>
        <v/>
      </c>
      <c r="RE58" s="76" t="str">
        <f aca="false">IF($I58&gt;0%,IF(AND(RE$16&gt;=$F58,RE$16&lt;$F58+($G58*$I58)),"➤",""),"")</f>
        <v/>
      </c>
      <c r="RF58" s="76" t="str">
        <f aca="false">IF($I58&gt;0%,IF(AND(RF$16&gt;=$F58,RF$16&lt;$F58+($G58*$I58)),"➤",""),"")</f>
        <v/>
      </c>
      <c r="RG58" s="76" t="str">
        <f aca="false">IF($I58&gt;0%,IF(AND(RG$16&gt;=$F58,RG$16&lt;$F58+($G58*$I58)),"➤",""),"")</f>
        <v/>
      </c>
      <c r="RH58" s="76" t="str">
        <f aca="false">IF($I58&gt;0%,IF(AND(RH$16&gt;=$F58,RH$16&lt;$F58+($G58*$I58)),"➤",""),"")</f>
        <v/>
      </c>
      <c r="RI58" s="76" t="str">
        <f aca="false">IF($I58&gt;0%,IF(AND(RI$16&gt;=$F58,RI$16&lt;$F58+($G58*$I58)),"➤",""),"")</f>
        <v/>
      </c>
      <c r="RJ58" s="76" t="str">
        <f aca="false">IF($I58&gt;0%,IF(AND(RJ$16&gt;=$F58,RJ$16&lt;$F58+($G58*$I58)),"➤",""),"")</f>
        <v/>
      </c>
      <c r="RK58" s="76" t="str">
        <f aca="false">IF($I58&gt;0%,IF(AND(RK$16&gt;=$F58,RK$16&lt;$F58+($G58*$I58)),"➤",""),"")</f>
        <v/>
      </c>
      <c r="RL58" s="76" t="str">
        <f aca="false">IF($I58&gt;0%,IF(AND(RL$16&gt;=$F58,RL$16&lt;$F58+($G58*$I58)),"➤",""),"")</f>
        <v/>
      </c>
      <c r="RM58" s="76" t="str">
        <f aca="false">IF($I58&gt;0%,IF(AND(RM$16&gt;=$F58,RM$16&lt;$F58+($G58*$I58)),"➤",""),"")</f>
        <v/>
      </c>
      <c r="RN58" s="76" t="str">
        <f aca="false">IF($I58&gt;0%,IF(AND(RN$16&gt;=$F58,RN$16&lt;$F58+($G58*$I58)),"➤",""),"")</f>
        <v/>
      </c>
      <c r="RO58" s="76" t="str">
        <f aca="false">IF($I58&gt;0%,IF(AND(RO$16&gt;=$F58,RO$16&lt;$F58+($G58*$I58)),"➤",""),"")</f>
        <v/>
      </c>
      <c r="RP58" s="76" t="str">
        <f aca="false">IF($I58&gt;0%,IF(AND(RP$16&gt;=$F58,RP$16&lt;$F58+($G58*$I58)),"➤",""),"")</f>
        <v/>
      </c>
      <c r="RQ58" s="76" t="str">
        <f aca="false">IF($I58&gt;0%,IF(AND(RQ$16&gt;=$F58,RQ$16&lt;$F58+($G58*$I58)),"➤",""),"")</f>
        <v/>
      </c>
      <c r="RR58" s="76" t="str">
        <f aca="false">IF($I58&gt;0%,IF(AND(RR$16&gt;=$F58,RR$16&lt;$F58+($G58*$I58)),"➤",""),"")</f>
        <v/>
      </c>
      <c r="RS58" s="76" t="str">
        <f aca="false">IF($I58&gt;0%,IF(AND(RS$16&gt;=$F58,RS$16&lt;$F58+($G58*$I58)),"➤",""),"")</f>
        <v/>
      </c>
      <c r="RT58" s="76" t="str">
        <f aca="false">IF($I58&gt;0%,IF(AND(RT$16&gt;=$F58,RT$16&lt;$F58+($G58*$I58)),"➤",""),"")</f>
        <v/>
      </c>
      <c r="RU58" s="76" t="str">
        <f aca="false">IF($I58&gt;0%,IF(AND(RU$16&gt;=$F58,RU$16&lt;$F58+($G58*$I58)),"➤",""),"")</f>
        <v/>
      </c>
      <c r="RV58" s="76" t="str">
        <f aca="false">IF($I58&gt;0%,IF(AND(RV$16&gt;=$F58,RV$16&lt;$F58+($G58*$I58)),"➤",""),"")</f>
        <v/>
      </c>
      <c r="RW58" s="76" t="str">
        <f aca="false">IF($I58&gt;0%,IF(AND(RW$16&gt;=$F58,RW$16&lt;$F58+($G58*$I58)),"➤",""),"")</f>
        <v/>
      </c>
      <c r="RX58" s="76" t="str">
        <f aca="false">IF($I58&gt;0%,IF(AND(RX$16&gt;=$F58,RX$16&lt;$F58+($G58*$I58)),"➤",""),"")</f>
        <v/>
      </c>
      <c r="RY58" s="76" t="str">
        <f aca="false">IF($I58&gt;0%,IF(AND(RY$16&gt;=$F58,RY$16&lt;$F58+($G58*$I58)),"➤",""),"")</f>
        <v/>
      </c>
      <c r="RZ58" s="76" t="str">
        <f aca="false">IF($I58&gt;0%,IF(AND(RZ$16&gt;=$F58,RZ$16&lt;$F58+($G58*$I58)),"➤",""),"")</f>
        <v/>
      </c>
      <c r="SA58" s="76" t="str">
        <f aca="false">IF($I58&gt;0%,IF(AND(SA$16&gt;=$F58,SA$16&lt;$F58+($G58*$I58)),"➤",""),"")</f>
        <v/>
      </c>
      <c r="SB58" s="76" t="str">
        <f aca="false">IF($I58&gt;0%,IF(AND(SB$16&gt;=$F58,SB$16&lt;$F58+($G58*$I58)),"➤",""),"")</f>
        <v/>
      </c>
      <c r="SC58" s="76" t="str">
        <f aca="false">IF($I58&gt;0%,IF(AND(SC$16&gt;=$F58,SC$16&lt;$F58+($G58*$I58)),"➤",""),"")</f>
        <v/>
      </c>
      <c r="SD58" s="76" t="str">
        <f aca="false">IF($I58&gt;0%,IF(AND(SD$16&gt;=$F58,SD$16&lt;$F58+($G58*$I58)),"➤",""),"")</f>
        <v/>
      </c>
      <c r="SE58" s="76" t="str">
        <f aca="false">IF($I58&gt;0%,IF(AND(SE$16&gt;=$F58,SE$16&lt;$F58+($G58*$I58)),"➤",""),"")</f>
        <v/>
      </c>
      <c r="SF58" s="76" t="str">
        <f aca="false">IF($I58&gt;0%,IF(AND(SF$16&gt;=$F58,SF$16&lt;$F58+($G58*$I58)),"➤",""),"")</f>
        <v/>
      </c>
      <c r="SG58" s="76" t="str">
        <f aca="false">IF($I58&gt;0%,IF(AND(SG$16&gt;=$F58,SG$16&lt;$F58+($G58*$I58)),"➤",""),"")</f>
        <v/>
      </c>
      <c r="SH58" s="76" t="str">
        <f aca="false">IF($I58&gt;0%,IF(AND(SH$16&gt;=$F58,SH$16&lt;$F58+($G58*$I58)),"➤",""),"")</f>
        <v/>
      </c>
      <c r="SI58" s="76" t="str">
        <f aca="false">IF($I58&gt;0%,IF(AND(SI$16&gt;=$F58,SI$16&lt;$F58+($G58*$I58)),"➤",""),"")</f>
        <v/>
      </c>
      <c r="SJ58" s="76" t="str">
        <f aca="false">IF($I58&gt;0%,IF(AND(SJ$16&gt;=$F58,SJ$16&lt;$F58+($G58*$I58)),"➤",""),"")</f>
        <v/>
      </c>
      <c r="SK58" s="76" t="str">
        <f aca="false">IF($I58&gt;0%,IF(AND(SK$16&gt;=$F58,SK$16&lt;$F58+($G58*$I58)),"➤",""),"")</f>
        <v/>
      </c>
      <c r="SL58" s="76" t="str">
        <f aca="false">IF($I58&gt;0%,IF(AND(SL$16&gt;=$F58,SL$16&lt;$F58+($G58*$I58)),"➤",""),"")</f>
        <v/>
      </c>
      <c r="SM58" s="76" t="str">
        <f aca="false">IF($I58&gt;0%,IF(AND(SM$16&gt;=$F58,SM$16&lt;$F58+($G58*$I58)),"➤",""),"")</f>
        <v/>
      </c>
      <c r="SN58" s="76" t="str">
        <f aca="false">IF($I58&gt;0%,IF(AND(SN$16&gt;=$F58,SN$16&lt;$F58+($G58*$I58)),"➤",""),"")</f>
        <v/>
      </c>
      <c r="SO58" s="76" t="str">
        <f aca="false">IF($I58&gt;0%,IF(AND(SO$16&gt;=$F58,SO$16&lt;$F58+($G58*$I58)),"➤",""),"")</f>
        <v/>
      </c>
      <c r="SP58" s="76" t="str">
        <f aca="false">IF($I58&gt;0%,IF(AND(SP$16&gt;=$F58,SP$16&lt;$F58+($G58*$I58)),"➤",""),"")</f>
        <v/>
      </c>
      <c r="SQ58" s="76" t="str">
        <f aca="false">IF($I58&gt;0%,IF(AND(SQ$16&gt;=$F58,SQ$16&lt;$F58+($G58*$I58)),"➤",""),"")</f>
        <v/>
      </c>
      <c r="SR58" s="76" t="str">
        <f aca="false">IF($I58&gt;0%,IF(AND(SR$16&gt;=$F58,SR$16&lt;$F58+($G58*$I58)),"➤",""),"")</f>
        <v/>
      </c>
      <c r="SS58" s="76" t="str">
        <f aca="false">IF($I58&gt;0%,IF(AND(SS$16&gt;=$F58,SS$16&lt;$F58+($G58*$I58)),"➤",""),"")</f>
        <v/>
      </c>
      <c r="ST58" s="76" t="str">
        <f aca="false">IF($I58&gt;0%,IF(AND(ST$16&gt;=$F58,ST$16&lt;$F58+($G58*$I58)),"➤",""),"")</f>
        <v/>
      </c>
      <c r="SU58" s="76" t="str">
        <f aca="false">IF($I58&gt;0%,IF(AND(SU$16&gt;=$F58,SU$16&lt;$F58+($G58*$I58)),"➤",""),"")</f>
        <v/>
      </c>
      <c r="SV58" s="76" t="str">
        <f aca="false">IF($I58&gt;0%,IF(AND(SV$16&gt;=$F58,SV$16&lt;$F58+($G58*$I58)),"➤",""),"")</f>
        <v/>
      </c>
      <c r="SW58" s="77" t="str">
        <f aca="false">IF($I58&gt;0%,IF(AND(SW$16&gt;=$F58,SW$16&lt;$F58+($G58*$I58)),"➤",""),"")</f>
        <v/>
      </c>
    </row>
    <row r="59" customFormat="false" ht="14.25" hidden="false" customHeight="false" outlineLevel="1" collapsed="false">
      <c r="C59" s="10"/>
      <c r="D59" s="112"/>
      <c r="E59" s="79"/>
      <c r="F59" s="92" t="n">
        <v>44195</v>
      </c>
      <c r="G59" s="109" t="n">
        <v>9</v>
      </c>
      <c r="H59" s="94" t="n">
        <f aca="false">(F59+G59)-1</f>
        <v>44203</v>
      </c>
      <c r="I59" s="95" t="n">
        <v>0</v>
      </c>
      <c r="J59" s="84"/>
      <c r="K59" s="85"/>
      <c r="L59" s="75" t="str">
        <f aca="false">IF($I59&gt;0%,IF(AND(L$16&gt;=$F59,L$16&lt;$F59+($G59*$I59)),"➤",""),"")</f>
        <v/>
      </c>
      <c r="M59" s="76" t="str">
        <f aca="false">IF($I59&gt;0%,IF(AND(M$16&gt;=$F59,M$16&lt;$F59+($G59*$I59)),"➤",""),"")</f>
        <v/>
      </c>
      <c r="N59" s="76" t="str">
        <f aca="false">IF($I59&gt;0%,IF(AND(N$16&gt;=$F59,N$16&lt;$F59+($G59*$I59)),"➤",""),"")</f>
        <v/>
      </c>
      <c r="O59" s="76" t="str">
        <f aca="false">IF($I59&gt;0%,IF(AND(O$16&gt;=$F59,O$16&lt;$F59+($G59*$I59)),"➤",""),"")</f>
        <v/>
      </c>
      <c r="P59" s="76" t="str">
        <f aca="false">IF($I59&gt;0%,IF(AND(P$16&gt;=$F59,P$16&lt;$F59+($G59*$I59)),"➤",""),"")</f>
        <v/>
      </c>
      <c r="Q59" s="76" t="str">
        <f aca="false">IF($I59&gt;0%,IF(AND(Q$16&gt;=$F59,Q$16&lt;$F59+($G59*$I59)),"➤",""),"")</f>
        <v/>
      </c>
      <c r="R59" s="76" t="str">
        <f aca="false">IF($I59&gt;0%,IF(AND(R$16&gt;=$F59,R$16&lt;$F59+($G59*$I59)),"➤",""),"")</f>
        <v/>
      </c>
      <c r="S59" s="76" t="str">
        <f aca="false">IF($I59&gt;0%,IF(AND(S$16&gt;=$F59,S$16&lt;$F59+($G59*$I59)),"➤",""),"")</f>
        <v/>
      </c>
      <c r="T59" s="76" t="str">
        <f aca="false">IF($I59&gt;0%,IF(AND(T$16&gt;=$F59,T$16&lt;$F59+($G59*$I59)),"➤",""),"")</f>
        <v/>
      </c>
      <c r="U59" s="76" t="str">
        <f aca="false">IF($I59&gt;0%,IF(AND(U$16&gt;=$F59,U$16&lt;$F59+($G59*$I59)),"➤",""),"")</f>
        <v/>
      </c>
      <c r="V59" s="76" t="str">
        <f aca="false">IF($I59&gt;0%,IF(AND(V$16&gt;=$F59,V$16&lt;$F59+($G59*$I59)),"➤",""),"")</f>
        <v/>
      </c>
      <c r="W59" s="76" t="str">
        <f aca="false">IF($I59&gt;0%,IF(AND(W$16&gt;=$F59,W$16&lt;$F59+($G59*$I59)),"➤",""),"")</f>
        <v/>
      </c>
      <c r="X59" s="76" t="str">
        <f aca="false">IF($I59&gt;0%,IF(AND(X$16&gt;=$F59,X$16&lt;$F59+($G59*$I59)),"➤",""),"")</f>
        <v/>
      </c>
      <c r="Y59" s="76" t="str">
        <f aca="false">IF($I59&gt;0%,IF(AND(Y$16&gt;=$F59,Y$16&lt;$F59+($G59*$I59)),"➤",""),"")</f>
        <v/>
      </c>
      <c r="Z59" s="76" t="str">
        <f aca="false">IF($I59&gt;0%,IF(AND(Z$16&gt;=$F59,Z$16&lt;$F59+($G59*$I59)),"➤",""),"")</f>
        <v/>
      </c>
      <c r="AA59" s="76" t="str">
        <f aca="false">IF($I59&gt;0%,IF(AND(AA$16&gt;=$F59,AA$16&lt;$F59+($G59*$I59)),"➤",""),"")</f>
        <v/>
      </c>
      <c r="AB59" s="76" t="str">
        <f aca="false">IF($I59&gt;0%,IF(AND(AB$16&gt;=$F59,AB$16&lt;$F59+($G59*$I59)),"➤",""),"")</f>
        <v/>
      </c>
      <c r="AC59" s="76" t="str">
        <f aca="false">IF($I59&gt;0%,IF(AND(AC$16&gt;=$F59,AC$16&lt;$F59+($G59*$I59)),"➤",""),"")</f>
        <v/>
      </c>
      <c r="AD59" s="76" t="str">
        <f aca="false">IF($I59&gt;0%,IF(AND(AD$16&gt;=$F59,AD$16&lt;$F59+($G59*$I59)),"➤",""),"")</f>
        <v/>
      </c>
      <c r="AE59" s="76" t="str">
        <f aca="false">IF($I59&gt;0%,IF(AND(AE$16&gt;=$F59,AE$16&lt;$F59+($G59*$I59)),"➤",""),"")</f>
        <v/>
      </c>
      <c r="AF59" s="76" t="str">
        <f aca="false">IF($I59&gt;0%,IF(AND(AF$16&gt;=$F59,AF$16&lt;$F59+($G59*$I59)),"➤",""),"")</f>
        <v/>
      </c>
      <c r="AG59" s="76" t="str">
        <f aca="false">IF($I59&gt;0%,IF(AND(AG$16&gt;=$F59,AG$16&lt;$F59+($G59*$I59)),"➤",""),"")</f>
        <v/>
      </c>
      <c r="AH59" s="76" t="str">
        <f aca="false">IF($I59&gt;0%,IF(AND(AH$16&gt;=$F59,AH$16&lt;$F59+($G59*$I59)),"➤",""),"")</f>
        <v/>
      </c>
      <c r="AI59" s="76" t="str">
        <f aca="false">IF($I59&gt;0%,IF(AND(AI$16&gt;=$F59,AI$16&lt;$F59+($G59*$I59)),"➤",""),"")</f>
        <v/>
      </c>
      <c r="AJ59" s="76" t="str">
        <f aca="false">IF($I59&gt;0%,IF(AND(AJ$16&gt;=$F59,AJ$16&lt;$F59+($G59*$I59)),"➤",""),"")</f>
        <v/>
      </c>
      <c r="AK59" s="76" t="str">
        <f aca="false">IF($I59&gt;0%,IF(AND(AK$16&gt;=$F59,AK$16&lt;$F59+($G59*$I59)),"➤",""),"")</f>
        <v/>
      </c>
      <c r="AL59" s="76" t="str">
        <f aca="false">IF($I59&gt;0%,IF(AND(AL$16&gt;=$F59,AL$16&lt;$F59+($G59*$I59)),"➤",""),"")</f>
        <v/>
      </c>
      <c r="AM59" s="76" t="str">
        <f aca="false">IF($I59&gt;0%,IF(AND(AM$16&gt;=$F59,AM$16&lt;$F59+($G59*$I59)),"➤",""),"")</f>
        <v/>
      </c>
      <c r="AN59" s="76" t="str">
        <f aca="false">IF($I59&gt;0%,IF(AND(AN$16&gt;=$F59,AN$16&lt;$F59+($G59*$I59)),"➤",""),"")</f>
        <v/>
      </c>
      <c r="AO59" s="76" t="str">
        <f aca="false">IF($I59&gt;0%,IF(AND(AO$16&gt;=$F59,AO$16&lt;$F59+($G59*$I59)),"➤",""),"")</f>
        <v/>
      </c>
      <c r="AP59" s="76" t="str">
        <f aca="false">IF($I59&gt;0%,IF(AND(AP$16&gt;=$F59,AP$16&lt;$F59+($G59*$I59)),"➤",""),"")</f>
        <v/>
      </c>
      <c r="AQ59" s="76" t="str">
        <f aca="false">IF($I59&gt;0%,IF(AND(AQ$16&gt;=$F59,AQ$16&lt;$F59+($G59*$I59)),"➤",""),"")</f>
        <v/>
      </c>
      <c r="AR59" s="76" t="str">
        <f aca="false">IF($I59&gt;0%,IF(AND(AR$16&gt;=$F59,AR$16&lt;$F59+($G59*$I59)),"➤",""),"")</f>
        <v/>
      </c>
      <c r="AS59" s="76" t="str">
        <f aca="false">IF($I59&gt;0%,IF(AND(AS$16&gt;=$F59,AS$16&lt;$F59+($G59*$I59)),"➤",""),"")</f>
        <v/>
      </c>
      <c r="AT59" s="76" t="str">
        <f aca="false">IF($I59&gt;0%,IF(AND(AT$16&gt;=$F59,AT$16&lt;$F59+($G59*$I59)),"➤",""),"")</f>
        <v/>
      </c>
      <c r="AU59" s="76" t="str">
        <f aca="false">IF($I59&gt;0%,IF(AND(AU$16&gt;=$F59,AU$16&lt;$F59+($G59*$I59)),"➤",""),"")</f>
        <v/>
      </c>
      <c r="AV59" s="76" t="str">
        <f aca="false">IF($I59&gt;0%,IF(AND(AV$16&gt;=$F59,AV$16&lt;$F59+($G59*$I59)),"➤",""),"")</f>
        <v/>
      </c>
      <c r="AW59" s="76" t="str">
        <f aca="false">IF($I59&gt;0%,IF(AND(AW$16&gt;=$F59,AW$16&lt;$F59+($G59*$I59)),"➤",""),"")</f>
        <v/>
      </c>
      <c r="AX59" s="76" t="str">
        <f aca="false">IF($I59&gt;0%,IF(AND(AX$16&gt;=$F59,AX$16&lt;$F59+($G59*$I59)),"➤",""),"")</f>
        <v/>
      </c>
      <c r="AY59" s="76" t="str">
        <f aca="false">IF($I59&gt;0%,IF(AND(AY$16&gt;=$F59,AY$16&lt;$F59+($G59*$I59)),"➤",""),"")</f>
        <v/>
      </c>
      <c r="AZ59" s="76" t="str">
        <f aca="false">IF($I59&gt;0%,IF(AND(AZ$16&gt;=$F59,AZ$16&lt;$F59+($G59*$I59)),"➤",""),"")</f>
        <v/>
      </c>
      <c r="BA59" s="76" t="str">
        <f aca="false">IF($I59&gt;0%,IF(AND(BA$16&gt;=$F59,BA$16&lt;$F59+($G59*$I59)),"➤",""),"")</f>
        <v/>
      </c>
      <c r="BB59" s="76" t="str">
        <f aca="false">IF($I59&gt;0%,IF(AND(BB$16&gt;=$F59,BB$16&lt;$F59+($G59*$I59)),"➤",""),"")</f>
        <v/>
      </c>
      <c r="BC59" s="76" t="str">
        <f aca="false">IF($I59&gt;0%,IF(AND(BC$16&gt;=$F59,BC$16&lt;$F59+($G59*$I59)),"➤",""),"")</f>
        <v/>
      </c>
      <c r="BD59" s="76" t="str">
        <f aca="false">IF($I59&gt;0%,IF(AND(BD$16&gt;=$F59,BD$16&lt;$F59+($G59*$I59)),"➤",""),"")</f>
        <v/>
      </c>
      <c r="BE59" s="76" t="str">
        <f aca="false">IF($I59&gt;0%,IF(AND(BE$16&gt;=$F59,BE$16&lt;$F59+($G59*$I59)),"➤",""),"")</f>
        <v/>
      </c>
      <c r="BF59" s="76" t="str">
        <f aca="false">IF($I59&gt;0%,IF(AND(BF$16&gt;=$F59,BF$16&lt;$F59+($G59*$I59)),"➤",""),"")</f>
        <v/>
      </c>
      <c r="BG59" s="76" t="str">
        <f aca="false">IF($I59&gt;0%,IF(AND(BG$16&gt;=$F59,BG$16&lt;$F59+($G59*$I59)),"➤",""),"")</f>
        <v/>
      </c>
      <c r="BH59" s="76" t="str">
        <f aca="false">IF($I59&gt;0%,IF(AND(BH$16&gt;=$F59,BH$16&lt;$F59+($G59*$I59)),"➤",""),"")</f>
        <v/>
      </c>
      <c r="BI59" s="76" t="str">
        <f aca="false">IF($I59&gt;0%,IF(AND(BI$16&gt;=$F59,BI$16&lt;$F59+($G59*$I59)),"➤",""),"")</f>
        <v/>
      </c>
      <c r="BJ59" s="76" t="str">
        <f aca="false">IF($I59&gt;0%,IF(AND(BJ$16&gt;=$F59,BJ$16&lt;$F59+($G59*$I59)),"➤",""),"")</f>
        <v/>
      </c>
      <c r="BK59" s="76" t="str">
        <f aca="false">IF($I59&gt;0%,IF(AND(BK$16&gt;=$F59,BK$16&lt;$F59+($G59*$I59)),"➤",""),"")</f>
        <v/>
      </c>
      <c r="BL59" s="76" t="str">
        <f aca="false">IF($I59&gt;0%,IF(AND(BL$16&gt;=$F59,BL$16&lt;$F59+($G59*$I59)),"➤",""),"")</f>
        <v/>
      </c>
      <c r="BM59" s="76" t="str">
        <f aca="false">IF($I59&gt;0%,IF(AND(BM$16&gt;=$F59,BM$16&lt;$F59+($G59*$I59)),"➤",""),"")</f>
        <v/>
      </c>
      <c r="BN59" s="76" t="str">
        <f aca="false">IF($I59&gt;0%,IF(AND(BN$16&gt;=$F59,BN$16&lt;$F59+($G59*$I59)),"➤",""),"")</f>
        <v/>
      </c>
      <c r="BO59" s="76" t="str">
        <f aca="false">IF($I59&gt;0%,IF(AND(BO$16&gt;=$F59,BO$16&lt;$F59+($G59*$I59)),"➤",""),"")</f>
        <v/>
      </c>
      <c r="BP59" s="76" t="str">
        <f aca="false">IF($I59&gt;0%,IF(AND(BP$16&gt;=$F59,BP$16&lt;$F59+($G59*$I59)),"➤",""),"")</f>
        <v/>
      </c>
      <c r="BQ59" s="76" t="str">
        <f aca="false">IF($I59&gt;0%,IF(AND(BQ$16&gt;=$F59,BQ$16&lt;$F59+($G59*$I59)),"➤",""),"")</f>
        <v/>
      </c>
      <c r="BR59" s="76" t="str">
        <f aca="false">IF($I59&gt;0%,IF(AND(BR$16&gt;=$F59,BR$16&lt;$F59+($G59*$I59)),"➤",""),"")</f>
        <v/>
      </c>
      <c r="BS59" s="76" t="str">
        <f aca="false">IF($I59&gt;0%,IF(AND(BS$16&gt;=$F59,BS$16&lt;$F59+($G59*$I59)),"➤",""),"")</f>
        <v/>
      </c>
      <c r="BT59" s="76" t="str">
        <f aca="false">IF($I59&gt;0%,IF(AND(BT$16&gt;=$F59,BT$16&lt;$F59+($G59*$I59)),"➤",""),"")</f>
        <v/>
      </c>
      <c r="BU59" s="76" t="str">
        <f aca="false">IF($I59&gt;0%,IF(AND(BU$16&gt;=$F59,BU$16&lt;$F59+($G59*$I59)),"➤",""),"")</f>
        <v/>
      </c>
      <c r="BV59" s="76" t="str">
        <f aca="false">IF($I59&gt;0%,IF(AND(BV$16&gt;=$F59,BV$16&lt;$F59+($G59*$I59)),"➤",""),"")</f>
        <v/>
      </c>
      <c r="BW59" s="76" t="str">
        <f aca="false">IF($I59&gt;0%,IF(AND(BW$16&gt;=$F59,BW$16&lt;$F59+($G59*$I59)),"➤",""),"")</f>
        <v/>
      </c>
      <c r="BX59" s="76" t="str">
        <f aca="false">IF($I59&gt;0%,IF(AND(BX$16&gt;=$F59,BX$16&lt;$F59+($G59*$I59)),"➤",""),"")</f>
        <v/>
      </c>
      <c r="BY59" s="76" t="str">
        <f aca="false">IF($I59&gt;0%,IF(AND(BY$16&gt;=$F59,BY$16&lt;$F59+($G59*$I59)),"➤",""),"")</f>
        <v/>
      </c>
      <c r="BZ59" s="76" t="str">
        <f aca="false">IF($I59&gt;0%,IF(AND(BZ$16&gt;=$F59,BZ$16&lt;$F59+($G59*$I59)),"➤",""),"")</f>
        <v/>
      </c>
      <c r="CA59" s="76" t="str">
        <f aca="false">IF($I59&gt;0%,IF(AND(CA$16&gt;=$F59,CA$16&lt;$F59+($G59*$I59)),"➤",""),"")</f>
        <v/>
      </c>
      <c r="CB59" s="76" t="str">
        <f aca="false">IF($I59&gt;0%,IF(AND(CB$16&gt;=$F59,CB$16&lt;$F59+($G59*$I59)),"➤",""),"")</f>
        <v/>
      </c>
      <c r="CC59" s="76" t="str">
        <f aca="false">IF($I59&gt;0%,IF(AND(CC$16&gt;=$F59,CC$16&lt;$F59+($G59*$I59)),"➤",""),"")</f>
        <v/>
      </c>
      <c r="CD59" s="76" t="str">
        <f aca="false">IF($I59&gt;0%,IF(AND(CD$16&gt;=$F59,CD$16&lt;$F59+($G59*$I59)),"➤",""),"")</f>
        <v/>
      </c>
      <c r="CE59" s="76" t="str">
        <f aca="false">IF($I59&gt;0%,IF(AND(CE$16&gt;=$F59,CE$16&lt;$F59+($G59*$I59)),"➤",""),"")</f>
        <v/>
      </c>
      <c r="CF59" s="76" t="str">
        <f aca="false">IF($I59&gt;0%,IF(AND(CF$16&gt;=$F59,CF$16&lt;$F59+($G59*$I59)),"➤",""),"")</f>
        <v/>
      </c>
      <c r="CG59" s="76" t="str">
        <f aca="false">IF($I59&gt;0%,IF(AND(CG$16&gt;=$F59,CG$16&lt;$F59+($G59*$I59)),"➤",""),"")</f>
        <v/>
      </c>
      <c r="CH59" s="76" t="str">
        <f aca="false">IF($I59&gt;0%,IF(AND(CH$16&gt;=$F59,CH$16&lt;$F59+($G59*$I59)),"➤",""),"")</f>
        <v/>
      </c>
      <c r="CI59" s="76" t="str">
        <f aca="false">IF($I59&gt;0%,IF(AND(CI$16&gt;=$F59,CI$16&lt;$F59+($G59*$I59)),"➤",""),"")</f>
        <v/>
      </c>
      <c r="CJ59" s="76" t="str">
        <f aca="false">IF($I59&gt;0%,IF(AND(CJ$16&gt;=$F59,CJ$16&lt;$F59+($G59*$I59)),"➤",""),"")</f>
        <v/>
      </c>
      <c r="CK59" s="76" t="str">
        <f aca="false">IF($I59&gt;0%,IF(AND(CK$16&gt;=$F59,CK$16&lt;$F59+($G59*$I59)),"➤",""),"")</f>
        <v/>
      </c>
      <c r="CL59" s="76" t="str">
        <f aca="false">IF($I59&gt;0%,IF(AND(CL$16&gt;=$F59,CL$16&lt;$F59+($G59*$I59)),"➤",""),"")</f>
        <v/>
      </c>
      <c r="CM59" s="76" t="str">
        <f aca="false">IF($I59&gt;0%,IF(AND(CM$16&gt;=$F59,CM$16&lt;$F59+($G59*$I59)),"➤",""),"")</f>
        <v/>
      </c>
      <c r="CN59" s="76" t="str">
        <f aca="false">IF($I59&gt;0%,IF(AND(CN$16&gt;=$F59,CN$16&lt;$F59+($G59*$I59)),"➤",""),"")</f>
        <v/>
      </c>
      <c r="CO59" s="76" t="str">
        <f aca="false">IF($I59&gt;0%,IF(AND(CO$16&gt;=$F59,CO$16&lt;$F59+($G59*$I59)),"➤",""),"")</f>
        <v/>
      </c>
      <c r="CP59" s="76" t="str">
        <f aca="false">IF($I59&gt;0%,IF(AND(CP$16&gt;=$F59,CP$16&lt;$F59+($G59*$I59)),"➤",""),"")</f>
        <v/>
      </c>
      <c r="CQ59" s="76" t="str">
        <f aca="false">IF($I59&gt;0%,IF(AND(CQ$16&gt;=$F59,CQ$16&lt;$F59+($G59*$I59)),"➤",""),"")</f>
        <v/>
      </c>
      <c r="CR59" s="76" t="str">
        <f aca="false">IF($I59&gt;0%,IF(AND(CR$16&gt;=$F59,CR$16&lt;$F59+($G59*$I59)),"➤",""),"")</f>
        <v/>
      </c>
      <c r="CS59" s="76" t="str">
        <f aca="false">IF($I59&gt;0%,IF(AND(CS$16&gt;=$F59,CS$16&lt;$F59+($G59*$I59)),"➤",""),"")</f>
        <v/>
      </c>
      <c r="CT59" s="76" t="str">
        <f aca="false">IF($I59&gt;0%,IF(AND(CT$16&gt;=$F59,CT$16&lt;$F59+($G59*$I59)),"➤",""),"")</f>
        <v/>
      </c>
      <c r="CU59" s="76" t="str">
        <f aca="false">IF($I59&gt;0%,IF(AND(CU$16&gt;=$F59,CU$16&lt;$F59+($G59*$I59)),"➤",""),"")</f>
        <v/>
      </c>
      <c r="CV59" s="76" t="str">
        <f aca="false">IF($I59&gt;0%,IF(AND(CV$16&gt;=$F59,CV$16&lt;$F59+($G59*$I59)),"➤",""),"")</f>
        <v/>
      </c>
      <c r="CW59" s="76" t="str">
        <f aca="false">IF($I59&gt;0%,IF(AND(CW$16&gt;=$F59,CW$16&lt;$F59+($G59*$I59)),"➤",""),"")</f>
        <v/>
      </c>
      <c r="CX59" s="76" t="str">
        <f aca="false">IF($I59&gt;0%,IF(AND(CX$16&gt;=$F59,CX$16&lt;$F59+($G59*$I59)),"➤",""),"")</f>
        <v/>
      </c>
      <c r="CY59" s="76" t="str">
        <f aca="false">IF($I59&gt;0%,IF(AND(CY$16&gt;=$F59,CY$16&lt;$F59+($G59*$I59)),"➤",""),"")</f>
        <v/>
      </c>
      <c r="CZ59" s="76" t="str">
        <f aca="false">IF($I59&gt;0%,IF(AND(CZ$16&gt;=$F59,CZ$16&lt;$F59+($G59*$I59)),"➤",""),"")</f>
        <v/>
      </c>
      <c r="DA59" s="76" t="str">
        <f aca="false">IF($I59&gt;0%,IF(AND(DA$16&gt;=$F59,DA$16&lt;$F59+($G59*$I59)),"➤",""),"")</f>
        <v/>
      </c>
      <c r="DB59" s="76" t="str">
        <f aca="false">IF($I59&gt;0%,IF(AND(DB$16&gt;=$F59,DB$16&lt;$F59+($G59*$I59)),"➤",""),"")</f>
        <v/>
      </c>
      <c r="DC59" s="76" t="str">
        <f aca="false">IF($I59&gt;0%,IF(AND(DC$16&gt;=$F59,DC$16&lt;$F59+($G59*$I59)),"➤",""),"")</f>
        <v/>
      </c>
      <c r="DD59" s="76" t="str">
        <f aca="false">IF($I59&gt;0%,IF(AND(DD$16&gt;=$F59,DD$16&lt;$F59+($G59*$I59)),"➤",""),"")</f>
        <v/>
      </c>
      <c r="DE59" s="76" t="str">
        <f aca="false">IF($I59&gt;0%,IF(AND(DE$16&gt;=$F59,DE$16&lt;$F59+($G59*$I59)),"➤",""),"")</f>
        <v/>
      </c>
      <c r="DF59" s="76" t="str">
        <f aca="false">IF($I59&gt;0%,IF(AND(DF$16&gt;=$F59,DF$16&lt;$F59+($G59*$I59)),"➤",""),"")</f>
        <v/>
      </c>
      <c r="DG59" s="76" t="str">
        <f aca="false">IF($I59&gt;0%,IF(AND(DG$16&gt;=$F59,DG$16&lt;$F59+($G59*$I59)),"➤",""),"")</f>
        <v/>
      </c>
      <c r="DH59" s="76" t="str">
        <f aca="false">IF($I59&gt;0%,IF(AND(DH$16&gt;=$F59,DH$16&lt;$F59+($G59*$I59)),"➤",""),"")</f>
        <v/>
      </c>
      <c r="DI59" s="76" t="str">
        <f aca="false">IF($I59&gt;0%,IF(AND(DI$16&gt;=$F59,DI$16&lt;$F59+($G59*$I59)),"➤",""),"")</f>
        <v/>
      </c>
      <c r="DJ59" s="76" t="str">
        <f aca="false">IF($I59&gt;0%,IF(AND(DJ$16&gt;=$F59,DJ$16&lt;$F59+($G59*$I59)),"➤",""),"")</f>
        <v/>
      </c>
      <c r="DK59" s="76" t="str">
        <f aca="false">IF($I59&gt;0%,IF(AND(DK$16&gt;=$F59,DK$16&lt;$F59+($G59*$I59)),"➤",""),"")</f>
        <v/>
      </c>
      <c r="DL59" s="76" t="str">
        <f aca="false">IF($I59&gt;0%,IF(AND(DL$16&gt;=$F59,DL$16&lt;$F59+($G59*$I59)),"➤",""),"")</f>
        <v/>
      </c>
      <c r="DM59" s="76" t="str">
        <f aca="false">IF($I59&gt;0%,IF(AND(DM$16&gt;=$F59,DM$16&lt;$F59+($G59*$I59)),"➤",""),"")</f>
        <v/>
      </c>
      <c r="DN59" s="76" t="str">
        <f aca="false">IF($I59&gt;0%,IF(AND(DN$16&gt;=$F59,DN$16&lt;$F59+($G59*$I59)),"➤",""),"")</f>
        <v/>
      </c>
      <c r="DO59" s="76" t="str">
        <f aca="false">IF($I59&gt;0%,IF(AND(DO$16&gt;=$F59,DO$16&lt;$F59+($G59*$I59)),"➤",""),"")</f>
        <v/>
      </c>
      <c r="DP59" s="76" t="str">
        <f aca="false">IF($I59&gt;0%,IF(AND(DP$16&gt;=$F59,DP$16&lt;$F59+($G59*$I59)),"➤",""),"")</f>
        <v/>
      </c>
      <c r="DQ59" s="76" t="str">
        <f aca="false">IF($I59&gt;0%,IF(AND(DQ$16&gt;=$F59,DQ$16&lt;$F59+($G59*$I59)),"➤",""),"")</f>
        <v/>
      </c>
      <c r="DR59" s="76" t="str">
        <f aca="false">IF($I59&gt;0%,IF(AND(DR$16&gt;=$F59,DR$16&lt;$F59+($G59*$I59)),"➤",""),"")</f>
        <v/>
      </c>
      <c r="DS59" s="76" t="str">
        <f aca="false">IF($I59&gt;0%,IF(AND(DS$16&gt;=$F59,DS$16&lt;$F59+($G59*$I59)),"➤",""),"")</f>
        <v/>
      </c>
      <c r="DT59" s="76" t="str">
        <f aca="false">IF($I59&gt;0%,IF(AND(DT$16&gt;=$F59,DT$16&lt;$F59+($G59*$I59)),"➤",""),"")</f>
        <v/>
      </c>
      <c r="DU59" s="76" t="str">
        <f aca="false">IF($I59&gt;0%,IF(AND(DU$16&gt;=$F59,DU$16&lt;$F59+($G59*$I59)),"➤",""),"")</f>
        <v/>
      </c>
      <c r="DV59" s="76" t="str">
        <f aca="false">IF($I59&gt;0%,IF(AND(DV$16&gt;=$F59,DV$16&lt;$F59+($G59*$I59)),"➤",""),"")</f>
        <v/>
      </c>
      <c r="DW59" s="76" t="str">
        <f aca="false">IF($I59&gt;0%,IF(AND(DW$16&gt;=$F59,DW$16&lt;$F59+($G59*$I59)),"➤",""),"")</f>
        <v/>
      </c>
      <c r="DX59" s="76" t="str">
        <f aca="false">IF($I59&gt;0%,IF(AND(DX$16&gt;=$F59,DX$16&lt;$F59+($G59*$I59)),"➤",""),"")</f>
        <v/>
      </c>
      <c r="DY59" s="76" t="str">
        <f aca="false">IF($I59&gt;0%,IF(AND(DY$16&gt;=$F59,DY$16&lt;$F59+($G59*$I59)),"➤",""),"")</f>
        <v/>
      </c>
      <c r="DZ59" s="76" t="str">
        <f aca="false">IF($I59&gt;0%,IF(AND(DZ$16&gt;=$F59,DZ$16&lt;$F59+($G59*$I59)),"➤",""),"")</f>
        <v/>
      </c>
      <c r="EA59" s="76" t="str">
        <f aca="false">IF($I59&gt;0%,IF(AND(EA$16&gt;=$F59,EA$16&lt;$F59+($G59*$I59)),"➤",""),"")</f>
        <v/>
      </c>
      <c r="EB59" s="76" t="str">
        <f aca="false">IF($I59&gt;0%,IF(AND(EB$16&gt;=$F59,EB$16&lt;$F59+($G59*$I59)),"➤",""),"")</f>
        <v/>
      </c>
      <c r="EC59" s="76" t="str">
        <f aca="false">IF($I59&gt;0%,IF(AND(EC$16&gt;=$F59,EC$16&lt;$F59+($G59*$I59)),"➤",""),"")</f>
        <v/>
      </c>
      <c r="ED59" s="76" t="str">
        <f aca="false">IF($I59&gt;0%,IF(AND(ED$16&gt;=$F59,ED$16&lt;$F59+($G59*$I59)),"➤",""),"")</f>
        <v/>
      </c>
      <c r="EE59" s="76" t="str">
        <f aca="false">IF($I59&gt;0%,IF(AND(EE$16&gt;=$F59,EE$16&lt;$F59+($G59*$I59)),"➤",""),"")</f>
        <v/>
      </c>
      <c r="EF59" s="76" t="str">
        <f aca="false">IF($I59&gt;0%,IF(AND(EF$16&gt;=$F59,EF$16&lt;$F59+($G59*$I59)),"➤",""),"")</f>
        <v/>
      </c>
      <c r="EG59" s="76" t="str">
        <f aca="false">IF($I59&gt;0%,IF(AND(EG$16&gt;=$F59,EG$16&lt;$F59+($G59*$I59)),"➤",""),"")</f>
        <v/>
      </c>
      <c r="EH59" s="76" t="str">
        <f aca="false">IF($I59&gt;0%,IF(AND(EH$16&gt;=$F59,EH$16&lt;$F59+($G59*$I59)),"➤",""),"")</f>
        <v/>
      </c>
      <c r="EI59" s="76" t="str">
        <f aca="false">IF($I59&gt;0%,IF(AND(EI$16&gt;=$F59,EI$16&lt;$F59+($G59*$I59)),"➤",""),"")</f>
        <v/>
      </c>
      <c r="EJ59" s="76" t="str">
        <f aca="false">IF($I59&gt;0%,IF(AND(EJ$16&gt;=$F59,EJ$16&lt;$F59+($G59*$I59)),"➤",""),"")</f>
        <v/>
      </c>
      <c r="EK59" s="76" t="str">
        <f aca="false">IF($I59&gt;0%,IF(AND(EK$16&gt;=$F59,EK$16&lt;$F59+($G59*$I59)),"➤",""),"")</f>
        <v/>
      </c>
      <c r="EL59" s="76" t="str">
        <f aca="false">IF($I59&gt;0%,IF(AND(EL$16&gt;=$F59,EL$16&lt;$F59+($G59*$I59)),"➤",""),"")</f>
        <v/>
      </c>
      <c r="EM59" s="76" t="str">
        <f aca="false">IF($I59&gt;0%,IF(AND(EM$16&gt;=$F59,EM$16&lt;$F59+($G59*$I59)),"➤",""),"")</f>
        <v/>
      </c>
      <c r="EN59" s="76" t="str">
        <f aca="false">IF($I59&gt;0%,IF(AND(EN$16&gt;=$F59,EN$16&lt;$F59+($G59*$I59)),"➤",""),"")</f>
        <v/>
      </c>
      <c r="EO59" s="76" t="str">
        <f aca="false">IF($I59&gt;0%,IF(AND(EO$16&gt;=$F59,EO$16&lt;$F59+($G59*$I59)),"➤",""),"")</f>
        <v/>
      </c>
      <c r="EP59" s="76" t="str">
        <f aca="false">IF($I59&gt;0%,IF(AND(EP$16&gt;=$F59,EP$16&lt;$F59+($G59*$I59)),"➤",""),"")</f>
        <v/>
      </c>
      <c r="EQ59" s="76" t="str">
        <f aca="false">IF($I59&gt;0%,IF(AND(EQ$16&gt;=$F59,EQ$16&lt;$F59+($G59*$I59)),"➤",""),"")</f>
        <v/>
      </c>
      <c r="ER59" s="76" t="str">
        <f aca="false">IF($I59&gt;0%,IF(AND(ER$16&gt;=$F59,ER$16&lt;$F59+($G59*$I59)),"➤",""),"")</f>
        <v/>
      </c>
      <c r="ES59" s="76" t="str">
        <f aca="false">IF($I59&gt;0%,IF(AND(ES$16&gt;=$F59,ES$16&lt;$F59+($G59*$I59)),"➤",""),"")</f>
        <v/>
      </c>
      <c r="ET59" s="76" t="str">
        <f aca="false">IF($I59&gt;0%,IF(AND(ET$16&gt;=$F59,ET$16&lt;$F59+($G59*$I59)),"➤",""),"")</f>
        <v/>
      </c>
      <c r="EU59" s="76" t="str">
        <f aca="false">IF($I59&gt;0%,IF(AND(EU$16&gt;=$F59,EU$16&lt;$F59+($G59*$I59)),"➤",""),"")</f>
        <v/>
      </c>
      <c r="EV59" s="76" t="str">
        <f aca="false">IF($I59&gt;0%,IF(AND(EV$16&gt;=$F59,EV$16&lt;$F59+($G59*$I59)),"➤",""),"")</f>
        <v/>
      </c>
      <c r="EW59" s="76" t="str">
        <f aca="false">IF($I59&gt;0%,IF(AND(EW$16&gt;=$F59,EW$16&lt;$F59+($G59*$I59)),"➤",""),"")</f>
        <v/>
      </c>
      <c r="EX59" s="76" t="str">
        <f aca="false">IF($I59&gt;0%,IF(AND(EX$16&gt;=$F59,EX$16&lt;$F59+($G59*$I59)),"➤",""),"")</f>
        <v/>
      </c>
      <c r="EY59" s="76" t="str">
        <f aca="false">IF($I59&gt;0%,IF(AND(EY$16&gt;=$F59,EY$16&lt;$F59+($G59*$I59)),"➤",""),"")</f>
        <v/>
      </c>
      <c r="EZ59" s="76" t="str">
        <f aca="false">IF($I59&gt;0%,IF(AND(EZ$16&gt;=$F59,EZ$16&lt;$F59+($G59*$I59)),"➤",""),"")</f>
        <v/>
      </c>
      <c r="FA59" s="76" t="str">
        <f aca="false">IF($I59&gt;0%,IF(AND(FA$16&gt;=$F59,FA$16&lt;$F59+($G59*$I59)),"➤",""),"")</f>
        <v/>
      </c>
      <c r="FB59" s="76" t="str">
        <f aca="false">IF($I59&gt;0%,IF(AND(FB$16&gt;=$F59,FB$16&lt;$F59+($G59*$I59)),"➤",""),"")</f>
        <v/>
      </c>
      <c r="FC59" s="76" t="str">
        <f aca="false">IF($I59&gt;0%,IF(AND(FC$16&gt;=$F59,FC$16&lt;$F59+($G59*$I59)),"➤",""),"")</f>
        <v/>
      </c>
      <c r="FD59" s="76" t="str">
        <f aca="false">IF($I59&gt;0%,IF(AND(FD$16&gt;=$F59,FD$16&lt;$F59+($G59*$I59)),"➤",""),"")</f>
        <v/>
      </c>
      <c r="FE59" s="76" t="str">
        <f aca="false">IF($I59&gt;0%,IF(AND(FE$16&gt;=$F59,FE$16&lt;$F59+($G59*$I59)),"➤",""),"")</f>
        <v/>
      </c>
      <c r="FF59" s="76" t="str">
        <f aca="false">IF($I59&gt;0%,IF(AND(FF$16&gt;=$F59,FF$16&lt;$F59+($G59*$I59)),"➤",""),"")</f>
        <v/>
      </c>
      <c r="FG59" s="76" t="str">
        <f aca="false">IF($I59&gt;0%,IF(AND(FG$16&gt;=$F59,FG$16&lt;$F59+($G59*$I59)),"➤",""),"")</f>
        <v/>
      </c>
      <c r="FH59" s="76" t="str">
        <f aca="false">IF($I59&gt;0%,IF(AND(FH$16&gt;=$F59,FH$16&lt;$F59+($G59*$I59)),"➤",""),"")</f>
        <v/>
      </c>
      <c r="FI59" s="76" t="str">
        <f aca="false">IF($I59&gt;0%,IF(AND(FI$16&gt;=$F59,FI$16&lt;$F59+($G59*$I59)),"➤",""),"")</f>
        <v/>
      </c>
      <c r="FJ59" s="76" t="str">
        <f aca="false">IF($I59&gt;0%,IF(AND(FJ$16&gt;=$F59,FJ$16&lt;$F59+($G59*$I59)),"➤",""),"")</f>
        <v/>
      </c>
      <c r="FK59" s="76" t="str">
        <f aca="false">IF($I59&gt;0%,IF(AND(FK$16&gt;=$F59,FK$16&lt;$F59+($G59*$I59)),"➤",""),"")</f>
        <v/>
      </c>
      <c r="FL59" s="76" t="str">
        <f aca="false">IF($I59&gt;0%,IF(AND(FL$16&gt;=$F59,FL$16&lt;$F59+($G59*$I59)),"➤",""),"")</f>
        <v/>
      </c>
      <c r="FM59" s="76" t="str">
        <f aca="false">IF($I59&gt;0%,IF(AND(FM$16&gt;=$F59,FM$16&lt;$F59+($G59*$I59)),"➤",""),"")</f>
        <v/>
      </c>
      <c r="FN59" s="76" t="str">
        <f aca="false">IF($I59&gt;0%,IF(AND(FN$16&gt;=$F59,FN$16&lt;$F59+($G59*$I59)),"➤",""),"")</f>
        <v/>
      </c>
      <c r="FO59" s="76" t="str">
        <f aca="false">IF($I59&gt;0%,IF(AND(FO$16&gt;=$F59,FO$16&lt;$F59+($G59*$I59)),"➤",""),"")</f>
        <v/>
      </c>
      <c r="FP59" s="76" t="str">
        <f aca="false">IF($I59&gt;0%,IF(AND(FP$16&gt;=$F59,FP$16&lt;$F59+($G59*$I59)),"➤",""),"")</f>
        <v/>
      </c>
      <c r="FQ59" s="76" t="str">
        <f aca="false">IF($I59&gt;0%,IF(AND(FQ$16&gt;=$F59,FQ$16&lt;$F59+($G59*$I59)),"➤",""),"")</f>
        <v/>
      </c>
      <c r="FR59" s="76" t="str">
        <f aca="false">IF($I59&gt;0%,IF(AND(FR$16&gt;=$F59,FR$16&lt;$F59+($G59*$I59)),"➤",""),"")</f>
        <v/>
      </c>
      <c r="FS59" s="76" t="str">
        <f aca="false">IF($I59&gt;0%,IF(AND(FS$16&gt;=$F59,FS$16&lt;$F59+($G59*$I59)),"➤",""),"")</f>
        <v/>
      </c>
      <c r="FT59" s="76" t="str">
        <f aca="false">IF($I59&gt;0%,IF(AND(FT$16&gt;=$F59,FT$16&lt;$F59+($G59*$I59)),"➤",""),"")</f>
        <v/>
      </c>
      <c r="FU59" s="76" t="str">
        <f aca="false">IF($I59&gt;0%,IF(AND(FU$16&gt;=$F59,FU$16&lt;$F59+($G59*$I59)),"➤",""),"")</f>
        <v/>
      </c>
      <c r="FV59" s="76" t="str">
        <f aca="false">IF($I59&gt;0%,IF(AND(FV$16&gt;=$F59,FV$16&lt;$F59+($G59*$I59)),"➤",""),"")</f>
        <v/>
      </c>
      <c r="FW59" s="76" t="str">
        <f aca="false">IF($I59&gt;0%,IF(AND(FW$16&gt;=$F59,FW$16&lt;$F59+($G59*$I59)),"➤",""),"")</f>
        <v/>
      </c>
      <c r="FX59" s="76" t="str">
        <f aca="false">IF($I59&gt;0%,IF(AND(FX$16&gt;=$F59,FX$16&lt;$F59+($G59*$I59)),"➤",""),"")</f>
        <v/>
      </c>
      <c r="FY59" s="76" t="str">
        <f aca="false">IF($I59&gt;0%,IF(AND(FY$16&gt;=$F59,FY$16&lt;$F59+($G59*$I59)),"➤",""),"")</f>
        <v/>
      </c>
      <c r="FZ59" s="76" t="str">
        <f aca="false">IF($I59&gt;0%,IF(AND(FZ$16&gt;=$F59,FZ$16&lt;$F59+($G59*$I59)),"➤",""),"")</f>
        <v/>
      </c>
      <c r="GA59" s="76" t="str">
        <f aca="false">IF($I59&gt;0%,IF(AND(GA$16&gt;=$F59,GA$16&lt;$F59+($G59*$I59)),"➤",""),"")</f>
        <v/>
      </c>
      <c r="GB59" s="76" t="str">
        <f aca="false">IF($I59&gt;0%,IF(AND(GB$16&gt;=$F59,GB$16&lt;$F59+($G59*$I59)),"➤",""),"")</f>
        <v/>
      </c>
      <c r="GC59" s="76" t="str">
        <f aca="false">IF($I59&gt;0%,IF(AND(GC$16&gt;=$F59,GC$16&lt;$F59+($G59*$I59)),"➤",""),"")</f>
        <v/>
      </c>
      <c r="GD59" s="76" t="str">
        <f aca="false">IF($I59&gt;0%,IF(AND(GD$16&gt;=$F59,GD$16&lt;$F59+($G59*$I59)),"➤",""),"")</f>
        <v/>
      </c>
      <c r="GE59" s="76" t="str">
        <f aca="false">IF($I59&gt;0%,IF(AND(GE$16&gt;=$F59,GE$16&lt;$F59+($G59*$I59)),"➤",""),"")</f>
        <v/>
      </c>
      <c r="GF59" s="76" t="str">
        <f aca="false">IF($I59&gt;0%,IF(AND(GF$16&gt;=$F59,GF$16&lt;$F59+($G59*$I59)),"➤",""),"")</f>
        <v/>
      </c>
      <c r="GG59" s="76" t="str">
        <f aca="false">IF($I59&gt;0%,IF(AND(GG$16&gt;=$F59,GG$16&lt;$F59+($G59*$I59)),"➤",""),"")</f>
        <v/>
      </c>
      <c r="GH59" s="76" t="str">
        <f aca="false">IF($I59&gt;0%,IF(AND(GH$16&gt;=$F59,GH$16&lt;$F59+($G59*$I59)),"➤",""),"")</f>
        <v/>
      </c>
      <c r="GI59" s="76" t="str">
        <f aca="false">IF($I59&gt;0%,IF(AND(GI$16&gt;=$F59,GI$16&lt;$F59+($G59*$I59)),"➤",""),"")</f>
        <v/>
      </c>
      <c r="GJ59" s="76" t="str">
        <f aca="false">IF($I59&gt;0%,IF(AND(GJ$16&gt;=$F59,GJ$16&lt;$F59+($G59*$I59)),"➤",""),"")</f>
        <v/>
      </c>
      <c r="GK59" s="76" t="str">
        <f aca="false">IF($I59&gt;0%,IF(AND(GK$16&gt;=$F59,GK$16&lt;$F59+($G59*$I59)),"➤",""),"")</f>
        <v/>
      </c>
      <c r="GL59" s="76" t="str">
        <f aca="false">IF($I59&gt;0%,IF(AND(GL$16&gt;=$F59,GL$16&lt;$F59+($G59*$I59)),"➤",""),"")</f>
        <v/>
      </c>
      <c r="GM59" s="76" t="str">
        <f aca="false">IF($I59&gt;0%,IF(AND(GM$16&gt;=$F59,GM$16&lt;$F59+($G59*$I59)),"➤",""),"")</f>
        <v/>
      </c>
      <c r="GN59" s="76" t="str">
        <f aca="false">IF($I59&gt;0%,IF(AND(GN$16&gt;=$F59,GN$16&lt;$F59+($G59*$I59)),"➤",""),"")</f>
        <v/>
      </c>
      <c r="GO59" s="76" t="str">
        <f aca="false">IF($I59&gt;0%,IF(AND(GO$16&gt;=$F59,GO$16&lt;$F59+($G59*$I59)),"➤",""),"")</f>
        <v/>
      </c>
      <c r="GP59" s="76" t="str">
        <f aca="false">IF($I59&gt;0%,IF(AND(GP$16&gt;=$F59,GP$16&lt;$F59+($G59*$I59)),"➤",""),"")</f>
        <v/>
      </c>
      <c r="GQ59" s="76" t="str">
        <f aca="false">IF($I59&gt;0%,IF(AND(GQ$16&gt;=$F59,GQ$16&lt;$F59+($G59*$I59)),"➤",""),"")</f>
        <v/>
      </c>
      <c r="GR59" s="76" t="str">
        <f aca="false">IF($I59&gt;0%,IF(AND(GR$16&gt;=$F59,GR$16&lt;$F59+($G59*$I59)),"➤",""),"")</f>
        <v/>
      </c>
      <c r="GS59" s="76" t="str">
        <f aca="false">IF($I59&gt;0%,IF(AND(GS$16&gt;=$F59,GS$16&lt;$F59+($G59*$I59)),"➤",""),"")</f>
        <v/>
      </c>
      <c r="GT59" s="76" t="str">
        <f aca="false">IF($I59&gt;0%,IF(AND(GT$16&gt;=$F59,GT$16&lt;$F59+($G59*$I59)),"➤",""),"")</f>
        <v/>
      </c>
      <c r="GU59" s="76" t="str">
        <f aca="false">IF($I59&gt;0%,IF(AND(GU$16&gt;=$F59,GU$16&lt;$F59+($G59*$I59)),"➤",""),"")</f>
        <v/>
      </c>
      <c r="GV59" s="76" t="str">
        <f aca="false">IF($I59&gt;0%,IF(AND(GV$16&gt;=$F59,GV$16&lt;$F59+($G59*$I59)),"➤",""),"")</f>
        <v/>
      </c>
      <c r="GW59" s="76" t="str">
        <f aca="false">IF($I59&gt;0%,IF(AND(GW$16&gt;=$F59,GW$16&lt;$F59+($G59*$I59)),"➤",""),"")</f>
        <v/>
      </c>
      <c r="GX59" s="76" t="str">
        <f aca="false">IF($I59&gt;0%,IF(AND(GX$16&gt;=$F59,GX$16&lt;$F59+($G59*$I59)),"➤",""),"")</f>
        <v/>
      </c>
      <c r="GY59" s="76" t="str">
        <f aca="false">IF($I59&gt;0%,IF(AND(GY$16&gt;=$F59,GY$16&lt;$F59+($G59*$I59)),"➤",""),"")</f>
        <v/>
      </c>
      <c r="GZ59" s="76" t="str">
        <f aca="false">IF($I59&gt;0%,IF(AND(GZ$16&gt;=$F59,GZ$16&lt;$F59+($G59*$I59)),"➤",""),"")</f>
        <v/>
      </c>
      <c r="HA59" s="76" t="str">
        <f aca="false">IF($I59&gt;0%,IF(AND(HA$16&gt;=$F59,HA$16&lt;$F59+($G59*$I59)),"➤",""),"")</f>
        <v/>
      </c>
      <c r="HB59" s="76" t="str">
        <f aca="false">IF($I59&gt;0%,IF(AND(HB$16&gt;=$F59,HB$16&lt;$F59+($G59*$I59)),"➤",""),"")</f>
        <v/>
      </c>
      <c r="HC59" s="76" t="str">
        <f aca="false">IF($I59&gt;0%,IF(AND(HC$16&gt;=$F59,HC$16&lt;$F59+($G59*$I59)),"➤",""),"")</f>
        <v/>
      </c>
      <c r="HD59" s="76" t="str">
        <f aca="false">IF($I59&gt;0%,IF(AND(HD$16&gt;=$F59,HD$16&lt;$F59+($G59*$I59)),"➤",""),"")</f>
        <v/>
      </c>
      <c r="HE59" s="76" t="str">
        <f aca="false">IF($I59&gt;0%,IF(AND(HE$16&gt;=$F59,HE$16&lt;$F59+($G59*$I59)),"➤",""),"")</f>
        <v/>
      </c>
      <c r="HF59" s="76" t="str">
        <f aca="false">IF($I59&gt;0%,IF(AND(HF$16&gt;=$F59,HF$16&lt;$F59+($G59*$I59)),"➤",""),"")</f>
        <v/>
      </c>
      <c r="HG59" s="76" t="str">
        <f aca="false">IF($I59&gt;0%,IF(AND(HG$16&gt;=$F59,HG$16&lt;$F59+($G59*$I59)),"➤",""),"")</f>
        <v/>
      </c>
      <c r="HH59" s="76" t="str">
        <f aca="false">IF($I59&gt;0%,IF(AND(HH$16&gt;=$F59,HH$16&lt;$F59+($G59*$I59)),"➤",""),"")</f>
        <v/>
      </c>
      <c r="HI59" s="76" t="str">
        <f aca="false">IF($I59&gt;0%,IF(AND(HI$16&gt;=$F59,HI$16&lt;$F59+($G59*$I59)),"➤",""),"")</f>
        <v/>
      </c>
      <c r="HJ59" s="76" t="str">
        <f aca="false">IF($I59&gt;0%,IF(AND(HJ$16&gt;=$F59,HJ$16&lt;$F59+($G59*$I59)),"➤",""),"")</f>
        <v/>
      </c>
      <c r="HK59" s="76" t="str">
        <f aca="false">IF($I59&gt;0%,IF(AND(HK$16&gt;=$F59,HK$16&lt;$F59+($G59*$I59)),"➤",""),"")</f>
        <v/>
      </c>
      <c r="HL59" s="76" t="str">
        <f aca="false">IF($I59&gt;0%,IF(AND(HL$16&gt;=$F59,HL$16&lt;$F59+($G59*$I59)),"➤",""),"")</f>
        <v/>
      </c>
      <c r="HM59" s="76" t="str">
        <f aca="false">IF($I59&gt;0%,IF(AND(HM$16&gt;=$F59,HM$16&lt;$F59+($G59*$I59)),"➤",""),"")</f>
        <v/>
      </c>
      <c r="HN59" s="76" t="str">
        <f aca="false">IF($I59&gt;0%,IF(AND(HN$16&gt;=$F59,HN$16&lt;$F59+($G59*$I59)),"➤",""),"")</f>
        <v/>
      </c>
      <c r="HO59" s="76" t="str">
        <f aca="false">IF($I59&gt;0%,IF(AND(HO$16&gt;=$F59,HO$16&lt;$F59+($G59*$I59)),"➤",""),"")</f>
        <v/>
      </c>
      <c r="HP59" s="76" t="str">
        <f aca="false">IF($I59&gt;0%,IF(AND(HP$16&gt;=$F59,HP$16&lt;$F59+($G59*$I59)),"➤",""),"")</f>
        <v/>
      </c>
      <c r="HQ59" s="76" t="str">
        <f aca="false">IF($I59&gt;0%,IF(AND(HQ$16&gt;=$F59,HQ$16&lt;$F59+($G59*$I59)),"➤",""),"")</f>
        <v/>
      </c>
      <c r="HR59" s="76" t="str">
        <f aca="false">IF($I59&gt;0%,IF(AND(HR$16&gt;=$F59,HR$16&lt;$F59+($G59*$I59)),"➤",""),"")</f>
        <v/>
      </c>
      <c r="HS59" s="76" t="str">
        <f aca="false">IF($I59&gt;0%,IF(AND(HS$16&gt;=$F59,HS$16&lt;$F59+($G59*$I59)),"➤",""),"")</f>
        <v/>
      </c>
      <c r="HT59" s="76" t="str">
        <f aca="false">IF($I59&gt;0%,IF(AND(HT$16&gt;=$F59,HT$16&lt;$F59+($G59*$I59)),"➤",""),"")</f>
        <v/>
      </c>
      <c r="HU59" s="76" t="str">
        <f aca="false">IF($I59&gt;0%,IF(AND(HU$16&gt;=$F59,HU$16&lt;$F59+($G59*$I59)),"➤",""),"")</f>
        <v/>
      </c>
      <c r="HV59" s="76" t="str">
        <f aca="false">IF($I59&gt;0%,IF(AND(HV$16&gt;=$F59,HV$16&lt;$F59+($G59*$I59)),"➤",""),"")</f>
        <v/>
      </c>
      <c r="HW59" s="76" t="str">
        <f aca="false">IF($I59&gt;0%,IF(AND(HW$16&gt;=$F59,HW$16&lt;$F59+($G59*$I59)),"➤",""),"")</f>
        <v/>
      </c>
      <c r="HX59" s="76" t="str">
        <f aca="false">IF($I59&gt;0%,IF(AND(HX$16&gt;=$F59,HX$16&lt;$F59+($G59*$I59)),"➤",""),"")</f>
        <v/>
      </c>
      <c r="HY59" s="76" t="str">
        <f aca="false">IF($I59&gt;0%,IF(AND(HY$16&gt;=$F59,HY$16&lt;$F59+($G59*$I59)),"➤",""),"")</f>
        <v/>
      </c>
      <c r="HZ59" s="76" t="str">
        <f aca="false">IF($I59&gt;0%,IF(AND(HZ$16&gt;=$F59,HZ$16&lt;$F59+($G59*$I59)),"➤",""),"")</f>
        <v/>
      </c>
      <c r="IA59" s="76" t="str">
        <f aca="false">IF($I59&gt;0%,IF(AND(IA$16&gt;=$F59,IA$16&lt;$F59+($G59*$I59)),"➤",""),"")</f>
        <v/>
      </c>
      <c r="IB59" s="76" t="str">
        <f aca="false">IF($I59&gt;0%,IF(AND(IB$16&gt;=$F59,IB$16&lt;$F59+($G59*$I59)),"➤",""),"")</f>
        <v/>
      </c>
      <c r="IC59" s="76" t="str">
        <f aca="false">IF($I59&gt;0%,IF(AND(IC$16&gt;=$F59,IC$16&lt;$F59+($G59*$I59)),"➤",""),"")</f>
        <v/>
      </c>
      <c r="ID59" s="76" t="str">
        <f aca="false">IF($I59&gt;0%,IF(AND(ID$16&gt;=$F59,ID$16&lt;$F59+($G59*$I59)),"➤",""),"")</f>
        <v/>
      </c>
      <c r="IE59" s="76" t="str">
        <f aca="false">IF($I59&gt;0%,IF(AND(IE$16&gt;=$F59,IE$16&lt;$F59+($G59*$I59)),"➤",""),"")</f>
        <v/>
      </c>
      <c r="IF59" s="76" t="str">
        <f aca="false">IF($I59&gt;0%,IF(AND(IF$16&gt;=$F59,IF$16&lt;$F59+($G59*$I59)),"➤",""),"")</f>
        <v/>
      </c>
      <c r="IG59" s="76" t="str">
        <f aca="false">IF($I59&gt;0%,IF(AND(IG$16&gt;=$F59,IG$16&lt;$F59+($G59*$I59)),"➤",""),"")</f>
        <v/>
      </c>
      <c r="IH59" s="76" t="str">
        <f aca="false">IF($I59&gt;0%,IF(AND(IH$16&gt;=$F59,IH$16&lt;$F59+($G59*$I59)),"➤",""),"")</f>
        <v/>
      </c>
      <c r="II59" s="76" t="str">
        <f aca="false">IF($I59&gt;0%,IF(AND(II$16&gt;=$F59,II$16&lt;$F59+($G59*$I59)),"➤",""),"")</f>
        <v/>
      </c>
      <c r="IJ59" s="76" t="str">
        <f aca="false">IF($I59&gt;0%,IF(AND(IJ$16&gt;=$F59,IJ$16&lt;$F59+($G59*$I59)),"➤",""),"")</f>
        <v/>
      </c>
      <c r="IK59" s="76" t="str">
        <f aca="false">IF($I59&gt;0%,IF(AND(IK$16&gt;=$F59,IK$16&lt;$F59+($G59*$I59)),"➤",""),"")</f>
        <v/>
      </c>
      <c r="IL59" s="76" t="str">
        <f aca="false">IF($I59&gt;0%,IF(AND(IL$16&gt;=$F59,IL$16&lt;$F59+($G59*$I59)),"➤",""),"")</f>
        <v/>
      </c>
      <c r="IM59" s="76" t="str">
        <f aca="false">IF($I59&gt;0%,IF(AND(IM$16&gt;=$F59,IM$16&lt;$F59+($G59*$I59)),"➤",""),"")</f>
        <v/>
      </c>
      <c r="IN59" s="76" t="str">
        <f aca="false">IF($I59&gt;0%,IF(AND(IN$16&gt;=$F59,IN$16&lt;$F59+($G59*$I59)),"➤",""),"")</f>
        <v/>
      </c>
      <c r="IO59" s="76" t="str">
        <f aca="false">IF($I59&gt;0%,IF(AND(IO$16&gt;=$F59,IO$16&lt;$F59+($G59*$I59)),"➤",""),"")</f>
        <v/>
      </c>
      <c r="IP59" s="76" t="str">
        <f aca="false">IF($I59&gt;0%,IF(AND(IP$16&gt;=$F59,IP$16&lt;$F59+($G59*$I59)),"➤",""),"")</f>
        <v/>
      </c>
      <c r="IQ59" s="76" t="str">
        <f aca="false">IF($I59&gt;0%,IF(AND(IQ$16&gt;=$F59,IQ$16&lt;$F59+($G59*$I59)),"➤",""),"")</f>
        <v/>
      </c>
      <c r="IR59" s="76" t="str">
        <f aca="false">IF($I59&gt;0%,IF(AND(IR$16&gt;=$F59,IR$16&lt;$F59+($G59*$I59)),"➤",""),"")</f>
        <v/>
      </c>
      <c r="IS59" s="76" t="str">
        <f aca="false">IF($I59&gt;0%,IF(AND(IS$16&gt;=$F59,IS$16&lt;$F59+($G59*$I59)),"➤",""),"")</f>
        <v/>
      </c>
      <c r="IT59" s="76" t="str">
        <f aca="false">IF($I59&gt;0%,IF(AND(IT$16&gt;=$F59,IT$16&lt;$F59+($G59*$I59)),"➤",""),"")</f>
        <v/>
      </c>
      <c r="IU59" s="76" t="str">
        <f aca="false">IF($I59&gt;0%,IF(AND(IU$16&gt;=$F59,IU$16&lt;$F59+($G59*$I59)),"➤",""),"")</f>
        <v/>
      </c>
      <c r="IV59" s="76" t="str">
        <f aca="false">IF($I59&gt;0%,IF(AND(IV$16&gt;=$F59,IV$16&lt;$F59+($G59*$I59)),"➤",""),"")</f>
        <v/>
      </c>
      <c r="IW59" s="76" t="str">
        <f aca="false">IF($I59&gt;0%,IF(AND(IW$16&gt;=$F59,IW$16&lt;$F59+($G59*$I59)),"➤",""),"")</f>
        <v/>
      </c>
      <c r="IX59" s="76" t="str">
        <f aca="false">IF($I59&gt;0%,IF(AND(IX$16&gt;=$F59,IX$16&lt;$F59+($G59*$I59)),"➤",""),"")</f>
        <v/>
      </c>
      <c r="IY59" s="76" t="str">
        <f aca="false">IF($I59&gt;0%,IF(AND(IY$16&gt;=$F59,IY$16&lt;$F59+($G59*$I59)),"➤",""),"")</f>
        <v/>
      </c>
      <c r="IZ59" s="76" t="str">
        <f aca="false">IF($I59&gt;0%,IF(AND(IZ$16&gt;=$F59,IZ$16&lt;$F59+($G59*$I59)),"➤",""),"")</f>
        <v/>
      </c>
      <c r="JA59" s="76" t="str">
        <f aca="false">IF($I59&gt;0%,IF(AND(JA$16&gt;=$F59,JA$16&lt;$F59+($G59*$I59)),"➤",""),"")</f>
        <v/>
      </c>
      <c r="JB59" s="76" t="str">
        <f aca="false">IF($I59&gt;0%,IF(AND(JB$16&gt;=$F59,JB$16&lt;$F59+($G59*$I59)),"➤",""),"")</f>
        <v/>
      </c>
      <c r="JC59" s="76" t="str">
        <f aca="false">IF($I59&gt;0%,IF(AND(JC$16&gt;=$F59,JC$16&lt;$F59+($G59*$I59)),"➤",""),"")</f>
        <v/>
      </c>
      <c r="JD59" s="76" t="str">
        <f aca="false">IF($I59&gt;0%,IF(AND(JD$16&gt;=$F59,JD$16&lt;$F59+($G59*$I59)),"➤",""),"")</f>
        <v/>
      </c>
      <c r="JE59" s="76" t="str">
        <f aca="false">IF($I59&gt;0%,IF(AND(JE$16&gt;=$F59,JE$16&lt;$F59+($G59*$I59)),"➤",""),"")</f>
        <v/>
      </c>
      <c r="JF59" s="76" t="str">
        <f aca="false">IF($I59&gt;0%,IF(AND(JF$16&gt;=$F59,JF$16&lt;$F59+($G59*$I59)),"➤",""),"")</f>
        <v/>
      </c>
      <c r="JG59" s="76" t="str">
        <f aca="false">IF($I59&gt;0%,IF(AND(JG$16&gt;=$F59,JG$16&lt;$F59+($G59*$I59)),"➤",""),"")</f>
        <v/>
      </c>
      <c r="JH59" s="76" t="str">
        <f aca="false">IF($I59&gt;0%,IF(AND(JH$16&gt;=$F59,JH$16&lt;$F59+($G59*$I59)),"➤",""),"")</f>
        <v/>
      </c>
      <c r="JI59" s="76" t="str">
        <f aca="false">IF($I59&gt;0%,IF(AND(JI$16&gt;=$F59,JI$16&lt;$F59+($G59*$I59)),"➤",""),"")</f>
        <v/>
      </c>
      <c r="JJ59" s="76" t="str">
        <f aca="false">IF($I59&gt;0%,IF(AND(JJ$16&gt;=$F59,JJ$16&lt;$F59+($G59*$I59)),"➤",""),"")</f>
        <v/>
      </c>
      <c r="JK59" s="76" t="str">
        <f aca="false">IF($I59&gt;0%,IF(AND(JK$16&gt;=$F59,JK$16&lt;$F59+($G59*$I59)),"➤",""),"")</f>
        <v/>
      </c>
      <c r="JL59" s="76" t="str">
        <f aca="false">IF($I59&gt;0%,IF(AND(JL$16&gt;=$F59,JL$16&lt;$F59+($G59*$I59)),"➤",""),"")</f>
        <v/>
      </c>
      <c r="JM59" s="76" t="str">
        <f aca="false">IF($I59&gt;0%,IF(AND(JM$16&gt;=$F59,JM$16&lt;$F59+($G59*$I59)),"➤",""),"")</f>
        <v/>
      </c>
      <c r="JN59" s="76" t="str">
        <f aca="false">IF($I59&gt;0%,IF(AND(JN$16&gt;=$F59,JN$16&lt;$F59+($G59*$I59)),"➤",""),"")</f>
        <v/>
      </c>
      <c r="JO59" s="76" t="str">
        <f aca="false">IF($I59&gt;0%,IF(AND(JO$16&gt;=$F59,JO$16&lt;$F59+($G59*$I59)),"➤",""),"")</f>
        <v/>
      </c>
      <c r="JP59" s="76" t="str">
        <f aca="false">IF($I59&gt;0%,IF(AND(JP$16&gt;=$F59,JP$16&lt;$F59+($G59*$I59)),"➤",""),"")</f>
        <v/>
      </c>
      <c r="JQ59" s="76" t="str">
        <f aca="false">IF($I59&gt;0%,IF(AND(JQ$16&gt;=$F59,JQ$16&lt;$F59+($G59*$I59)),"➤",""),"")</f>
        <v/>
      </c>
      <c r="JR59" s="76" t="str">
        <f aca="false">IF($I59&gt;0%,IF(AND(JR$16&gt;=$F59,JR$16&lt;$F59+($G59*$I59)),"➤",""),"")</f>
        <v/>
      </c>
      <c r="JS59" s="76" t="str">
        <f aca="false">IF($I59&gt;0%,IF(AND(JS$16&gt;=$F59,JS$16&lt;$F59+($G59*$I59)),"➤",""),"")</f>
        <v/>
      </c>
      <c r="JT59" s="76" t="str">
        <f aca="false">IF($I59&gt;0%,IF(AND(JT$16&gt;=$F59,JT$16&lt;$F59+($G59*$I59)),"➤",""),"")</f>
        <v/>
      </c>
      <c r="JU59" s="76" t="str">
        <f aca="false">IF($I59&gt;0%,IF(AND(JU$16&gt;=$F59,JU$16&lt;$F59+($G59*$I59)),"➤",""),"")</f>
        <v/>
      </c>
      <c r="JV59" s="76" t="str">
        <f aca="false">IF($I59&gt;0%,IF(AND(JV$16&gt;=$F59,JV$16&lt;$F59+($G59*$I59)),"➤",""),"")</f>
        <v/>
      </c>
      <c r="JW59" s="76" t="str">
        <f aca="false">IF($I59&gt;0%,IF(AND(JW$16&gt;=$F59,JW$16&lt;$F59+($G59*$I59)),"➤",""),"")</f>
        <v/>
      </c>
      <c r="JX59" s="76" t="str">
        <f aca="false">IF($I59&gt;0%,IF(AND(JX$16&gt;=$F59,JX$16&lt;$F59+($G59*$I59)),"➤",""),"")</f>
        <v/>
      </c>
      <c r="JY59" s="76" t="str">
        <f aca="false">IF($I59&gt;0%,IF(AND(JY$16&gt;=$F59,JY$16&lt;$F59+($G59*$I59)),"➤",""),"")</f>
        <v/>
      </c>
      <c r="JZ59" s="76" t="str">
        <f aca="false">IF($I59&gt;0%,IF(AND(JZ$16&gt;=$F59,JZ$16&lt;$F59+($G59*$I59)),"➤",""),"")</f>
        <v/>
      </c>
      <c r="KA59" s="76" t="str">
        <f aca="false">IF($I59&gt;0%,IF(AND(KA$16&gt;=$F59,KA$16&lt;$F59+($G59*$I59)),"➤",""),"")</f>
        <v/>
      </c>
      <c r="KB59" s="76" t="str">
        <f aca="false">IF($I59&gt;0%,IF(AND(KB$16&gt;=$F59,KB$16&lt;$F59+($G59*$I59)),"➤",""),"")</f>
        <v/>
      </c>
      <c r="KC59" s="76" t="str">
        <f aca="false">IF($I59&gt;0%,IF(AND(KC$16&gt;=$F59,KC$16&lt;$F59+($G59*$I59)),"➤",""),"")</f>
        <v/>
      </c>
      <c r="KD59" s="76" t="str">
        <f aca="false">IF($I59&gt;0%,IF(AND(KD$16&gt;=$F59,KD$16&lt;$F59+($G59*$I59)),"➤",""),"")</f>
        <v/>
      </c>
      <c r="KE59" s="76" t="str">
        <f aca="false">IF($I59&gt;0%,IF(AND(KE$16&gt;=$F59,KE$16&lt;$F59+($G59*$I59)),"➤",""),"")</f>
        <v/>
      </c>
      <c r="KF59" s="76" t="str">
        <f aca="false">IF($I59&gt;0%,IF(AND(KF$16&gt;=$F59,KF$16&lt;$F59+($G59*$I59)),"➤",""),"")</f>
        <v/>
      </c>
      <c r="KG59" s="76" t="str">
        <f aca="false">IF($I59&gt;0%,IF(AND(KG$16&gt;=$F59,KG$16&lt;$F59+($G59*$I59)),"➤",""),"")</f>
        <v/>
      </c>
      <c r="KH59" s="76" t="str">
        <f aca="false">IF($I59&gt;0%,IF(AND(KH$16&gt;=$F59,KH$16&lt;$F59+($G59*$I59)),"➤",""),"")</f>
        <v/>
      </c>
      <c r="KI59" s="76" t="str">
        <f aca="false">IF($I59&gt;0%,IF(AND(KI$16&gt;=$F59,KI$16&lt;$F59+($G59*$I59)),"➤",""),"")</f>
        <v/>
      </c>
      <c r="KJ59" s="76" t="str">
        <f aca="false">IF($I59&gt;0%,IF(AND(KJ$16&gt;=$F59,KJ$16&lt;$F59+($G59*$I59)),"➤",""),"")</f>
        <v/>
      </c>
      <c r="KK59" s="76" t="str">
        <f aca="false">IF($I59&gt;0%,IF(AND(KK$16&gt;=$F59,KK$16&lt;$F59+($G59*$I59)),"➤",""),"")</f>
        <v/>
      </c>
      <c r="KL59" s="76" t="str">
        <f aca="false">IF($I59&gt;0%,IF(AND(KL$16&gt;=$F59,KL$16&lt;$F59+($G59*$I59)),"➤",""),"")</f>
        <v/>
      </c>
      <c r="KM59" s="76" t="str">
        <f aca="false">IF($I59&gt;0%,IF(AND(KM$16&gt;=$F59,KM$16&lt;$F59+($G59*$I59)),"➤",""),"")</f>
        <v/>
      </c>
      <c r="KN59" s="76" t="str">
        <f aca="false">IF($I59&gt;0%,IF(AND(KN$16&gt;=$F59,KN$16&lt;$F59+($G59*$I59)),"➤",""),"")</f>
        <v/>
      </c>
      <c r="KO59" s="76" t="str">
        <f aca="false">IF($I59&gt;0%,IF(AND(KO$16&gt;=$F59,KO$16&lt;$F59+($G59*$I59)),"➤",""),"")</f>
        <v/>
      </c>
      <c r="KP59" s="76" t="str">
        <f aca="false">IF($I59&gt;0%,IF(AND(KP$16&gt;=$F59,KP$16&lt;$F59+($G59*$I59)),"➤",""),"")</f>
        <v/>
      </c>
      <c r="KQ59" s="76" t="str">
        <f aca="false">IF($I59&gt;0%,IF(AND(KQ$16&gt;=$F59,KQ$16&lt;$F59+($G59*$I59)),"➤",""),"")</f>
        <v/>
      </c>
      <c r="KR59" s="76" t="str">
        <f aca="false">IF($I59&gt;0%,IF(AND(KR$16&gt;=$F59,KR$16&lt;$F59+($G59*$I59)),"➤",""),"")</f>
        <v/>
      </c>
      <c r="KS59" s="76" t="str">
        <f aca="false">IF($I59&gt;0%,IF(AND(KS$16&gt;=$F59,KS$16&lt;$F59+($G59*$I59)),"➤",""),"")</f>
        <v/>
      </c>
      <c r="KT59" s="76" t="str">
        <f aca="false">IF($I59&gt;0%,IF(AND(KT$16&gt;=$F59,KT$16&lt;$F59+($G59*$I59)),"➤",""),"")</f>
        <v/>
      </c>
      <c r="KU59" s="76" t="str">
        <f aca="false">IF($I59&gt;0%,IF(AND(KU$16&gt;=$F59,KU$16&lt;$F59+($G59*$I59)),"➤",""),"")</f>
        <v/>
      </c>
      <c r="KV59" s="76" t="str">
        <f aca="false">IF($I59&gt;0%,IF(AND(KV$16&gt;=$F59,KV$16&lt;$F59+($G59*$I59)),"➤",""),"")</f>
        <v/>
      </c>
      <c r="KW59" s="76" t="str">
        <f aca="false">IF($I59&gt;0%,IF(AND(KW$16&gt;=$F59,KW$16&lt;$F59+($G59*$I59)),"➤",""),"")</f>
        <v/>
      </c>
      <c r="KX59" s="76" t="str">
        <f aca="false">IF($I59&gt;0%,IF(AND(KX$16&gt;=$F59,KX$16&lt;$F59+($G59*$I59)),"➤",""),"")</f>
        <v/>
      </c>
      <c r="KY59" s="76" t="str">
        <f aca="false">IF($I59&gt;0%,IF(AND(KY$16&gt;=$F59,KY$16&lt;$F59+($G59*$I59)),"➤",""),"")</f>
        <v/>
      </c>
      <c r="KZ59" s="76" t="str">
        <f aca="false">IF($I59&gt;0%,IF(AND(KZ$16&gt;=$F59,KZ$16&lt;$F59+($G59*$I59)),"➤",""),"")</f>
        <v/>
      </c>
      <c r="LA59" s="76" t="str">
        <f aca="false">IF($I59&gt;0%,IF(AND(LA$16&gt;=$F59,LA$16&lt;$F59+($G59*$I59)),"➤",""),"")</f>
        <v/>
      </c>
      <c r="LB59" s="76" t="str">
        <f aca="false">IF($I59&gt;0%,IF(AND(LB$16&gt;=$F59,LB$16&lt;$F59+($G59*$I59)),"➤",""),"")</f>
        <v/>
      </c>
      <c r="LC59" s="76" t="str">
        <f aca="false">IF($I59&gt;0%,IF(AND(LC$16&gt;=$F59,LC$16&lt;$F59+($G59*$I59)),"➤",""),"")</f>
        <v/>
      </c>
      <c r="LD59" s="76" t="str">
        <f aca="false">IF($I59&gt;0%,IF(AND(LD$16&gt;=$F59,LD$16&lt;$F59+($G59*$I59)),"➤",""),"")</f>
        <v/>
      </c>
      <c r="LE59" s="76" t="str">
        <f aca="false">IF($I59&gt;0%,IF(AND(LE$16&gt;=$F59,LE$16&lt;$F59+($G59*$I59)),"➤",""),"")</f>
        <v/>
      </c>
      <c r="LF59" s="76" t="str">
        <f aca="false">IF($I59&gt;0%,IF(AND(LF$16&gt;=$F59,LF$16&lt;$F59+($G59*$I59)),"➤",""),"")</f>
        <v/>
      </c>
      <c r="LG59" s="76" t="str">
        <f aca="false">IF($I59&gt;0%,IF(AND(LG$16&gt;=$F59,LG$16&lt;$F59+($G59*$I59)),"➤",""),"")</f>
        <v/>
      </c>
      <c r="LH59" s="76" t="str">
        <f aca="false">IF($I59&gt;0%,IF(AND(LH$16&gt;=$F59,LH$16&lt;$F59+($G59*$I59)),"➤",""),"")</f>
        <v/>
      </c>
      <c r="LI59" s="76" t="str">
        <f aca="false">IF($I59&gt;0%,IF(AND(LI$16&gt;=$F59,LI$16&lt;$F59+($G59*$I59)),"➤",""),"")</f>
        <v/>
      </c>
      <c r="LJ59" s="76" t="str">
        <f aca="false">IF($I59&gt;0%,IF(AND(LJ$16&gt;=$F59,LJ$16&lt;$F59+($G59*$I59)),"➤",""),"")</f>
        <v/>
      </c>
      <c r="LK59" s="76" t="str">
        <f aca="false">IF($I59&gt;0%,IF(AND(LK$16&gt;=$F59,LK$16&lt;$F59+($G59*$I59)),"➤",""),"")</f>
        <v/>
      </c>
      <c r="LL59" s="76" t="str">
        <f aca="false">IF($I59&gt;0%,IF(AND(LL$16&gt;=$F59,LL$16&lt;$F59+($G59*$I59)),"➤",""),"")</f>
        <v/>
      </c>
      <c r="LM59" s="76" t="str">
        <f aca="false">IF($I59&gt;0%,IF(AND(LM$16&gt;=$F59,LM$16&lt;$F59+($G59*$I59)),"➤",""),"")</f>
        <v/>
      </c>
      <c r="LN59" s="76" t="str">
        <f aca="false">IF($I59&gt;0%,IF(AND(LN$16&gt;=$F59,LN$16&lt;$F59+($G59*$I59)),"➤",""),"")</f>
        <v/>
      </c>
      <c r="LO59" s="76" t="str">
        <f aca="false">IF($I59&gt;0%,IF(AND(LO$16&gt;=$F59,LO$16&lt;$F59+($G59*$I59)),"➤",""),"")</f>
        <v/>
      </c>
      <c r="LP59" s="76" t="str">
        <f aca="false">IF($I59&gt;0%,IF(AND(LP$16&gt;=$F59,LP$16&lt;$F59+($G59*$I59)),"➤",""),"")</f>
        <v/>
      </c>
      <c r="LQ59" s="76" t="str">
        <f aca="false">IF($I59&gt;0%,IF(AND(LQ$16&gt;=$F59,LQ$16&lt;$F59+($G59*$I59)),"➤",""),"")</f>
        <v/>
      </c>
      <c r="LR59" s="76" t="str">
        <f aca="false">IF($I59&gt;0%,IF(AND(LR$16&gt;=$F59,LR$16&lt;$F59+($G59*$I59)),"➤",""),"")</f>
        <v/>
      </c>
      <c r="LS59" s="76" t="str">
        <f aca="false">IF($I59&gt;0%,IF(AND(LS$16&gt;=$F59,LS$16&lt;$F59+($G59*$I59)),"➤",""),"")</f>
        <v/>
      </c>
      <c r="LT59" s="76" t="str">
        <f aca="false">IF($I59&gt;0%,IF(AND(LT$16&gt;=$F59,LT$16&lt;$F59+($G59*$I59)),"➤",""),"")</f>
        <v/>
      </c>
      <c r="LU59" s="76" t="str">
        <f aca="false">IF($I59&gt;0%,IF(AND(LU$16&gt;=$F59,LU$16&lt;$F59+($G59*$I59)),"➤",""),"")</f>
        <v/>
      </c>
      <c r="LV59" s="76" t="str">
        <f aca="false">IF($I59&gt;0%,IF(AND(LV$16&gt;=$F59,LV$16&lt;$F59+($G59*$I59)),"➤",""),"")</f>
        <v/>
      </c>
      <c r="LW59" s="76" t="str">
        <f aca="false">IF($I59&gt;0%,IF(AND(LW$16&gt;=$F59,LW$16&lt;$F59+($G59*$I59)),"➤",""),"")</f>
        <v/>
      </c>
      <c r="LX59" s="76" t="str">
        <f aca="false">IF($I59&gt;0%,IF(AND(LX$16&gt;=$F59,LX$16&lt;$F59+($G59*$I59)),"➤",""),"")</f>
        <v/>
      </c>
      <c r="LY59" s="76" t="str">
        <f aca="false">IF($I59&gt;0%,IF(AND(LY$16&gt;=$F59,LY$16&lt;$F59+($G59*$I59)),"➤",""),"")</f>
        <v/>
      </c>
      <c r="LZ59" s="76" t="str">
        <f aca="false">IF($I59&gt;0%,IF(AND(LZ$16&gt;=$F59,LZ$16&lt;$F59+($G59*$I59)),"➤",""),"")</f>
        <v/>
      </c>
      <c r="MA59" s="76" t="str">
        <f aca="false">IF($I59&gt;0%,IF(AND(MA$16&gt;=$F59,MA$16&lt;$F59+($G59*$I59)),"➤",""),"")</f>
        <v/>
      </c>
      <c r="MB59" s="76" t="str">
        <f aca="false">IF($I59&gt;0%,IF(AND(MB$16&gt;=$F59,MB$16&lt;$F59+($G59*$I59)),"➤",""),"")</f>
        <v/>
      </c>
      <c r="MC59" s="76" t="str">
        <f aca="false">IF($I59&gt;0%,IF(AND(MC$16&gt;=$F59,MC$16&lt;$F59+($G59*$I59)),"➤",""),"")</f>
        <v/>
      </c>
      <c r="MD59" s="76" t="str">
        <f aca="false">IF($I59&gt;0%,IF(AND(MD$16&gt;=$F59,MD$16&lt;$F59+($G59*$I59)),"➤",""),"")</f>
        <v/>
      </c>
      <c r="ME59" s="76" t="str">
        <f aca="false">IF($I59&gt;0%,IF(AND(ME$16&gt;=$F59,ME$16&lt;$F59+($G59*$I59)),"➤",""),"")</f>
        <v/>
      </c>
      <c r="MF59" s="76" t="str">
        <f aca="false">IF($I59&gt;0%,IF(AND(MF$16&gt;=$F59,MF$16&lt;$F59+($G59*$I59)),"➤",""),"")</f>
        <v/>
      </c>
      <c r="MG59" s="76" t="str">
        <f aca="false">IF($I59&gt;0%,IF(AND(MG$16&gt;=$F59,MG$16&lt;$F59+($G59*$I59)),"➤",""),"")</f>
        <v/>
      </c>
      <c r="MH59" s="76" t="str">
        <f aca="false">IF($I59&gt;0%,IF(AND(MH$16&gt;=$F59,MH$16&lt;$F59+($G59*$I59)),"➤",""),"")</f>
        <v/>
      </c>
      <c r="MI59" s="76" t="str">
        <f aca="false">IF($I59&gt;0%,IF(AND(MI$16&gt;=$F59,MI$16&lt;$F59+($G59*$I59)),"➤",""),"")</f>
        <v/>
      </c>
      <c r="MJ59" s="76" t="str">
        <f aca="false">IF($I59&gt;0%,IF(AND(MJ$16&gt;=$F59,MJ$16&lt;$F59+($G59*$I59)),"➤",""),"")</f>
        <v/>
      </c>
      <c r="MK59" s="76" t="str">
        <f aca="false">IF($I59&gt;0%,IF(AND(MK$16&gt;=$F59,MK$16&lt;$F59+($G59*$I59)),"➤",""),"")</f>
        <v/>
      </c>
      <c r="ML59" s="76" t="str">
        <f aca="false">IF($I59&gt;0%,IF(AND(ML$16&gt;=$F59,ML$16&lt;$F59+($G59*$I59)),"➤",""),"")</f>
        <v/>
      </c>
      <c r="MM59" s="76" t="str">
        <f aca="false">IF($I59&gt;0%,IF(AND(MM$16&gt;=$F59,MM$16&lt;$F59+($G59*$I59)),"➤",""),"")</f>
        <v/>
      </c>
      <c r="MN59" s="76" t="str">
        <f aca="false">IF($I59&gt;0%,IF(AND(MN$16&gt;=$F59,MN$16&lt;$F59+($G59*$I59)),"➤",""),"")</f>
        <v/>
      </c>
      <c r="MO59" s="76" t="str">
        <f aca="false">IF($I59&gt;0%,IF(AND(MO$16&gt;=$F59,MO$16&lt;$F59+($G59*$I59)),"➤",""),"")</f>
        <v/>
      </c>
      <c r="MP59" s="76" t="str">
        <f aca="false">IF($I59&gt;0%,IF(AND(MP$16&gt;=$F59,MP$16&lt;$F59+($G59*$I59)),"➤",""),"")</f>
        <v/>
      </c>
      <c r="MQ59" s="76" t="str">
        <f aca="false">IF($I59&gt;0%,IF(AND(MQ$16&gt;=$F59,MQ$16&lt;$F59+($G59*$I59)),"➤",""),"")</f>
        <v/>
      </c>
      <c r="MR59" s="76" t="str">
        <f aca="false">IF($I59&gt;0%,IF(AND(MR$16&gt;=$F59,MR$16&lt;$F59+($G59*$I59)),"➤",""),"")</f>
        <v/>
      </c>
      <c r="MS59" s="76" t="str">
        <f aca="false">IF($I59&gt;0%,IF(AND(MS$16&gt;=$F59,MS$16&lt;$F59+($G59*$I59)),"➤",""),"")</f>
        <v/>
      </c>
      <c r="MT59" s="76" t="str">
        <f aca="false">IF($I59&gt;0%,IF(AND(MT$16&gt;=$F59,MT$16&lt;$F59+($G59*$I59)),"➤",""),"")</f>
        <v/>
      </c>
      <c r="MU59" s="76" t="str">
        <f aca="false">IF($I59&gt;0%,IF(AND(MU$16&gt;=$F59,MU$16&lt;$F59+($G59*$I59)),"➤",""),"")</f>
        <v/>
      </c>
      <c r="MV59" s="76" t="str">
        <f aca="false">IF($I59&gt;0%,IF(AND(MV$16&gt;=$F59,MV$16&lt;$F59+($G59*$I59)),"➤",""),"")</f>
        <v/>
      </c>
      <c r="MW59" s="76" t="str">
        <f aca="false">IF($I59&gt;0%,IF(AND(MW$16&gt;=$F59,MW$16&lt;$F59+($G59*$I59)),"➤",""),"")</f>
        <v/>
      </c>
      <c r="MX59" s="76" t="str">
        <f aca="false">IF($I59&gt;0%,IF(AND(MX$16&gt;=$F59,MX$16&lt;$F59+($G59*$I59)),"➤",""),"")</f>
        <v/>
      </c>
      <c r="MY59" s="76" t="str">
        <f aca="false">IF($I59&gt;0%,IF(AND(MY$16&gt;=$F59,MY$16&lt;$F59+($G59*$I59)),"➤",""),"")</f>
        <v/>
      </c>
      <c r="MZ59" s="76" t="str">
        <f aca="false">IF($I59&gt;0%,IF(AND(MZ$16&gt;=$F59,MZ$16&lt;$F59+($G59*$I59)),"➤",""),"")</f>
        <v/>
      </c>
      <c r="NA59" s="76" t="str">
        <f aca="false">IF($I59&gt;0%,IF(AND(NA$16&gt;=$F59,NA$16&lt;$F59+($G59*$I59)),"➤",""),"")</f>
        <v/>
      </c>
      <c r="NB59" s="76" t="str">
        <f aca="false">IF($I59&gt;0%,IF(AND(NB$16&gt;=$F59,NB$16&lt;$F59+($G59*$I59)),"➤",""),"")</f>
        <v/>
      </c>
      <c r="NC59" s="76" t="str">
        <f aca="false">IF($I59&gt;0%,IF(AND(NC$16&gt;=$F59,NC$16&lt;$F59+($G59*$I59)),"➤",""),"")</f>
        <v/>
      </c>
      <c r="ND59" s="76" t="str">
        <f aca="false">IF($I59&gt;0%,IF(AND(ND$16&gt;=$F59,ND$16&lt;$F59+($G59*$I59)),"➤",""),"")</f>
        <v/>
      </c>
      <c r="NE59" s="76" t="str">
        <f aca="false">IF($I59&gt;0%,IF(AND(NE$16&gt;=$F59,NE$16&lt;$F59+($G59*$I59)),"➤",""),"")</f>
        <v/>
      </c>
      <c r="NF59" s="76" t="str">
        <f aca="false">IF($I59&gt;0%,IF(AND(NF$16&gt;=$F59,NF$16&lt;$F59+($G59*$I59)),"➤",""),"")</f>
        <v/>
      </c>
      <c r="NG59" s="76" t="str">
        <f aca="false">IF($I59&gt;0%,IF(AND(NG$16&gt;=$F59,NG$16&lt;$F59+($G59*$I59)),"➤",""),"")</f>
        <v/>
      </c>
      <c r="NH59" s="76" t="str">
        <f aca="false">IF($I59&gt;0%,IF(AND(NH$16&gt;=$F59,NH$16&lt;$F59+($G59*$I59)),"➤",""),"")</f>
        <v/>
      </c>
      <c r="NI59" s="76" t="str">
        <f aca="false">IF($I59&gt;0%,IF(AND(NI$16&gt;=$F59,NI$16&lt;$F59+($G59*$I59)),"➤",""),"")</f>
        <v/>
      </c>
      <c r="NJ59" s="76" t="str">
        <f aca="false">IF($I59&gt;0%,IF(AND(NJ$16&gt;=$F59,NJ$16&lt;$F59+($G59*$I59)),"➤",""),"")</f>
        <v/>
      </c>
      <c r="NK59" s="76" t="str">
        <f aca="false">IF($I59&gt;0%,IF(AND(NK$16&gt;=$F59,NK$16&lt;$F59+($G59*$I59)),"➤",""),"")</f>
        <v/>
      </c>
      <c r="NL59" s="76" t="str">
        <f aca="false">IF($I59&gt;0%,IF(AND(NL$16&gt;=$F59,NL$16&lt;$F59+($G59*$I59)),"➤",""),"")</f>
        <v/>
      </c>
      <c r="NM59" s="76" t="str">
        <f aca="false">IF($I59&gt;0%,IF(AND(NM$16&gt;=$F59,NM$16&lt;$F59+($G59*$I59)),"➤",""),"")</f>
        <v/>
      </c>
      <c r="NN59" s="76" t="str">
        <f aca="false">IF($I59&gt;0%,IF(AND(NN$16&gt;=$F59,NN$16&lt;$F59+($G59*$I59)),"➤",""),"")</f>
        <v/>
      </c>
      <c r="NO59" s="76" t="str">
        <f aca="false">IF($I59&gt;0%,IF(AND(NO$16&gt;=$F59,NO$16&lt;$F59+($G59*$I59)),"➤",""),"")</f>
        <v/>
      </c>
      <c r="NP59" s="76" t="str">
        <f aca="false">IF($I59&gt;0%,IF(AND(NP$16&gt;=$F59,NP$16&lt;$F59+($G59*$I59)),"➤",""),"")</f>
        <v/>
      </c>
      <c r="NQ59" s="76" t="str">
        <f aca="false">IF($I59&gt;0%,IF(AND(NQ$16&gt;=$F59,NQ$16&lt;$F59+($G59*$I59)),"➤",""),"")</f>
        <v/>
      </c>
      <c r="NR59" s="76" t="str">
        <f aca="false">IF($I59&gt;0%,IF(AND(NR$16&gt;=$F59,NR$16&lt;$F59+($G59*$I59)),"➤",""),"")</f>
        <v/>
      </c>
      <c r="NS59" s="76" t="str">
        <f aca="false">IF($I59&gt;0%,IF(AND(NS$16&gt;=$F59,NS$16&lt;$F59+($G59*$I59)),"➤",""),"")</f>
        <v/>
      </c>
      <c r="NT59" s="76" t="str">
        <f aca="false">IF($I59&gt;0%,IF(AND(NT$16&gt;=$F59,NT$16&lt;$F59+($G59*$I59)),"➤",""),"")</f>
        <v/>
      </c>
      <c r="NU59" s="76" t="str">
        <f aca="false">IF($I59&gt;0%,IF(AND(NU$16&gt;=$F59,NU$16&lt;$F59+($G59*$I59)),"➤",""),"")</f>
        <v/>
      </c>
      <c r="NV59" s="76" t="str">
        <f aca="false">IF($I59&gt;0%,IF(AND(NV$16&gt;=$F59,NV$16&lt;$F59+($G59*$I59)),"➤",""),"")</f>
        <v/>
      </c>
      <c r="NW59" s="76" t="str">
        <f aca="false">IF($I59&gt;0%,IF(AND(NW$16&gt;=$F59,NW$16&lt;$F59+($G59*$I59)),"➤",""),"")</f>
        <v/>
      </c>
      <c r="NX59" s="76" t="str">
        <f aca="false">IF($I59&gt;0%,IF(AND(NX$16&gt;=$F59,NX$16&lt;$F59+($G59*$I59)),"➤",""),"")</f>
        <v/>
      </c>
      <c r="NY59" s="76" t="str">
        <f aca="false">IF($I59&gt;0%,IF(AND(NY$16&gt;=$F59,NY$16&lt;$F59+($G59*$I59)),"➤",""),"")</f>
        <v/>
      </c>
      <c r="NZ59" s="76" t="str">
        <f aca="false">IF($I59&gt;0%,IF(AND(NZ$16&gt;=$F59,NZ$16&lt;$F59+($G59*$I59)),"➤",""),"")</f>
        <v/>
      </c>
      <c r="OA59" s="76" t="str">
        <f aca="false">IF($I59&gt;0%,IF(AND(OA$16&gt;=$F59,OA$16&lt;$F59+($G59*$I59)),"➤",""),"")</f>
        <v/>
      </c>
      <c r="OB59" s="76" t="str">
        <f aca="false">IF($I59&gt;0%,IF(AND(OB$16&gt;=$F59,OB$16&lt;$F59+($G59*$I59)),"➤",""),"")</f>
        <v/>
      </c>
      <c r="OC59" s="76" t="str">
        <f aca="false">IF($I59&gt;0%,IF(AND(OC$16&gt;=$F59,OC$16&lt;$F59+($G59*$I59)),"➤",""),"")</f>
        <v/>
      </c>
      <c r="OD59" s="76" t="str">
        <f aca="false">IF($I59&gt;0%,IF(AND(OD$16&gt;=$F59,OD$16&lt;$F59+($G59*$I59)),"➤",""),"")</f>
        <v/>
      </c>
      <c r="OE59" s="76" t="str">
        <f aca="false">IF($I59&gt;0%,IF(AND(OE$16&gt;=$F59,OE$16&lt;$F59+($G59*$I59)),"➤",""),"")</f>
        <v/>
      </c>
      <c r="OF59" s="76" t="str">
        <f aca="false">IF($I59&gt;0%,IF(AND(OF$16&gt;=$F59,OF$16&lt;$F59+($G59*$I59)),"➤",""),"")</f>
        <v/>
      </c>
      <c r="OG59" s="76" t="str">
        <f aca="false">IF($I59&gt;0%,IF(AND(OG$16&gt;=$F59,OG$16&lt;$F59+($G59*$I59)),"➤",""),"")</f>
        <v/>
      </c>
      <c r="OH59" s="76" t="str">
        <f aca="false">IF($I59&gt;0%,IF(AND(OH$16&gt;=$F59,OH$16&lt;$F59+($G59*$I59)),"➤",""),"")</f>
        <v/>
      </c>
      <c r="OI59" s="76" t="str">
        <f aca="false">IF($I59&gt;0%,IF(AND(OI$16&gt;=$F59,OI$16&lt;$F59+($G59*$I59)),"➤",""),"")</f>
        <v/>
      </c>
      <c r="OJ59" s="76" t="str">
        <f aca="false">IF($I59&gt;0%,IF(AND(OJ$16&gt;=$F59,OJ$16&lt;$F59+($G59*$I59)),"➤",""),"")</f>
        <v/>
      </c>
      <c r="OK59" s="76" t="str">
        <f aca="false">IF($I59&gt;0%,IF(AND(OK$16&gt;=$F59,OK$16&lt;$F59+($G59*$I59)),"➤",""),"")</f>
        <v/>
      </c>
      <c r="OL59" s="76" t="str">
        <f aca="false">IF($I59&gt;0%,IF(AND(OL$16&gt;=$F59,OL$16&lt;$F59+($G59*$I59)),"➤",""),"")</f>
        <v/>
      </c>
      <c r="OM59" s="76" t="str">
        <f aca="false">IF($I59&gt;0%,IF(AND(OM$16&gt;=$F59,OM$16&lt;$F59+($G59*$I59)),"➤",""),"")</f>
        <v/>
      </c>
      <c r="ON59" s="76" t="str">
        <f aca="false">IF($I59&gt;0%,IF(AND(ON$16&gt;=$F59,ON$16&lt;$F59+($G59*$I59)),"➤",""),"")</f>
        <v/>
      </c>
      <c r="OO59" s="76" t="str">
        <f aca="false">IF($I59&gt;0%,IF(AND(OO$16&gt;=$F59,OO$16&lt;$F59+($G59*$I59)),"➤",""),"")</f>
        <v/>
      </c>
      <c r="OP59" s="76" t="str">
        <f aca="false">IF($I59&gt;0%,IF(AND(OP$16&gt;=$F59,OP$16&lt;$F59+($G59*$I59)),"➤",""),"")</f>
        <v/>
      </c>
      <c r="OQ59" s="76" t="str">
        <f aca="false">IF($I59&gt;0%,IF(AND(OQ$16&gt;=$F59,OQ$16&lt;$F59+($G59*$I59)),"➤",""),"")</f>
        <v/>
      </c>
      <c r="OR59" s="76" t="str">
        <f aca="false">IF($I59&gt;0%,IF(AND(OR$16&gt;=$F59,OR$16&lt;$F59+($G59*$I59)),"➤",""),"")</f>
        <v/>
      </c>
      <c r="OS59" s="76" t="str">
        <f aca="false">IF($I59&gt;0%,IF(AND(OS$16&gt;=$F59,OS$16&lt;$F59+($G59*$I59)),"➤",""),"")</f>
        <v/>
      </c>
      <c r="OT59" s="76" t="str">
        <f aca="false">IF($I59&gt;0%,IF(AND(OT$16&gt;=$F59,OT$16&lt;$F59+($G59*$I59)),"➤",""),"")</f>
        <v/>
      </c>
      <c r="OU59" s="76" t="str">
        <f aca="false">IF($I59&gt;0%,IF(AND(OU$16&gt;=$F59,OU$16&lt;$F59+($G59*$I59)),"➤",""),"")</f>
        <v/>
      </c>
      <c r="OV59" s="76" t="str">
        <f aca="false">IF($I59&gt;0%,IF(AND(OV$16&gt;=$F59,OV$16&lt;$F59+($G59*$I59)),"➤",""),"")</f>
        <v/>
      </c>
      <c r="OW59" s="76" t="str">
        <f aca="false">IF($I59&gt;0%,IF(AND(OW$16&gt;=$F59,OW$16&lt;$F59+($G59*$I59)),"➤",""),"")</f>
        <v/>
      </c>
      <c r="OX59" s="76" t="str">
        <f aca="false">IF($I59&gt;0%,IF(AND(OX$16&gt;=$F59,OX$16&lt;$F59+($G59*$I59)),"➤",""),"")</f>
        <v/>
      </c>
      <c r="OY59" s="76" t="str">
        <f aca="false">IF($I59&gt;0%,IF(AND(OY$16&gt;=$F59,OY$16&lt;$F59+($G59*$I59)),"➤",""),"")</f>
        <v/>
      </c>
      <c r="OZ59" s="76" t="str">
        <f aca="false">IF($I59&gt;0%,IF(AND(OZ$16&gt;=$F59,OZ$16&lt;$F59+($G59*$I59)),"➤",""),"")</f>
        <v/>
      </c>
      <c r="PA59" s="76" t="str">
        <f aca="false">IF($I59&gt;0%,IF(AND(PA$16&gt;=$F59,PA$16&lt;$F59+($G59*$I59)),"➤",""),"")</f>
        <v/>
      </c>
      <c r="PB59" s="76" t="str">
        <f aca="false">IF($I59&gt;0%,IF(AND(PB$16&gt;=$F59,PB$16&lt;$F59+($G59*$I59)),"➤",""),"")</f>
        <v/>
      </c>
      <c r="PC59" s="76" t="str">
        <f aca="false">IF($I59&gt;0%,IF(AND(PC$16&gt;=$F59,PC$16&lt;$F59+($G59*$I59)),"➤",""),"")</f>
        <v/>
      </c>
      <c r="PD59" s="76" t="str">
        <f aca="false">IF($I59&gt;0%,IF(AND(PD$16&gt;=$F59,PD$16&lt;$F59+($G59*$I59)),"➤",""),"")</f>
        <v/>
      </c>
      <c r="PE59" s="76" t="str">
        <f aca="false">IF($I59&gt;0%,IF(AND(PE$16&gt;=$F59,PE$16&lt;$F59+($G59*$I59)),"➤",""),"")</f>
        <v/>
      </c>
      <c r="PF59" s="76" t="str">
        <f aca="false">IF($I59&gt;0%,IF(AND(PF$16&gt;=$F59,PF$16&lt;$F59+($G59*$I59)),"➤",""),"")</f>
        <v/>
      </c>
      <c r="PG59" s="76" t="str">
        <f aca="false">IF($I59&gt;0%,IF(AND(PG$16&gt;=$F59,PG$16&lt;$F59+($G59*$I59)),"➤",""),"")</f>
        <v/>
      </c>
      <c r="PH59" s="76" t="str">
        <f aca="false">IF($I59&gt;0%,IF(AND(PH$16&gt;=$F59,PH$16&lt;$F59+($G59*$I59)),"➤",""),"")</f>
        <v/>
      </c>
      <c r="PI59" s="76" t="str">
        <f aca="false">IF($I59&gt;0%,IF(AND(PI$16&gt;=$F59,PI$16&lt;$F59+($G59*$I59)),"➤",""),"")</f>
        <v/>
      </c>
      <c r="PJ59" s="76" t="str">
        <f aca="false">IF($I59&gt;0%,IF(AND(PJ$16&gt;=$F59,PJ$16&lt;$F59+($G59*$I59)),"➤",""),"")</f>
        <v/>
      </c>
      <c r="PK59" s="76" t="str">
        <f aca="false">IF($I59&gt;0%,IF(AND(PK$16&gt;=$F59,PK$16&lt;$F59+($G59*$I59)),"➤",""),"")</f>
        <v/>
      </c>
      <c r="PL59" s="76" t="str">
        <f aca="false">IF($I59&gt;0%,IF(AND(PL$16&gt;=$F59,PL$16&lt;$F59+($G59*$I59)),"➤",""),"")</f>
        <v/>
      </c>
      <c r="PM59" s="76" t="str">
        <f aca="false">IF($I59&gt;0%,IF(AND(PM$16&gt;=$F59,PM$16&lt;$F59+($G59*$I59)),"➤",""),"")</f>
        <v/>
      </c>
      <c r="PN59" s="76" t="str">
        <f aca="false">IF($I59&gt;0%,IF(AND(PN$16&gt;=$F59,PN$16&lt;$F59+($G59*$I59)),"➤",""),"")</f>
        <v/>
      </c>
      <c r="PO59" s="76" t="str">
        <f aca="false">IF($I59&gt;0%,IF(AND(PO$16&gt;=$F59,PO$16&lt;$F59+($G59*$I59)),"➤",""),"")</f>
        <v/>
      </c>
      <c r="PP59" s="76" t="str">
        <f aca="false">IF($I59&gt;0%,IF(AND(PP$16&gt;=$F59,PP$16&lt;$F59+($G59*$I59)),"➤",""),"")</f>
        <v/>
      </c>
      <c r="PQ59" s="76" t="str">
        <f aca="false">IF($I59&gt;0%,IF(AND(PQ$16&gt;=$F59,PQ$16&lt;$F59+($G59*$I59)),"➤",""),"")</f>
        <v/>
      </c>
      <c r="PR59" s="76" t="str">
        <f aca="false">IF($I59&gt;0%,IF(AND(PR$16&gt;=$F59,PR$16&lt;$F59+($G59*$I59)),"➤",""),"")</f>
        <v/>
      </c>
      <c r="PS59" s="76" t="str">
        <f aca="false">IF($I59&gt;0%,IF(AND(PS$16&gt;=$F59,PS$16&lt;$F59+($G59*$I59)),"➤",""),"")</f>
        <v/>
      </c>
      <c r="PT59" s="76" t="str">
        <f aca="false">IF($I59&gt;0%,IF(AND(PT$16&gt;=$F59,PT$16&lt;$F59+($G59*$I59)),"➤",""),"")</f>
        <v/>
      </c>
      <c r="PU59" s="76" t="str">
        <f aca="false">IF($I59&gt;0%,IF(AND(PU$16&gt;=$F59,PU$16&lt;$F59+($G59*$I59)),"➤",""),"")</f>
        <v/>
      </c>
      <c r="PV59" s="76" t="str">
        <f aca="false">IF($I59&gt;0%,IF(AND(PV$16&gt;=$F59,PV$16&lt;$F59+($G59*$I59)),"➤",""),"")</f>
        <v/>
      </c>
      <c r="PW59" s="76" t="str">
        <f aca="false">IF($I59&gt;0%,IF(AND(PW$16&gt;=$F59,PW$16&lt;$F59+($G59*$I59)),"➤",""),"")</f>
        <v/>
      </c>
      <c r="PX59" s="76" t="str">
        <f aca="false">IF($I59&gt;0%,IF(AND(PX$16&gt;=$F59,PX$16&lt;$F59+($G59*$I59)),"➤",""),"")</f>
        <v/>
      </c>
      <c r="PY59" s="76" t="str">
        <f aca="false">IF($I59&gt;0%,IF(AND(PY$16&gt;=$F59,PY$16&lt;$F59+($G59*$I59)),"➤",""),"")</f>
        <v/>
      </c>
      <c r="PZ59" s="76" t="str">
        <f aca="false">IF($I59&gt;0%,IF(AND(PZ$16&gt;=$F59,PZ$16&lt;$F59+($G59*$I59)),"➤",""),"")</f>
        <v/>
      </c>
      <c r="QA59" s="76" t="str">
        <f aca="false">IF($I59&gt;0%,IF(AND(QA$16&gt;=$F59,QA$16&lt;$F59+($G59*$I59)),"➤",""),"")</f>
        <v/>
      </c>
      <c r="QB59" s="76" t="str">
        <f aca="false">IF($I59&gt;0%,IF(AND(QB$16&gt;=$F59,QB$16&lt;$F59+($G59*$I59)),"➤",""),"")</f>
        <v/>
      </c>
      <c r="QC59" s="76" t="str">
        <f aca="false">IF($I59&gt;0%,IF(AND(QC$16&gt;=$F59,QC$16&lt;$F59+($G59*$I59)),"➤",""),"")</f>
        <v/>
      </c>
      <c r="QD59" s="76" t="str">
        <f aca="false">IF($I59&gt;0%,IF(AND(QD$16&gt;=$F59,QD$16&lt;$F59+($G59*$I59)),"➤",""),"")</f>
        <v/>
      </c>
      <c r="QE59" s="76" t="str">
        <f aca="false">IF($I59&gt;0%,IF(AND(QE$16&gt;=$F59,QE$16&lt;$F59+($G59*$I59)),"➤",""),"")</f>
        <v/>
      </c>
      <c r="QF59" s="76" t="str">
        <f aca="false">IF($I59&gt;0%,IF(AND(QF$16&gt;=$F59,QF$16&lt;$F59+($G59*$I59)),"➤",""),"")</f>
        <v/>
      </c>
      <c r="QG59" s="76" t="str">
        <f aca="false">IF($I59&gt;0%,IF(AND(QG$16&gt;=$F59,QG$16&lt;$F59+($G59*$I59)),"➤",""),"")</f>
        <v/>
      </c>
      <c r="QH59" s="76" t="str">
        <f aca="false">IF($I59&gt;0%,IF(AND(QH$16&gt;=$F59,QH$16&lt;$F59+($G59*$I59)),"➤",""),"")</f>
        <v/>
      </c>
      <c r="QI59" s="76" t="str">
        <f aca="false">IF($I59&gt;0%,IF(AND(QI$16&gt;=$F59,QI$16&lt;$F59+($G59*$I59)),"➤",""),"")</f>
        <v/>
      </c>
      <c r="QJ59" s="76" t="str">
        <f aca="false">IF($I59&gt;0%,IF(AND(QJ$16&gt;=$F59,QJ$16&lt;$F59+($G59*$I59)),"➤",""),"")</f>
        <v/>
      </c>
      <c r="QK59" s="76" t="str">
        <f aca="false">IF($I59&gt;0%,IF(AND(QK$16&gt;=$F59,QK$16&lt;$F59+($G59*$I59)),"➤",""),"")</f>
        <v/>
      </c>
      <c r="QL59" s="76" t="str">
        <f aca="false">IF($I59&gt;0%,IF(AND(QL$16&gt;=$F59,QL$16&lt;$F59+($G59*$I59)),"➤",""),"")</f>
        <v/>
      </c>
      <c r="QM59" s="76" t="str">
        <f aca="false">IF($I59&gt;0%,IF(AND(QM$16&gt;=$F59,QM$16&lt;$F59+($G59*$I59)),"➤",""),"")</f>
        <v/>
      </c>
      <c r="QN59" s="76" t="str">
        <f aca="false">IF($I59&gt;0%,IF(AND(QN$16&gt;=$F59,QN$16&lt;$F59+($G59*$I59)),"➤",""),"")</f>
        <v/>
      </c>
      <c r="QO59" s="76" t="str">
        <f aca="false">IF($I59&gt;0%,IF(AND(QO$16&gt;=$F59,QO$16&lt;$F59+($G59*$I59)),"➤",""),"")</f>
        <v/>
      </c>
      <c r="QP59" s="76" t="str">
        <f aca="false">IF($I59&gt;0%,IF(AND(QP$16&gt;=$F59,QP$16&lt;$F59+($G59*$I59)),"➤",""),"")</f>
        <v/>
      </c>
      <c r="QQ59" s="76" t="str">
        <f aca="false">IF($I59&gt;0%,IF(AND(QQ$16&gt;=$F59,QQ$16&lt;$F59+($G59*$I59)),"➤",""),"")</f>
        <v/>
      </c>
      <c r="QR59" s="76" t="str">
        <f aca="false">IF($I59&gt;0%,IF(AND(QR$16&gt;=$F59,QR$16&lt;$F59+($G59*$I59)),"➤",""),"")</f>
        <v/>
      </c>
      <c r="QS59" s="76" t="str">
        <f aca="false">IF($I59&gt;0%,IF(AND(QS$16&gt;=$F59,QS$16&lt;$F59+($G59*$I59)),"➤",""),"")</f>
        <v/>
      </c>
      <c r="QT59" s="76" t="str">
        <f aca="false">IF($I59&gt;0%,IF(AND(QT$16&gt;=$F59,QT$16&lt;$F59+($G59*$I59)),"➤",""),"")</f>
        <v/>
      </c>
      <c r="QU59" s="76" t="str">
        <f aca="false">IF($I59&gt;0%,IF(AND(QU$16&gt;=$F59,QU$16&lt;$F59+($G59*$I59)),"➤",""),"")</f>
        <v/>
      </c>
      <c r="QV59" s="76" t="str">
        <f aca="false">IF($I59&gt;0%,IF(AND(QV$16&gt;=$F59,QV$16&lt;$F59+($G59*$I59)),"➤",""),"")</f>
        <v/>
      </c>
      <c r="QW59" s="76" t="str">
        <f aca="false">IF($I59&gt;0%,IF(AND(QW$16&gt;=$F59,QW$16&lt;$F59+($G59*$I59)),"➤",""),"")</f>
        <v/>
      </c>
      <c r="QX59" s="76" t="str">
        <f aca="false">IF($I59&gt;0%,IF(AND(QX$16&gt;=$F59,QX$16&lt;$F59+($G59*$I59)),"➤",""),"")</f>
        <v/>
      </c>
      <c r="QY59" s="76" t="str">
        <f aca="false">IF($I59&gt;0%,IF(AND(QY$16&gt;=$F59,QY$16&lt;$F59+($G59*$I59)),"➤",""),"")</f>
        <v/>
      </c>
      <c r="QZ59" s="76" t="str">
        <f aca="false">IF($I59&gt;0%,IF(AND(QZ$16&gt;=$F59,QZ$16&lt;$F59+($G59*$I59)),"➤",""),"")</f>
        <v/>
      </c>
      <c r="RA59" s="76" t="str">
        <f aca="false">IF($I59&gt;0%,IF(AND(RA$16&gt;=$F59,RA$16&lt;$F59+($G59*$I59)),"➤",""),"")</f>
        <v/>
      </c>
      <c r="RB59" s="76" t="str">
        <f aca="false">IF($I59&gt;0%,IF(AND(RB$16&gt;=$F59,RB$16&lt;$F59+($G59*$I59)),"➤",""),"")</f>
        <v/>
      </c>
      <c r="RC59" s="76" t="str">
        <f aca="false">IF($I59&gt;0%,IF(AND(RC$16&gt;=$F59,RC$16&lt;$F59+($G59*$I59)),"➤",""),"")</f>
        <v/>
      </c>
      <c r="RD59" s="76" t="str">
        <f aca="false">IF($I59&gt;0%,IF(AND(RD$16&gt;=$F59,RD$16&lt;$F59+($G59*$I59)),"➤",""),"")</f>
        <v/>
      </c>
      <c r="RE59" s="76" t="str">
        <f aca="false">IF($I59&gt;0%,IF(AND(RE$16&gt;=$F59,RE$16&lt;$F59+($G59*$I59)),"➤",""),"")</f>
        <v/>
      </c>
      <c r="RF59" s="76" t="str">
        <f aca="false">IF($I59&gt;0%,IF(AND(RF$16&gt;=$F59,RF$16&lt;$F59+($G59*$I59)),"➤",""),"")</f>
        <v/>
      </c>
      <c r="RG59" s="76" t="str">
        <f aca="false">IF($I59&gt;0%,IF(AND(RG$16&gt;=$F59,RG$16&lt;$F59+($G59*$I59)),"➤",""),"")</f>
        <v/>
      </c>
      <c r="RH59" s="76" t="str">
        <f aca="false">IF($I59&gt;0%,IF(AND(RH$16&gt;=$F59,RH$16&lt;$F59+($G59*$I59)),"➤",""),"")</f>
        <v/>
      </c>
      <c r="RI59" s="76" t="str">
        <f aca="false">IF($I59&gt;0%,IF(AND(RI$16&gt;=$F59,RI$16&lt;$F59+($G59*$I59)),"➤",""),"")</f>
        <v/>
      </c>
      <c r="RJ59" s="76" t="str">
        <f aca="false">IF($I59&gt;0%,IF(AND(RJ$16&gt;=$F59,RJ$16&lt;$F59+($G59*$I59)),"➤",""),"")</f>
        <v/>
      </c>
      <c r="RK59" s="76" t="str">
        <f aca="false">IF($I59&gt;0%,IF(AND(RK$16&gt;=$F59,RK$16&lt;$F59+($G59*$I59)),"➤",""),"")</f>
        <v/>
      </c>
      <c r="RL59" s="76" t="str">
        <f aca="false">IF($I59&gt;0%,IF(AND(RL$16&gt;=$F59,RL$16&lt;$F59+($G59*$I59)),"➤",""),"")</f>
        <v/>
      </c>
      <c r="RM59" s="76" t="str">
        <f aca="false">IF($I59&gt;0%,IF(AND(RM$16&gt;=$F59,RM$16&lt;$F59+($G59*$I59)),"➤",""),"")</f>
        <v/>
      </c>
      <c r="RN59" s="76" t="str">
        <f aca="false">IF($I59&gt;0%,IF(AND(RN$16&gt;=$F59,RN$16&lt;$F59+($G59*$I59)),"➤",""),"")</f>
        <v/>
      </c>
      <c r="RO59" s="76" t="str">
        <f aca="false">IF($I59&gt;0%,IF(AND(RO$16&gt;=$F59,RO$16&lt;$F59+($G59*$I59)),"➤",""),"")</f>
        <v/>
      </c>
      <c r="RP59" s="76" t="str">
        <f aca="false">IF($I59&gt;0%,IF(AND(RP$16&gt;=$F59,RP$16&lt;$F59+($G59*$I59)),"➤",""),"")</f>
        <v/>
      </c>
      <c r="RQ59" s="76" t="str">
        <f aca="false">IF($I59&gt;0%,IF(AND(RQ$16&gt;=$F59,RQ$16&lt;$F59+($G59*$I59)),"➤",""),"")</f>
        <v/>
      </c>
      <c r="RR59" s="76" t="str">
        <f aca="false">IF($I59&gt;0%,IF(AND(RR$16&gt;=$F59,RR$16&lt;$F59+($G59*$I59)),"➤",""),"")</f>
        <v/>
      </c>
      <c r="RS59" s="76" t="str">
        <f aca="false">IF($I59&gt;0%,IF(AND(RS$16&gt;=$F59,RS$16&lt;$F59+($G59*$I59)),"➤",""),"")</f>
        <v/>
      </c>
      <c r="RT59" s="76" t="str">
        <f aca="false">IF($I59&gt;0%,IF(AND(RT$16&gt;=$F59,RT$16&lt;$F59+($G59*$I59)),"➤",""),"")</f>
        <v/>
      </c>
      <c r="RU59" s="76" t="str">
        <f aca="false">IF($I59&gt;0%,IF(AND(RU$16&gt;=$F59,RU$16&lt;$F59+($G59*$I59)),"➤",""),"")</f>
        <v/>
      </c>
      <c r="RV59" s="76" t="str">
        <f aca="false">IF($I59&gt;0%,IF(AND(RV$16&gt;=$F59,RV$16&lt;$F59+($G59*$I59)),"➤",""),"")</f>
        <v/>
      </c>
      <c r="RW59" s="76" t="str">
        <f aca="false">IF($I59&gt;0%,IF(AND(RW$16&gt;=$F59,RW$16&lt;$F59+($G59*$I59)),"➤",""),"")</f>
        <v/>
      </c>
      <c r="RX59" s="76" t="str">
        <f aca="false">IF($I59&gt;0%,IF(AND(RX$16&gt;=$F59,RX$16&lt;$F59+($G59*$I59)),"➤",""),"")</f>
        <v/>
      </c>
      <c r="RY59" s="76" t="str">
        <f aca="false">IF($I59&gt;0%,IF(AND(RY$16&gt;=$F59,RY$16&lt;$F59+($G59*$I59)),"➤",""),"")</f>
        <v/>
      </c>
      <c r="RZ59" s="76" t="str">
        <f aca="false">IF($I59&gt;0%,IF(AND(RZ$16&gt;=$F59,RZ$16&lt;$F59+($G59*$I59)),"➤",""),"")</f>
        <v/>
      </c>
      <c r="SA59" s="76" t="str">
        <f aca="false">IF($I59&gt;0%,IF(AND(SA$16&gt;=$F59,SA$16&lt;$F59+($G59*$I59)),"➤",""),"")</f>
        <v/>
      </c>
      <c r="SB59" s="76" t="str">
        <f aca="false">IF($I59&gt;0%,IF(AND(SB$16&gt;=$F59,SB$16&lt;$F59+($G59*$I59)),"➤",""),"")</f>
        <v/>
      </c>
      <c r="SC59" s="76" t="str">
        <f aca="false">IF($I59&gt;0%,IF(AND(SC$16&gt;=$F59,SC$16&lt;$F59+($G59*$I59)),"➤",""),"")</f>
        <v/>
      </c>
      <c r="SD59" s="76" t="str">
        <f aca="false">IF($I59&gt;0%,IF(AND(SD$16&gt;=$F59,SD$16&lt;$F59+($G59*$I59)),"➤",""),"")</f>
        <v/>
      </c>
      <c r="SE59" s="76" t="str">
        <f aca="false">IF($I59&gt;0%,IF(AND(SE$16&gt;=$F59,SE$16&lt;$F59+($G59*$I59)),"➤",""),"")</f>
        <v/>
      </c>
      <c r="SF59" s="76" t="str">
        <f aca="false">IF($I59&gt;0%,IF(AND(SF$16&gt;=$F59,SF$16&lt;$F59+($G59*$I59)),"➤",""),"")</f>
        <v/>
      </c>
      <c r="SG59" s="76" t="str">
        <f aca="false">IF($I59&gt;0%,IF(AND(SG$16&gt;=$F59,SG$16&lt;$F59+($G59*$I59)),"➤",""),"")</f>
        <v/>
      </c>
      <c r="SH59" s="76" t="str">
        <f aca="false">IF($I59&gt;0%,IF(AND(SH$16&gt;=$F59,SH$16&lt;$F59+($G59*$I59)),"➤",""),"")</f>
        <v/>
      </c>
      <c r="SI59" s="76" t="str">
        <f aca="false">IF($I59&gt;0%,IF(AND(SI$16&gt;=$F59,SI$16&lt;$F59+($G59*$I59)),"➤",""),"")</f>
        <v/>
      </c>
      <c r="SJ59" s="76" t="str">
        <f aca="false">IF($I59&gt;0%,IF(AND(SJ$16&gt;=$F59,SJ$16&lt;$F59+($G59*$I59)),"➤",""),"")</f>
        <v/>
      </c>
      <c r="SK59" s="76" t="str">
        <f aca="false">IF($I59&gt;0%,IF(AND(SK$16&gt;=$F59,SK$16&lt;$F59+($G59*$I59)),"➤",""),"")</f>
        <v/>
      </c>
      <c r="SL59" s="76" t="str">
        <f aca="false">IF($I59&gt;0%,IF(AND(SL$16&gt;=$F59,SL$16&lt;$F59+($G59*$I59)),"➤",""),"")</f>
        <v/>
      </c>
      <c r="SM59" s="76" t="str">
        <f aca="false">IF($I59&gt;0%,IF(AND(SM$16&gt;=$F59,SM$16&lt;$F59+($G59*$I59)),"➤",""),"")</f>
        <v/>
      </c>
      <c r="SN59" s="76" t="str">
        <f aca="false">IF($I59&gt;0%,IF(AND(SN$16&gt;=$F59,SN$16&lt;$F59+($G59*$I59)),"➤",""),"")</f>
        <v/>
      </c>
      <c r="SO59" s="76" t="str">
        <f aca="false">IF($I59&gt;0%,IF(AND(SO$16&gt;=$F59,SO$16&lt;$F59+($G59*$I59)),"➤",""),"")</f>
        <v/>
      </c>
      <c r="SP59" s="76" t="str">
        <f aca="false">IF($I59&gt;0%,IF(AND(SP$16&gt;=$F59,SP$16&lt;$F59+($G59*$I59)),"➤",""),"")</f>
        <v/>
      </c>
      <c r="SQ59" s="76" t="str">
        <f aca="false">IF($I59&gt;0%,IF(AND(SQ$16&gt;=$F59,SQ$16&lt;$F59+($G59*$I59)),"➤",""),"")</f>
        <v/>
      </c>
      <c r="SR59" s="76" t="str">
        <f aca="false">IF($I59&gt;0%,IF(AND(SR$16&gt;=$F59,SR$16&lt;$F59+($G59*$I59)),"➤",""),"")</f>
        <v/>
      </c>
      <c r="SS59" s="76" t="str">
        <f aca="false">IF($I59&gt;0%,IF(AND(SS$16&gt;=$F59,SS$16&lt;$F59+($G59*$I59)),"➤",""),"")</f>
        <v/>
      </c>
      <c r="ST59" s="76" t="str">
        <f aca="false">IF($I59&gt;0%,IF(AND(ST$16&gt;=$F59,ST$16&lt;$F59+($G59*$I59)),"➤",""),"")</f>
        <v/>
      </c>
      <c r="SU59" s="76" t="str">
        <f aca="false">IF($I59&gt;0%,IF(AND(SU$16&gt;=$F59,SU$16&lt;$F59+($G59*$I59)),"➤",""),"")</f>
        <v/>
      </c>
      <c r="SV59" s="76" t="str">
        <f aca="false">IF($I59&gt;0%,IF(AND(SV$16&gt;=$F59,SV$16&lt;$F59+($G59*$I59)),"➤",""),"")</f>
        <v/>
      </c>
      <c r="SW59" s="77" t="str">
        <f aca="false">IF($I59&gt;0%,IF(AND(SW$16&gt;=$F59,SW$16&lt;$F59+($G59*$I59)),"➤",""),"")</f>
        <v/>
      </c>
    </row>
    <row r="60" customFormat="false" ht="14.25" hidden="false" customHeight="false" outlineLevel="1" collapsed="false">
      <c r="C60" s="10"/>
      <c r="D60" s="112"/>
      <c r="E60" s="79"/>
      <c r="F60" s="92" t="n">
        <v>44195</v>
      </c>
      <c r="G60" s="109" t="n">
        <v>10</v>
      </c>
      <c r="H60" s="94" t="n">
        <f aca="false">(F60+G60)-1</f>
        <v>44204</v>
      </c>
      <c r="I60" s="95" t="n">
        <v>0</v>
      </c>
      <c r="J60" s="84"/>
      <c r="K60" s="85"/>
      <c r="L60" s="75" t="str">
        <f aca="false">IF($I60&gt;0%,IF(AND(L$16&gt;=$F60,L$16&lt;$F60+($G60*$I60)),"➤",""),"")</f>
        <v/>
      </c>
      <c r="M60" s="76" t="str">
        <f aca="false">IF($I60&gt;0%,IF(AND(M$16&gt;=$F60,M$16&lt;$F60+($G60*$I60)),"➤",""),"")</f>
        <v/>
      </c>
      <c r="N60" s="76" t="str">
        <f aca="false">IF($I60&gt;0%,IF(AND(N$16&gt;=$F60,N$16&lt;$F60+($G60*$I60)),"➤",""),"")</f>
        <v/>
      </c>
      <c r="O60" s="76" t="str">
        <f aca="false">IF($I60&gt;0%,IF(AND(O$16&gt;=$F60,O$16&lt;$F60+($G60*$I60)),"➤",""),"")</f>
        <v/>
      </c>
      <c r="P60" s="76" t="str">
        <f aca="false">IF($I60&gt;0%,IF(AND(P$16&gt;=$F60,P$16&lt;$F60+($G60*$I60)),"➤",""),"")</f>
        <v/>
      </c>
      <c r="Q60" s="76" t="str">
        <f aca="false">IF($I60&gt;0%,IF(AND(Q$16&gt;=$F60,Q$16&lt;$F60+($G60*$I60)),"➤",""),"")</f>
        <v/>
      </c>
      <c r="R60" s="76" t="str">
        <f aca="false">IF($I60&gt;0%,IF(AND(R$16&gt;=$F60,R$16&lt;$F60+($G60*$I60)),"➤",""),"")</f>
        <v/>
      </c>
      <c r="S60" s="76" t="str">
        <f aca="false">IF($I60&gt;0%,IF(AND(S$16&gt;=$F60,S$16&lt;$F60+($G60*$I60)),"➤",""),"")</f>
        <v/>
      </c>
      <c r="T60" s="76" t="str">
        <f aca="false">IF($I60&gt;0%,IF(AND(T$16&gt;=$F60,T$16&lt;$F60+($G60*$I60)),"➤",""),"")</f>
        <v/>
      </c>
      <c r="U60" s="76" t="str">
        <f aca="false">IF($I60&gt;0%,IF(AND(U$16&gt;=$F60,U$16&lt;$F60+($G60*$I60)),"➤",""),"")</f>
        <v/>
      </c>
      <c r="V60" s="76" t="str">
        <f aca="false">IF($I60&gt;0%,IF(AND(V$16&gt;=$F60,V$16&lt;$F60+($G60*$I60)),"➤",""),"")</f>
        <v/>
      </c>
      <c r="W60" s="76" t="str">
        <f aca="false">IF($I60&gt;0%,IF(AND(W$16&gt;=$F60,W$16&lt;$F60+($G60*$I60)),"➤",""),"")</f>
        <v/>
      </c>
      <c r="X60" s="76" t="str">
        <f aca="false">IF($I60&gt;0%,IF(AND(X$16&gt;=$F60,X$16&lt;$F60+($G60*$I60)),"➤",""),"")</f>
        <v/>
      </c>
      <c r="Y60" s="76" t="str">
        <f aca="false">IF($I60&gt;0%,IF(AND(Y$16&gt;=$F60,Y$16&lt;$F60+($G60*$I60)),"➤",""),"")</f>
        <v/>
      </c>
      <c r="Z60" s="76" t="str">
        <f aca="false">IF($I60&gt;0%,IF(AND(Z$16&gt;=$F60,Z$16&lt;$F60+($G60*$I60)),"➤",""),"")</f>
        <v/>
      </c>
      <c r="AA60" s="76" t="str">
        <f aca="false">IF($I60&gt;0%,IF(AND(AA$16&gt;=$F60,AA$16&lt;$F60+($G60*$I60)),"➤",""),"")</f>
        <v/>
      </c>
      <c r="AB60" s="76" t="str">
        <f aca="false">IF($I60&gt;0%,IF(AND(AB$16&gt;=$F60,AB$16&lt;$F60+($G60*$I60)),"➤",""),"")</f>
        <v/>
      </c>
      <c r="AC60" s="76" t="str">
        <f aca="false">IF($I60&gt;0%,IF(AND(AC$16&gt;=$F60,AC$16&lt;$F60+($G60*$I60)),"➤",""),"")</f>
        <v/>
      </c>
      <c r="AD60" s="76" t="str">
        <f aca="false">IF($I60&gt;0%,IF(AND(AD$16&gt;=$F60,AD$16&lt;$F60+($G60*$I60)),"➤",""),"")</f>
        <v/>
      </c>
      <c r="AE60" s="76" t="str">
        <f aca="false">IF($I60&gt;0%,IF(AND(AE$16&gt;=$F60,AE$16&lt;$F60+($G60*$I60)),"➤",""),"")</f>
        <v/>
      </c>
      <c r="AF60" s="76" t="str">
        <f aca="false">IF($I60&gt;0%,IF(AND(AF$16&gt;=$F60,AF$16&lt;$F60+($G60*$I60)),"➤",""),"")</f>
        <v/>
      </c>
      <c r="AG60" s="76" t="str">
        <f aca="false">IF($I60&gt;0%,IF(AND(AG$16&gt;=$F60,AG$16&lt;$F60+($G60*$I60)),"➤",""),"")</f>
        <v/>
      </c>
      <c r="AH60" s="76" t="str">
        <f aca="false">IF($I60&gt;0%,IF(AND(AH$16&gt;=$F60,AH$16&lt;$F60+($G60*$I60)),"➤",""),"")</f>
        <v/>
      </c>
      <c r="AI60" s="76" t="str">
        <f aca="false">IF($I60&gt;0%,IF(AND(AI$16&gt;=$F60,AI$16&lt;$F60+($G60*$I60)),"➤",""),"")</f>
        <v/>
      </c>
      <c r="AJ60" s="76" t="str">
        <f aca="false">IF($I60&gt;0%,IF(AND(AJ$16&gt;=$F60,AJ$16&lt;$F60+($G60*$I60)),"➤",""),"")</f>
        <v/>
      </c>
      <c r="AK60" s="76" t="str">
        <f aca="false">IF($I60&gt;0%,IF(AND(AK$16&gt;=$F60,AK$16&lt;$F60+($G60*$I60)),"➤",""),"")</f>
        <v/>
      </c>
      <c r="AL60" s="76" t="str">
        <f aca="false">IF($I60&gt;0%,IF(AND(AL$16&gt;=$F60,AL$16&lt;$F60+($G60*$I60)),"➤",""),"")</f>
        <v/>
      </c>
      <c r="AM60" s="76" t="str">
        <f aca="false">IF($I60&gt;0%,IF(AND(AM$16&gt;=$F60,AM$16&lt;$F60+($G60*$I60)),"➤",""),"")</f>
        <v/>
      </c>
      <c r="AN60" s="76" t="str">
        <f aca="false">IF($I60&gt;0%,IF(AND(AN$16&gt;=$F60,AN$16&lt;$F60+($G60*$I60)),"➤",""),"")</f>
        <v/>
      </c>
      <c r="AO60" s="76" t="str">
        <f aca="false">IF($I60&gt;0%,IF(AND(AO$16&gt;=$F60,AO$16&lt;$F60+($G60*$I60)),"➤",""),"")</f>
        <v/>
      </c>
      <c r="AP60" s="76" t="str">
        <f aca="false">IF($I60&gt;0%,IF(AND(AP$16&gt;=$F60,AP$16&lt;$F60+($G60*$I60)),"➤",""),"")</f>
        <v/>
      </c>
      <c r="AQ60" s="76" t="str">
        <f aca="false">IF($I60&gt;0%,IF(AND(AQ$16&gt;=$F60,AQ$16&lt;$F60+($G60*$I60)),"➤",""),"")</f>
        <v/>
      </c>
      <c r="AR60" s="76" t="str">
        <f aca="false">IF($I60&gt;0%,IF(AND(AR$16&gt;=$F60,AR$16&lt;$F60+($G60*$I60)),"➤",""),"")</f>
        <v/>
      </c>
      <c r="AS60" s="76" t="str">
        <f aca="false">IF($I60&gt;0%,IF(AND(AS$16&gt;=$F60,AS$16&lt;$F60+($G60*$I60)),"➤",""),"")</f>
        <v/>
      </c>
      <c r="AT60" s="76" t="str">
        <f aca="false">IF($I60&gt;0%,IF(AND(AT$16&gt;=$F60,AT$16&lt;$F60+($G60*$I60)),"➤",""),"")</f>
        <v/>
      </c>
      <c r="AU60" s="76" t="str">
        <f aca="false">IF($I60&gt;0%,IF(AND(AU$16&gt;=$F60,AU$16&lt;$F60+($G60*$I60)),"➤",""),"")</f>
        <v/>
      </c>
      <c r="AV60" s="76" t="str">
        <f aca="false">IF($I60&gt;0%,IF(AND(AV$16&gt;=$F60,AV$16&lt;$F60+($G60*$I60)),"➤",""),"")</f>
        <v/>
      </c>
      <c r="AW60" s="76" t="str">
        <f aca="false">IF($I60&gt;0%,IF(AND(AW$16&gt;=$F60,AW$16&lt;$F60+($G60*$I60)),"➤",""),"")</f>
        <v/>
      </c>
      <c r="AX60" s="76" t="str">
        <f aca="false">IF($I60&gt;0%,IF(AND(AX$16&gt;=$F60,AX$16&lt;$F60+($G60*$I60)),"➤",""),"")</f>
        <v/>
      </c>
      <c r="AY60" s="76" t="str">
        <f aca="false">IF($I60&gt;0%,IF(AND(AY$16&gt;=$F60,AY$16&lt;$F60+($G60*$I60)),"➤",""),"")</f>
        <v/>
      </c>
      <c r="AZ60" s="76" t="str">
        <f aca="false">IF($I60&gt;0%,IF(AND(AZ$16&gt;=$F60,AZ$16&lt;$F60+($G60*$I60)),"➤",""),"")</f>
        <v/>
      </c>
      <c r="BA60" s="76" t="str">
        <f aca="false">IF($I60&gt;0%,IF(AND(BA$16&gt;=$F60,BA$16&lt;$F60+($G60*$I60)),"➤",""),"")</f>
        <v/>
      </c>
      <c r="BB60" s="76" t="str">
        <f aca="false">IF($I60&gt;0%,IF(AND(BB$16&gt;=$F60,BB$16&lt;$F60+($G60*$I60)),"➤",""),"")</f>
        <v/>
      </c>
      <c r="BC60" s="76" t="str">
        <f aca="false">IF($I60&gt;0%,IF(AND(BC$16&gt;=$F60,BC$16&lt;$F60+($G60*$I60)),"➤",""),"")</f>
        <v/>
      </c>
      <c r="BD60" s="76" t="str">
        <f aca="false">IF($I60&gt;0%,IF(AND(BD$16&gt;=$F60,BD$16&lt;$F60+($G60*$I60)),"➤",""),"")</f>
        <v/>
      </c>
      <c r="BE60" s="76" t="str">
        <f aca="false">IF($I60&gt;0%,IF(AND(BE$16&gt;=$F60,BE$16&lt;$F60+($G60*$I60)),"➤",""),"")</f>
        <v/>
      </c>
      <c r="BF60" s="76" t="str">
        <f aca="false">IF($I60&gt;0%,IF(AND(BF$16&gt;=$F60,BF$16&lt;$F60+($G60*$I60)),"➤",""),"")</f>
        <v/>
      </c>
      <c r="BG60" s="76" t="str">
        <f aca="false">IF($I60&gt;0%,IF(AND(BG$16&gt;=$F60,BG$16&lt;$F60+($G60*$I60)),"➤",""),"")</f>
        <v/>
      </c>
      <c r="BH60" s="76" t="str">
        <f aca="false">IF($I60&gt;0%,IF(AND(BH$16&gt;=$F60,BH$16&lt;$F60+($G60*$I60)),"➤",""),"")</f>
        <v/>
      </c>
      <c r="BI60" s="76" t="str">
        <f aca="false">IF($I60&gt;0%,IF(AND(BI$16&gt;=$F60,BI$16&lt;$F60+($G60*$I60)),"➤",""),"")</f>
        <v/>
      </c>
      <c r="BJ60" s="76" t="str">
        <f aca="false">IF($I60&gt;0%,IF(AND(BJ$16&gt;=$F60,BJ$16&lt;$F60+($G60*$I60)),"➤",""),"")</f>
        <v/>
      </c>
      <c r="BK60" s="76" t="str">
        <f aca="false">IF($I60&gt;0%,IF(AND(BK$16&gt;=$F60,BK$16&lt;$F60+($G60*$I60)),"➤",""),"")</f>
        <v/>
      </c>
      <c r="BL60" s="76" t="str">
        <f aca="false">IF($I60&gt;0%,IF(AND(BL$16&gt;=$F60,BL$16&lt;$F60+($G60*$I60)),"➤",""),"")</f>
        <v/>
      </c>
      <c r="BM60" s="76" t="str">
        <f aca="false">IF($I60&gt;0%,IF(AND(BM$16&gt;=$F60,BM$16&lt;$F60+($G60*$I60)),"➤",""),"")</f>
        <v/>
      </c>
      <c r="BN60" s="76" t="str">
        <f aca="false">IF($I60&gt;0%,IF(AND(BN$16&gt;=$F60,BN$16&lt;$F60+($G60*$I60)),"➤",""),"")</f>
        <v/>
      </c>
      <c r="BO60" s="76" t="str">
        <f aca="false">IF($I60&gt;0%,IF(AND(BO$16&gt;=$F60,BO$16&lt;$F60+($G60*$I60)),"➤",""),"")</f>
        <v/>
      </c>
      <c r="BP60" s="76" t="str">
        <f aca="false">IF($I60&gt;0%,IF(AND(BP$16&gt;=$F60,BP$16&lt;$F60+($G60*$I60)),"➤",""),"")</f>
        <v/>
      </c>
      <c r="BQ60" s="76" t="str">
        <f aca="false">IF($I60&gt;0%,IF(AND(BQ$16&gt;=$F60,BQ$16&lt;$F60+($G60*$I60)),"➤",""),"")</f>
        <v/>
      </c>
      <c r="BR60" s="76" t="str">
        <f aca="false">IF($I60&gt;0%,IF(AND(BR$16&gt;=$F60,BR$16&lt;$F60+($G60*$I60)),"➤",""),"")</f>
        <v/>
      </c>
      <c r="BS60" s="76" t="str">
        <f aca="false">IF($I60&gt;0%,IF(AND(BS$16&gt;=$F60,BS$16&lt;$F60+($G60*$I60)),"➤",""),"")</f>
        <v/>
      </c>
      <c r="BT60" s="76" t="str">
        <f aca="false">IF($I60&gt;0%,IF(AND(BT$16&gt;=$F60,BT$16&lt;$F60+($G60*$I60)),"➤",""),"")</f>
        <v/>
      </c>
      <c r="BU60" s="76" t="str">
        <f aca="false">IF($I60&gt;0%,IF(AND(BU$16&gt;=$F60,BU$16&lt;$F60+($G60*$I60)),"➤",""),"")</f>
        <v/>
      </c>
      <c r="BV60" s="76" t="str">
        <f aca="false">IF($I60&gt;0%,IF(AND(BV$16&gt;=$F60,BV$16&lt;$F60+($G60*$I60)),"➤",""),"")</f>
        <v/>
      </c>
      <c r="BW60" s="76" t="str">
        <f aca="false">IF($I60&gt;0%,IF(AND(BW$16&gt;=$F60,BW$16&lt;$F60+($G60*$I60)),"➤",""),"")</f>
        <v/>
      </c>
      <c r="BX60" s="76" t="str">
        <f aca="false">IF($I60&gt;0%,IF(AND(BX$16&gt;=$F60,BX$16&lt;$F60+($G60*$I60)),"➤",""),"")</f>
        <v/>
      </c>
      <c r="BY60" s="76" t="str">
        <f aca="false">IF($I60&gt;0%,IF(AND(BY$16&gt;=$F60,BY$16&lt;$F60+($G60*$I60)),"➤",""),"")</f>
        <v/>
      </c>
      <c r="BZ60" s="76" t="str">
        <f aca="false">IF($I60&gt;0%,IF(AND(BZ$16&gt;=$F60,BZ$16&lt;$F60+($G60*$I60)),"➤",""),"")</f>
        <v/>
      </c>
      <c r="CA60" s="76" t="str">
        <f aca="false">IF($I60&gt;0%,IF(AND(CA$16&gt;=$F60,CA$16&lt;$F60+($G60*$I60)),"➤",""),"")</f>
        <v/>
      </c>
      <c r="CB60" s="76" t="str">
        <f aca="false">IF($I60&gt;0%,IF(AND(CB$16&gt;=$F60,CB$16&lt;$F60+($G60*$I60)),"➤",""),"")</f>
        <v/>
      </c>
      <c r="CC60" s="76" t="str">
        <f aca="false">IF($I60&gt;0%,IF(AND(CC$16&gt;=$F60,CC$16&lt;$F60+($G60*$I60)),"➤",""),"")</f>
        <v/>
      </c>
      <c r="CD60" s="76" t="str">
        <f aca="false">IF($I60&gt;0%,IF(AND(CD$16&gt;=$F60,CD$16&lt;$F60+($G60*$I60)),"➤",""),"")</f>
        <v/>
      </c>
      <c r="CE60" s="76" t="str">
        <f aca="false">IF($I60&gt;0%,IF(AND(CE$16&gt;=$F60,CE$16&lt;$F60+($G60*$I60)),"➤",""),"")</f>
        <v/>
      </c>
      <c r="CF60" s="76" t="str">
        <f aca="false">IF($I60&gt;0%,IF(AND(CF$16&gt;=$F60,CF$16&lt;$F60+($G60*$I60)),"➤",""),"")</f>
        <v/>
      </c>
      <c r="CG60" s="76" t="str">
        <f aca="false">IF($I60&gt;0%,IF(AND(CG$16&gt;=$F60,CG$16&lt;$F60+($G60*$I60)),"➤",""),"")</f>
        <v/>
      </c>
      <c r="CH60" s="76" t="str">
        <f aca="false">IF($I60&gt;0%,IF(AND(CH$16&gt;=$F60,CH$16&lt;$F60+($G60*$I60)),"➤",""),"")</f>
        <v/>
      </c>
      <c r="CI60" s="76" t="str">
        <f aca="false">IF($I60&gt;0%,IF(AND(CI$16&gt;=$F60,CI$16&lt;$F60+($G60*$I60)),"➤",""),"")</f>
        <v/>
      </c>
      <c r="CJ60" s="76" t="str">
        <f aca="false">IF($I60&gt;0%,IF(AND(CJ$16&gt;=$F60,CJ$16&lt;$F60+($G60*$I60)),"➤",""),"")</f>
        <v/>
      </c>
      <c r="CK60" s="76" t="str">
        <f aca="false">IF($I60&gt;0%,IF(AND(CK$16&gt;=$F60,CK$16&lt;$F60+($G60*$I60)),"➤",""),"")</f>
        <v/>
      </c>
      <c r="CL60" s="76" t="str">
        <f aca="false">IF($I60&gt;0%,IF(AND(CL$16&gt;=$F60,CL$16&lt;$F60+($G60*$I60)),"➤",""),"")</f>
        <v/>
      </c>
      <c r="CM60" s="76" t="str">
        <f aca="false">IF($I60&gt;0%,IF(AND(CM$16&gt;=$F60,CM$16&lt;$F60+($G60*$I60)),"➤",""),"")</f>
        <v/>
      </c>
      <c r="CN60" s="76" t="str">
        <f aca="false">IF($I60&gt;0%,IF(AND(CN$16&gt;=$F60,CN$16&lt;$F60+($G60*$I60)),"➤",""),"")</f>
        <v/>
      </c>
      <c r="CO60" s="76" t="str">
        <f aca="false">IF($I60&gt;0%,IF(AND(CO$16&gt;=$F60,CO$16&lt;$F60+($G60*$I60)),"➤",""),"")</f>
        <v/>
      </c>
      <c r="CP60" s="76" t="str">
        <f aca="false">IF($I60&gt;0%,IF(AND(CP$16&gt;=$F60,CP$16&lt;$F60+($G60*$I60)),"➤",""),"")</f>
        <v/>
      </c>
      <c r="CQ60" s="76" t="str">
        <f aca="false">IF($I60&gt;0%,IF(AND(CQ$16&gt;=$F60,CQ$16&lt;$F60+($G60*$I60)),"➤",""),"")</f>
        <v/>
      </c>
      <c r="CR60" s="76" t="str">
        <f aca="false">IF($I60&gt;0%,IF(AND(CR$16&gt;=$F60,CR$16&lt;$F60+($G60*$I60)),"➤",""),"")</f>
        <v/>
      </c>
      <c r="CS60" s="76" t="str">
        <f aca="false">IF($I60&gt;0%,IF(AND(CS$16&gt;=$F60,CS$16&lt;$F60+($G60*$I60)),"➤",""),"")</f>
        <v/>
      </c>
      <c r="CT60" s="76" t="str">
        <f aca="false">IF($I60&gt;0%,IF(AND(CT$16&gt;=$F60,CT$16&lt;$F60+($G60*$I60)),"➤",""),"")</f>
        <v/>
      </c>
      <c r="CU60" s="76" t="str">
        <f aca="false">IF($I60&gt;0%,IF(AND(CU$16&gt;=$F60,CU$16&lt;$F60+($G60*$I60)),"➤",""),"")</f>
        <v/>
      </c>
      <c r="CV60" s="76" t="str">
        <f aca="false">IF($I60&gt;0%,IF(AND(CV$16&gt;=$F60,CV$16&lt;$F60+($G60*$I60)),"➤",""),"")</f>
        <v/>
      </c>
      <c r="CW60" s="76" t="str">
        <f aca="false">IF($I60&gt;0%,IF(AND(CW$16&gt;=$F60,CW$16&lt;$F60+($G60*$I60)),"➤",""),"")</f>
        <v/>
      </c>
      <c r="CX60" s="76" t="str">
        <f aca="false">IF($I60&gt;0%,IF(AND(CX$16&gt;=$F60,CX$16&lt;$F60+($G60*$I60)),"➤",""),"")</f>
        <v/>
      </c>
      <c r="CY60" s="76" t="str">
        <f aca="false">IF($I60&gt;0%,IF(AND(CY$16&gt;=$F60,CY$16&lt;$F60+($G60*$I60)),"➤",""),"")</f>
        <v/>
      </c>
      <c r="CZ60" s="76" t="str">
        <f aca="false">IF($I60&gt;0%,IF(AND(CZ$16&gt;=$F60,CZ$16&lt;$F60+($G60*$I60)),"➤",""),"")</f>
        <v/>
      </c>
      <c r="DA60" s="76" t="str">
        <f aca="false">IF($I60&gt;0%,IF(AND(DA$16&gt;=$F60,DA$16&lt;$F60+($G60*$I60)),"➤",""),"")</f>
        <v/>
      </c>
      <c r="DB60" s="76" t="str">
        <f aca="false">IF($I60&gt;0%,IF(AND(DB$16&gt;=$F60,DB$16&lt;$F60+($G60*$I60)),"➤",""),"")</f>
        <v/>
      </c>
      <c r="DC60" s="76" t="str">
        <f aca="false">IF($I60&gt;0%,IF(AND(DC$16&gt;=$F60,DC$16&lt;$F60+($G60*$I60)),"➤",""),"")</f>
        <v/>
      </c>
      <c r="DD60" s="76" t="str">
        <f aca="false">IF($I60&gt;0%,IF(AND(DD$16&gt;=$F60,DD$16&lt;$F60+($G60*$I60)),"➤",""),"")</f>
        <v/>
      </c>
      <c r="DE60" s="76" t="str">
        <f aca="false">IF($I60&gt;0%,IF(AND(DE$16&gt;=$F60,DE$16&lt;$F60+($G60*$I60)),"➤",""),"")</f>
        <v/>
      </c>
      <c r="DF60" s="76" t="str">
        <f aca="false">IF($I60&gt;0%,IF(AND(DF$16&gt;=$F60,DF$16&lt;$F60+($G60*$I60)),"➤",""),"")</f>
        <v/>
      </c>
      <c r="DG60" s="76" t="str">
        <f aca="false">IF($I60&gt;0%,IF(AND(DG$16&gt;=$F60,DG$16&lt;$F60+($G60*$I60)),"➤",""),"")</f>
        <v/>
      </c>
      <c r="DH60" s="76" t="str">
        <f aca="false">IF($I60&gt;0%,IF(AND(DH$16&gt;=$F60,DH$16&lt;$F60+($G60*$I60)),"➤",""),"")</f>
        <v/>
      </c>
      <c r="DI60" s="76" t="str">
        <f aca="false">IF($I60&gt;0%,IF(AND(DI$16&gt;=$F60,DI$16&lt;$F60+($G60*$I60)),"➤",""),"")</f>
        <v/>
      </c>
      <c r="DJ60" s="76" t="str">
        <f aca="false">IF($I60&gt;0%,IF(AND(DJ$16&gt;=$F60,DJ$16&lt;$F60+($G60*$I60)),"➤",""),"")</f>
        <v/>
      </c>
      <c r="DK60" s="76" t="str">
        <f aca="false">IF($I60&gt;0%,IF(AND(DK$16&gt;=$F60,DK$16&lt;$F60+($G60*$I60)),"➤",""),"")</f>
        <v/>
      </c>
      <c r="DL60" s="76" t="str">
        <f aca="false">IF($I60&gt;0%,IF(AND(DL$16&gt;=$F60,DL$16&lt;$F60+($G60*$I60)),"➤",""),"")</f>
        <v/>
      </c>
      <c r="DM60" s="76" t="str">
        <f aca="false">IF($I60&gt;0%,IF(AND(DM$16&gt;=$F60,DM$16&lt;$F60+($G60*$I60)),"➤",""),"")</f>
        <v/>
      </c>
      <c r="DN60" s="76" t="str">
        <f aca="false">IF($I60&gt;0%,IF(AND(DN$16&gt;=$F60,DN$16&lt;$F60+($G60*$I60)),"➤",""),"")</f>
        <v/>
      </c>
      <c r="DO60" s="76" t="str">
        <f aca="false">IF($I60&gt;0%,IF(AND(DO$16&gt;=$F60,DO$16&lt;$F60+($G60*$I60)),"➤",""),"")</f>
        <v/>
      </c>
      <c r="DP60" s="76" t="str">
        <f aca="false">IF($I60&gt;0%,IF(AND(DP$16&gt;=$F60,DP$16&lt;$F60+($G60*$I60)),"➤",""),"")</f>
        <v/>
      </c>
      <c r="DQ60" s="76" t="str">
        <f aca="false">IF($I60&gt;0%,IF(AND(DQ$16&gt;=$F60,DQ$16&lt;$F60+($G60*$I60)),"➤",""),"")</f>
        <v/>
      </c>
      <c r="DR60" s="76" t="str">
        <f aca="false">IF($I60&gt;0%,IF(AND(DR$16&gt;=$F60,DR$16&lt;$F60+($G60*$I60)),"➤",""),"")</f>
        <v/>
      </c>
      <c r="DS60" s="76" t="str">
        <f aca="false">IF($I60&gt;0%,IF(AND(DS$16&gt;=$F60,DS$16&lt;$F60+($G60*$I60)),"➤",""),"")</f>
        <v/>
      </c>
      <c r="DT60" s="76" t="str">
        <f aca="false">IF($I60&gt;0%,IF(AND(DT$16&gt;=$F60,DT$16&lt;$F60+($G60*$I60)),"➤",""),"")</f>
        <v/>
      </c>
      <c r="DU60" s="76" t="str">
        <f aca="false">IF($I60&gt;0%,IF(AND(DU$16&gt;=$F60,DU$16&lt;$F60+($G60*$I60)),"➤",""),"")</f>
        <v/>
      </c>
      <c r="DV60" s="76" t="str">
        <f aca="false">IF($I60&gt;0%,IF(AND(DV$16&gt;=$F60,DV$16&lt;$F60+($G60*$I60)),"➤",""),"")</f>
        <v/>
      </c>
      <c r="DW60" s="76" t="str">
        <f aca="false">IF($I60&gt;0%,IF(AND(DW$16&gt;=$F60,DW$16&lt;$F60+($G60*$I60)),"➤",""),"")</f>
        <v/>
      </c>
      <c r="DX60" s="76" t="str">
        <f aca="false">IF($I60&gt;0%,IF(AND(DX$16&gt;=$F60,DX$16&lt;$F60+($G60*$I60)),"➤",""),"")</f>
        <v/>
      </c>
      <c r="DY60" s="76" t="str">
        <f aca="false">IF($I60&gt;0%,IF(AND(DY$16&gt;=$F60,DY$16&lt;$F60+($G60*$I60)),"➤",""),"")</f>
        <v/>
      </c>
      <c r="DZ60" s="76" t="str">
        <f aca="false">IF($I60&gt;0%,IF(AND(DZ$16&gt;=$F60,DZ$16&lt;$F60+($G60*$I60)),"➤",""),"")</f>
        <v/>
      </c>
      <c r="EA60" s="76" t="str">
        <f aca="false">IF($I60&gt;0%,IF(AND(EA$16&gt;=$F60,EA$16&lt;$F60+($G60*$I60)),"➤",""),"")</f>
        <v/>
      </c>
      <c r="EB60" s="76" t="str">
        <f aca="false">IF($I60&gt;0%,IF(AND(EB$16&gt;=$F60,EB$16&lt;$F60+($G60*$I60)),"➤",""),"")</f>
        <v/>
      </c>
      <c r="EC60" s="76" t="str">
        <f aca="false">IF($I60&gt;0%,IF(AND(EC$16&gt;=$F60,EC$16&lt;$F60+($G60*$I60)),"➤",""),"")</f>
        <v/>
      </c>
      <c r="ED60" s="76" t="str">
        <f aca="false">IF($I60&gt;0%,IF(AND(ED$16&gt;=$F60,ED$16&lt;$F60+($G60*$I60)),"➤",""),"")</f>
        <v/>
      </c>
      <c r="EE60" s="76" t="str">
        <f aca="false">IF($I60&gt;0%,IF(AND(EE$16&gt;=$F60,EE$16&lt;$F60+($G60*$I60)),"➤",""),"")</f>
        <v/>
      </c>
      <c r="EF60" s="76" t="str">
        <f aca="false">IF($I60&gt;0%,IF(AND(EF$16&gt;=$F60,EF$16&lt;$F60+($G60*$I60)),"➤",""),"")</f>
        <v/>
      </c>
      <c r="EG60" s="76" t="str">
        <f aca="false">IF($I60&gt;0%,IF(AND(EG$16&gt;=$F60,EG$16&lt;$F60+($G60*$I60)),"➤",""),"")</f>
        <v/>
      </c>
      <c r="EH60" s="76" t="str">
        <f aca="false">IF($I60&gt;0%,IF(AND(EH$16&gt;=$F60,EH$16&lt;$F60+($G60*$I60)),"➤",""),"")</f>
        <v/>
      </c>
      <c r="EI60" s="76" t="str">
        <f aca="false">IF($I60&gt;0%,IF(AND(EI$16&gt;=$F60,EI$16&lt;$F60+($G60*$I60)),"➤",""),"")</f>
        <v/>
      </c>
      <c r="EJ60" s="76" t="str">
        <f aca="false">IF($I60&gt;0%,IF(AND(EJ$16&gt;=$F60,EJ$16&lt;$F60+($G60*$I60)),"➤",""),"")</f>
        <v/>
      </c>
      <c r="EK60" s="76" t="str">
        <f aca="false">IF($I60&gt;0%,IF(AND(EK$16&gt;=$F60,EK$16&lt;$F60+($G60*$I60)),"➤",""),"")</f>
        <v/>
      </c>
      <c r="EL60" s="76" t="str">
        <f aca="false">IF($I60&gt;0%,IF(AND(EL$16&gt;=$F60,EL$16&lt;$F60+($G60*$I60)),"➤",""),"")</f>
        <v/>
      </c>
      <c r="EM60" s="76" t="str">
        <f aca="false">IF($I60&gt;0%,IF(AND(EM$16&gt;=$F60,EM$16&lt;$F60+($G60*$I60)),"➤",""),"")</f>
        <v/>
      </c>
      <c r="EN60" s="76" t="str">
        <f aca="false">IF($I60&gt;0%,IF(AND(EN$16&gt;=$F60,EN$16&lt;$F60+($G60*$I60)),"➤",""),"")</f>
        <v/>
      </c>
      <c r="EO60" s="76" t="str">
        <f aca="false">IF($I60&gt;0%,IF(AND(EO$16&gt;=$F60,EO$16&lt;$F60+($G60*$I60)),"➤",""),"")</f>
        <v/>
      </c>
      <c r="EP60" s="76" t="str">
        <f aca="false">IF($I60&gt;0%,IF(AND(EP$16&gt;=$F60,EP$16&lt;$F60+($G60*$I60)),"➤",""),"")</f>
        <v/>
      </c>
      <c r="EQ60" s="76" t="str">
        <f aca="false">IF($I60&gt;0%,IF(AND(EQ$16&gt;=$F60,EQ$16&lt;$F60+($G60*$I60)),"➤",""),"")</f>
        <v/>
      </c>
      <c r="ER60" s="76" t="str">
        <f aca="false">IF($I60&gt;0%,IF(AND(ER$16&gt;=$F60,ER$16&lt;$F60+($G60*$I60)),"➤",""),"")</f>
        <v/>
      </c>
      <c r="ES60" s="76" t="str">
        <f aca="false">IF($I60&gt;0%,IF(AND(ES$16&gt;=$F60,ES$16&lt;$F60+($G60*$I60)),"➤",""),"")</f>
        <v/>
      </c>
      <c r="ET60" s="76" t="str">
        <f aca="false">IF($I60&gt;0%,IF(AND(ET$16&gt;=$F60,ET$16&lt;$F60+($G60*$I60)),"➤",""),"")</f>
        <v/>
      </c>
      <c r="EU60" s="76" t="str">
        <f aca="false">IF($I60&gt;0%,IF(AND(EU$16&gt;=$F60,EU$16&lt;$F60+($G60*$I60)),"➤",""),"")</f>
        <v/>
      </c>
      <c r="EV60" s="76" t="str">
        <f aca="false">IF($I60&gt;0%,IF(AND(EV$16&gt;=$F60,EV$16&lt;$F60+($G60*$I60)),"➤",""),"")</f>
        <v/>
      </c>
      <c r="EW60" s="76" t="str">
        <f aca="false">IF($I60&gt;0%,IF(AND(EW$16&gt;=$F60,EW$16&lt;$F60+($G60*$I60)),"➤",""),"")</f>
        <v/>
      </c>
      <c r="EX60" s="76" t="str">
        <f aca="false">IF($I60&gt;0%,IF(AND(EX$16&gt;=$F60,EX$16&lt;$F60+($G60*$I60)),"➤",""),"")</f>
        <v/>
      </c>
      <c r="EY60" s="76" t="str">
        <f aca="false">IF($I60&gt;0%,IF(AND(EY$16&gt;=$F60,EY$16&lt;$F60+($G60*$I60)),"➤",""),"")</f>
        <v/>
      </c>
      <c r="EZ60" s="76" t="str">
        <f aca="false">IF($I60&gt;0%,IF(AND(EZ$16&gt;=$F60,EZ$16&lt;$F60+($G60*$I60)),"➤",""),"")</f>
        <v/>
      </c>
      <c r="FA60" s="76" t="str">
        <f aca="false">IF($I60&gt;0%,IF(AND(FA$16&gt;=$F60,FA$16&lt;$F60+($G60*$I60)),"➤",""),"")</f>
        <v/>
      </c>
      <c r="FB60" s="76" t="str">
        <f aca="false">IF($I60&gt;0%,IF(AND(FB$16&gt;=$F60,FB$16&lt;$F60+($G60*$I60)),"➤",""),"")</f>
        <v/>
      </c>
      <c r="FC60" s="76" t="str">
        <f aca="false">IF($I60&gt;0%,IF(AND(FC$16&gt;=$F60,FC$16&lt;$F60+($G60*$I60)),"➤",""),"")</f>
        <v/>
      </c>
      <c r="FD60" s="76" t="str">
        <f aca="false">IF($I60&gt;0%,IF(AND(FD$16&gt;=$F60,FD$16&lt;$F60+($G60*$I60)),"➤",""),"")</f>
        <v/>
      </c>
      <c r="FE60" s="76" t="str">
        <f aca="false">IF($I60&gt;0%,IF(AND(FE$16&gt;=$F60,FE$16&lt;$F60+($G60*$I60)),"➤",""),"")</f>
        <v/>
      </c>
      <c r="FF60" s="76" t="str">
        <f aca="false">IF($I60&gt;0%,IF(AND(FF$16&gt;=$F60,FF$16&lt;$F60+($G60*$I60)),"➤",""),"")</f>
        <v/>
      </c>
      <c r="FG60" s="76" t="str">
        <f aca="false">IF($I60&gt;0%,IF(AND(FG$16&gt;=$F60,FG$16&lt;$F60+($G60*$I60)),"➤",""),"")</f>
        <v/>
      </c>
      <c r="FH60" s="76" t="str">
        <f aca="false">IF($I60&gt;0%,IF(AND(FH$16&gt;=$F60,FH$16&lt;$F60+($G60*$I60)),"➤",""),"")</f>
        <v/>
      </c>
      <c r="FI60" s="76" t="str">
        <f aca="false">IF($I60&gt;0%,IF(AND(FI$16&gt;=$F60,FI$16&lt;$F60+($G60*$I60)),"➤",""),"")</f>
        <v/>
      </c>
      <c r="FJ60" s="76" t="str">
        <f aca="false">IF($I60&gt;0%,IF(AND(FJ$16&gt;=$F60,FJ$16&lt;$F60+($G60*$I60)),"➤",""),"")</f>
        <v/>
      </c>
      <c r="FK60" s="76" t="str">
        <f aca="false">IF($I60&gt;0%,IF(AND(FK$16&gt;=$F60,FK$16&lt;$F60+($G60*$I60)),"➤",""),"")</f>
        <v/>
      </c>
      <c r="FL60" s="76" t="str">
        <f aca="false">IF($I60&gt;0%,IF(AND(FL$16&gt;=$F60,FL$16&lt;$F60+($G60*$I60)),"➤",""),"")</f>
        <v/>
      </c>
      <c r="FM60" s="76" t="str">
        <f aca="false">IF($I60&gt;0%,IF(AND(FM$16&gt;=$F60,FM$16&lt;$F60+($G60*$I60)),"➤",""),"")</f>
        <v/>
      </c>
      <c r="FN60" s="76" t="str">
        <f aca="false">IF($I60&gt;0%,IF(AND(FN$16&gt;=$F60,FN$16&lt;$F60+($G60*$I60)),"➤",""),"")</f>
        <v/>
      </c>
      <c r="FO60" s="76" t="str">
        <f aca="false">IF($I60&gt;0%,IF(AND(FO$16&gt;=$F60,FO$16&lt;$F60+($G60*$I60)),"➤",""),"")</f>
        <v/>
      </c>
      <c r="FP60" s="76" t="str">
        <f aca="false">IF($I60&gt;0%,IF(AND(FP$16&gt;=$F60,FP$16&lt;$F60+($G60*$I60)),"➤",""),"")</f>
        <v/>
      </c>
      <c r="FQ60" s="76" t="str">
        <f aca="false">IF($I60&gt;0%,IF(AND(FQ$16&gt;=$F60,FQ$16&lt;$F60+($G60*$I60)),"➤",""),"")</f>
        <v/>
      </c>
      <c r="FR60" s="76" t="str">
        <f aca="false">IF($I60&gt;0%,IF(AND(FR$16&gt;=$F60,FR$16&lt;$F60+($G60*$I60)),"➤",""),"")</f>
        <v/>
      </c>
      <c r="FS60" s="76" t="str">
        <f aca="false">IF($I60&gt;0%,IF(AND(FS$16&gt;=$F60,FS$16&lt;$F60+($G60*$I60)),"➤",""),"")</f>
        <v/>
      </c>
      <c r="FT60" s="76" t="str">
        <f aca="false">IF($I60&gt;0%,IF(AND(FT$16&gt;=$F60,FT$16&lt;$F60+($G60*$I60)),"➤",""),"")</f>
        <v/>
      </c>
      <c r="FU60" s="76" t="str">
        <f aca="false">IF($I60&gt;0%,IF(AND(FU$16&gt;=$F60,FU$16&lt;$F60+($G60*$I60)),"➤",""),"")</f>
        <v/>
      </c>
      <c r="FV60" s="76" t="str">
        <f aca="false">IF($I60&gt;0%,IF(AND(FV$16&gt;=$F60,FV$16&lt;$F60+($G60*$I60)),"➤",""),"")</f>
        <v/>
      </c>
      <c r="FW60" s="76" t="str">
        <f aca="false">IF($I60&gt;0%,IF(AND(FW$16&gt;=$F60,FW$16&lt;$F60+($G60*$I60)),"➤",""),"")</f>
        <v/>
      </c>
      <c r="FX60" s="76" t="str">
        <f aca="false">IF($I60&gt;0%,IF(AND(FX$16&gt;=$F60,FX$16&lt;$F60+($G60*$I60)),"➤",""),"")</f>
        <v/>
      </c>
      <c r="FY60" s="76" t="str">
        <f aca="false">IF($I60&gt;0%,IF(AND(FY$16&gt;=$F60,FY$16&lt;$F60+($G60*$I60)),"➤",""),"")</f>
        <v/>
      </c>
      <c r="FZ60" s="76" t="str">
        <f aca="false">IF($I60&gt;0%,IF(AND(FZ$16&gt;=$F60,FZ$16&lt;$F60+($G60*$I60)),"➤",""),"")</f>
        <v/>
      </c>
      <c r="GA60" s="76" t="str">
        <f aca="false">IF($I60&gt;0%,IF(AND(GA$16&gt;=$F60,GA$16&lt;$F60+($G60*$I60)),"➤",""),"")</f>
        <v/>
      </c>
      <c r="GB60" s="76" t="str">
        <f aca="false">IF($I60&gt;0%,IF(AND(GB$16&gt;=$F60,GB$16&lt;$F60+($G60*$I60)),"➤",""),"")</f>
        <v/>
      </c>
      <c r="GC60" s="76" t="str">
        <f aca="false">IF($I60&gt;0%,IF(AND(GC$16&gt;=$F60,GC$16&lt;$F60+($G60*$I60)),"➤",""),"")</f>
        <v/>
      </c>
      <c r="GD60" s="76" t="str">
        <f aca="false">IF($I60&gt;0%,IF(AND(GD$16&gt;=$F60,GD$16&lt;$F60+($G60*$I60)),"➤",""),"")</f>
        <v/>
      </c>
      <c r="GE60" s="76" t="str">
        <f aca="false">IF($I60&gt;0%,IF(AND(GE$16&gt;=$F60,GE$16&lt;$F60+($G60*$I60)),"➤",""),"")</f>
        <v/>
      </c>
      <c r="GF60" s="76" t="str">
        <f aca="false">IF($I60&gt;0%,IF(AND(GF$16&gt;=$F60,GF$16&lt;$F60+($G60*$I60)),"➤",""),"")</f>
        <v/>
      </c>
      <c r="GG60" s="76" t="str">
        <f aca="false">IF($I60&gt;0%,IF(AND(GG$16&gt;=$F60,GG$16&lt;$F60+($G60*$I60)),"➤",""),"")</f>
        <v/>
      </c>
      <c r="GH60" s="76" t="str">
        <f aca="false">IF($I60&gt;0%,IF(AND(GH$16&gt;=$F60,GH$16&lt;$F60+($G60*$I60)),"➤",""),"")</f>
        <v/>
      </c>
      <c r="GI60" s="76" t="str">
        <f aca="false">IF($I60&gt;0%,IF(AND(GI$16&gt;=$F60,GI$16&lt;$F60+($G60*$I60)),"➤",""),"")</f>
        <v/>
      </c>
      <c r="GJ60" s="76" t="str">
        <f aca="false">IF($I60&gt;0%,IF(AND(GJ$16&gt;=$F60,GJ$16&lt;$F60+($G60*$I60)),"➤",""),"")</f>
        <v/>
      </c>
      <c r="GK60" s="76" t="str">
        <f aca="false">IF($I60&gt;0%,IF(AND(GK$16&gt;=$F60,GK$16&lt;$F60+($G60*$I60)),"➤",""),"")</f>
        <v/>
      </c>
      <c r="GL60" s="76" t="str">
        <f aca="false">IF($I60&gt;0%,IF(AND(GL$16&gt;=$F60,GL$16&lt;$F60+($G60*$I60)),"➤",""),"")</f>
        <v/>
      </c>
      <c r="GM60" s="76" t="str">
        <f aca="false">IF($I60&gt;0%,IF(AND(GM$16&gt;=$F60,GM$16&lt;$F60+($G60*$I60)),"➤",""),"")</f>
        <v/>
      </c>
      <c r="GN60" s="76" t="str">
        <f aca="false">IF($I60&gt;0%,IF(AND(GN$16&gt;=$F60,GN$16&lt;$F60+($G60*$I60)),"➤",""),"")</f>
        <v/>
      </c>
      <c r="GO60" s="76" t="str">
        <f aca="false">IF($I60&gt;0%,IF(AND(GO$16&gt;=$F60,GO$16&lt;$F60+($G60*$I60)),"➤",""),"")</f>
        <v/>
      </c>
      <c r="GP60" s="76" t="str">
        <f aca="false">IF($I60&gt;0%,IF(AND(GP$16&gt;=$F60,GP$16&lt;$F60+($G60*$I60)),"➤",""),"")</f>
        <v/>
      </c>
      <c r="GQ60" s="76" t="str">
        <f aca="false">IF($I60&gt;0%,IF(AND(GQ$16&gt;=$F60,GQ$16&lt;$F60+($G60*$I60)),"➤",""),"")</f>
        <v/>
      </c>
      <c r="GR60" s="76" t="str">
        <f aca="false">IF($I60&gt;0%,IF(AND(GR$16&gt;=$F60,GR$16&lt;$F60+($G60*$I60)),"➤",""),"")</f>
        <v/>
      </c>
      <c r="GS60" s="76" t="str">
        <f aca="false">IF($I60&gt;0%,IF(AND(GS$16&gt;=$F60,GS$16&lt;$F60+($G60*$I60)),"➤",""),"")</f>
        <v/>
      </c>
      <c r="GT60" s="76" t="str">
        <f aca="false">IF($I60&gt;0%,IF(AND(GT$16&gt;=$F60,GT$16&lt;$F60+($G60*$I60)),"➤",""),"")</f>
        <v/>
      </c>
      <c r="GU60" s="76" t="str">
        <f aca="false">IF($I60&gt;0%,IF(AND(GU$16&gt;=$F60,GU$16&lt;$F60+($G60*$I60)),"➤",""),"")</f>
        <v/>
      </c>
      <c r="GV60" s="76" t="str">
        <f aca="false">IF($I60&gt;0%,IF(AND(GV$16&gt;=$F60,GV$16&lt;$F60+($G60*$I60)),"➤",""),"")</f>
        <v/>
      </c>
      <c r="GW60" s="76" t="str">
        <f aca="false">IF($I60&gt;0%,IF(AND(GW$16&gt;=$F60,GW$16&lt;$F60+($G60*$I60)),"➤",""),"")</f>
        <v/>
      </c>
      <c r="GX60" s="76" t="str">
        <f aca="false">IF($I60&gt;0%,IF(AND(GX$16&gt;=$F60,GX$16&lt;$F60+($G60*$I60)),"➤",""),"")</f>
        <v/>
      </c>
      <c r="GY60" s="76" t="str">
        <f aca="false">IF($I60&gt;0%,IF(AND(GY$16&gt;=$F60,GY$16&lt;$F60+($G60*$I60)),"➤",""),"")</f>
        <v/>
      </c>
      <c r="GZ60" s="76" t="str">
        <f aca="false">IF($I60&gt;0%,IF(AND(GZ$16&gt;=$F60,GZ$16&lt;$F60+($G60*$I60)),"➤",""),"")</f>
        <v/>
      </c>
      <c r="HA60" s="76" t="str">
        <f aca="false">IF($I60&gt;0%,IF(AND(HA$16&gt;=$F60,HA$16&lt;$F60+($G60*$I60)),"➤",""),"")</f>
        <v/>
      </c>
      <c r="HB60" s="76" t="str">
        <f aca="false">IF($I60&gt;0%,IF(AND(HB$16&gt;=$F60,HB$16&lt;$F60+($G60*$I60)),"➤",""),"")</f>
        <v/>
      </c>
      <c r="HC60" s="76" t="str">
        <f aca="false">IF($I60&gt;0%,IF(AND(HC$16&gt;=$F60,HC$16&lt;$F60+($G60*$I60)),"➤",""),"")</f>
        <v/>
      </c>
      <c r="HD60" s="76" t="str">
        <f aca="false">IF($I60&gt;0%,IF(AND(HD$16&gt;=$F60,HD$16&lt;$F60+($G60*$I60)),"➤",""),"")</f>
        <v/>
      </c>
      <c r="HE60" s="76" t="str">
        <f aca="false">IF($I60&gt;0%,IF(AND(HE$16&gt;=$F60,HE$16&lt;$F60+($G60*$I60)),"➤",""),"")</f>
        <v/>
      </c>
      <c r="HF60" s="76" t="str">
        <f aca="false">IF($I60&gt;0%,IF(AND(HF$16&gt;=$F60,HF$16&lt;$F60+($G60*$I60)),"➤",""),"")</f>
        <v/>
      </c>
      <c r="HG60" s="76" t="str">
        <f aca="false">IF($I60&gt;0%,IF(AND(HG$16&gt;=$F60,HG$16&lt;$F60+($G60*$I60)),"➤",""),"")</f>
        <v/>
      </c>
      <c r="HH60" s="76" t="str">
        <f aca="false">IF($I60&gt;0%,IF(AND(HH$16&gt;=$F60,HH$16&lt;$F60+($G60*$I60)),"➤",""),"")</f>
        <v/>
      </c>
      <c r="HI60" s="76" t="str">
        <f aca="false">IF($I60&gt;0%,IF(AND(HI$16&gt;=$F60,HI$16&lt;$F60+($G60*$I60)),"➤",""),"")</f>
        <v/>
      </c>
      <c r="HJ60" s="76" t="str">
        <f aca="false">IF($I60&gt;0%,IF(AND(HJ$16&gt;=$F60,HJ$16&lt;$F60+($G60*$I60)),"➤",""),"")</f>
        <v/>
      </c>
      <c r="HK60" s="76" t="str">
        <f aca="false">IF($I60&gt;0%,IF(AND(HK$16&gt;=$F60,HK$16&lt;$F60+($G60*$I60)),"➤",""),"")</f>
        <v/>
      </c>
      <c r="HL60" s="76" t="str">
        <f aca="false">IF($I60&gt;0%,IF(AND(HL$16&gt;=$F60,HL$16&lt;$F60+($G60*$I60)),"➤",""),"")</f>
        <v/>
      </c>
      <c r="HM60" s="76" t="str">
        <f aca="false">IF($I60&gt;0%,IF(AND(HM$16&gt;=$F60,HM$16&lt;$F60+($G60*$I60)),"➤",""),"")</f>
        <v/>
      </c>
      <c r="HN60" s="76" t="str">
        <f aca="false">IF($I60&gt;0%,IF(AND(HN$16&gt;=$F60,HN$16&lt;$F60+($G60*$I60)),"➤",""),"")</f>
        <v/>
      </c>
      <c r="HO60" s="76" t="str">
        <f aca="false">IF($I60&gt;0%,IF(AND(HO$16&gt;=$F60,HO$16&lt;$F60+($G60*$I60)),"➤",""),"")</f>
        <v/>
      </c>
      <c r="HP60" s="76" t="str">
        <f aca="false">IF($I60&gt;0%,IF(AND(HP$16&gt;=$F60,HP$16&lt;$F60+($G60*$I60)),"➤",""),"")</f>
        <v/>
      </c>
      <c r="HQ60" s="76" t="str">
        <f aca="false">IF($I60&gt;0%,IF(AND(HQ$16&gt;=$F60,HQ$16&lt;$F60+($G60*$I60)),"➤",""),"")</f>
        <v/>
      </c>
      <c r="HR60" s="76" t="str">
        <f aca="false">IF($I60&gt;0%,IF(AND(HR$16&gt;=$F60,HR$16&lt;$F60+($G60*$I60)),"➤",""),"")</f>
        <v/>
      </c>
      <c r="HS60" s="76" t="str">
        <f aca="false">IF($I60&gt;0%,IF(AND(HS$16&gt;=$F60,HS$16&lt;$F60+($G60*$I60)),"➤",""),"")</f>
        <v/>
      </c>
      <c r="HT60" s="76" t="str">
        <f aca="false">IF($I60&gt;0%,IF(AND(HT$16&gt;=$F60,HT$16&lt;$F60+($G60*$I60)),"➤",""),"")</f>
        <v/>
      </c>
      <c r="HU60" s="76" t="str">
        <f aca="false">IF($I60&gt;0%,IF(AND(HU$16&gt;=$F60,HU$16&lt;$F60+($G60*$I60)),"➤",""),"")</f>
        <v/>
      </c>
      <c r="HV60" s="76" t="str">
        <f aca="false">IF($I60&gt;0%,IF(AND(HV$16&gt;=$F60,HV$16&lt;$F60+($G60*$I60)),"➤",""),"")</f>
        <v/>
      </c>
      <c r="HW60" s="76" t="str">
        <f aca="false">IF($I60&gt;0%,IF(AND(HW$16&gt;=$F60,HW$16&lt;$F60+($G60*$I60)),"➤",""),"")</f>
        <v/>
      </c>
      <c r="HX60" s="76" t="str">
        <f aca="false">IF($I60&gt;0%,IF(AND(HX$16&gt;=$F60,HX$16&lt;$F60+($G60*$I60)),"➤",""),"")</f>
        <v/>
      </c>
      <c r="HY60" s="76" t="str">
        <f aca="false">IF($I60&gt;0%,IF(AND(HY$16&gt;=$F60,HY$16&lt;$F60+($G60*$I60)),"➤",""),"")</f>
        <v/>
      </c>
      <c r="HZ60" s="76" t="str">
        <f aca="false">IF($I60&gt;0%,IF(AND(HZ$16&gt;=$F60,HZ$16&lt;$F60+($G60*$I60)),"➤",""),"")</f>
        <v/>
      </c>
      <c r="IA60" s="76" t="str">
        <f aca="false">IF($I60&gt;0%,IF(AND(IA$16&gt;=$F60,IA$16&lt;$F60+($G60*$I60)),"➤",""),"")</f>
        <v/>
      </c>
      <c r="IB60" s="76" t="str">
        <f aca="false">IF($I60&gt;0%,IF(AND(IB$16&gt;=$F60,IB$16&lt;$F60+($G60*$I60)),"➤",""),"")</f>
        <v/>
      </c>
      <c r="IC60" s="76" t="str">
        <f aca="false">IF($I60&gt;0%,IF(AND(IC$16&gt;=$F60,IC$16&lt;$F60+($G60*$I60)),"➤",""),"")</f>
        <v/>
      </c>
      <c r="ID60" s="76" t="str">
        <f aca="false">IF($I60&gt;0%,IF(AND(ID$16&gt;=$F60,ID$16&lt;$F60+($G60*$I60)),"➤",""),"")</f>
        <v/>
      </c>
      <c r="IE60" s="76" t="str">
        <f aca="false">IF($I60&gt;0%,IF(AND(IE$16&gt;=$F60,IE$16&lt;$F60+($G60*$I60)),"➤",""),"")</f>
        <v/>
      </c>
      <c r="IF60" s="76" t="str">
        <f aca="false">IF($I60&gt;0%,IF(AND(IF$16&gt;=$F60,IF$16&lt;$F60+($G60*$I60)),"➤",""),"")</f>
        <v/>
      </c>
      <c r="IG60" s="76" t="str">
        <f aca="false">IF($I60&gt;0%,IF(AND(IG$16&gt;=$F60,IG$16&lt;$F60+($G60*$I60)),"➤",""),"")</f>
        <v/>
      </c>
      <c r="IH60" s="76" t="str">
        <f aca="false">IF($I60&gt;0%,IF(AND(IH$16&gt;=$F60,IH$16&lt;$F60+($G60*$I60)),"➤",""),"")</f>
        <v/>
      </c>
      <c r="II60" s="76" t="str">
        <f aca="false">IF($I60&gt;0%,IF(AND(II$16&gt;=$F60,II$16&lt;$F60+($G60*$I60)),"➤",""),"")</f>
        <v/>
      </c>
      <c r="IJ60" s="76" t="str">
        <f aca="false">IF($I60&gt;0%,IF(AND(IJ$16&gt;=$F60,IJ$16&lt;$F60+($G60*$I60)),"➤",""),"")</f>
        <v/>
      </c>
      <c r="IK60" s="76" t="str">
        <f aca="false">IF($I60&gt;0%,IF(AND(IK$16&gt;=$F60,IK$16&lt;$F60+($G60*$I60)),"➤",""),"")</f>
        <v/>
      </c>
      <c r="IL60" s="76" t="str">
        <f aca="false">IF($I60&gt;0%,IF(AND(IL$16&gt;=$F60,IL$16&lt;$F60+($G60*$I60)),"➤",""),"")</f>
        <v/>
      </c>
      <c r="IM60" s="76" t="str">
        <f aca="false">IF($I60&gt;0%,IF(AND(IM$16&gt;=$F60,IM$16&lt;$F60+($G60*$I60)),"➤",""),"")</f>
        <v/>
      </c>
      <c r="IN60" s="76" t="str">
        <f aca="false">IF($I60&gt;0%,IF(AND(IN$16&gt;=$F60,IN$16&lt;$F60+($G60*$I60)),"➤",""),"")</f>
        <v/>
      </c>
      <c r="IO60" s="76" t="str">
        <f aca="false">IF($I60&gt;0%,IF(AND(IO$16&gt;=$F60,IO$16&lt;$F60+($G60*$I60)),"➤",""),"")</f>
        <v/>
      </c>
      <c r="IP60" s="76" t="str">
        <f aca="false">IF($I60&gt;0%,IF(AND(IP$16&gt;=$F60,IP$16&lt;$F60+($G60*$I60)),"➤",""),"")</f>
        <v/>
      </c>
      <c r="IQ60" s="76" t="str">
        <f aca="false">IF($I60&gt;0%,IF(AND(IQ$16&gt;=$F60,IQ$16&lt;$F60+($G60*$I60)),"➤",""),"")</f>
        <v/>
      </c>
      <c r="IR60" s="76" t="str">
        <f aca="false">IF($I60&gt;0%,IF(AND(IR$16&gt;=$F60,IR$16&lt;$F60+($G60*$I60)),"➤",""),"")</f>
        <v/>
      </c>
      <c r="IS60" s="76" t="str">
        <f aca="false">IF($I60&gt;0%,IF(AND(IS$16&gt;=$F60,IS$16&lt;$F60+($G60*$I60)),"➤",""),"")</f>
        <v/>
      </c>
      <c r="IT60" s="76" t="str">
        <f aca="false">IF($I60&gt;0%,IF(AND(IT$16&gt;=$F60,IT$16&lt;$F60+($G60*$I60)),"➤",""),"")</f>
        <v/>
      </c>
      <c r="IU60" s="76" t="str">
        <f aca="false">IF($I60&gt;0%,IF(AND(IU$16&gt;=$F60,IU$16&lt;$F60+($G60*$I60)),"➤",""),"")</f>
        <v/>
      </c>
      <c r="IV60" s="76" t="str">
        <f aca="false">IF($I60&gt;0%,IF(AND(IV$16&gt;=$F60,IV$16&lt;$F60+($G60*$I60)),"➤",""),"")</f>
        <v/>
      </c>
      <c r="IW60" s="76" t="str">
        <f aca="false">IF($I60&gt;0%,IF(AND(IW$16&gt;=$F60,IW$16&lt;$F60+($G60*$I60)),"➤",""),"")</f>
        <v/>
      </c>
      <c r="IX60" s="76" t="str">
        <f aca="false">IF($I60&gt;0%,IF(AND(IX$16&gt;=$F60,IX$16&lt;$F60+($G60*$I60)),"➤",""),"")</f>
        <v/>
      </c>
      <c r="IY60" s="76" t="str">
        <f aca="false">IF($I60&gt;0%,IF(AND(IY$16&gt;=$F60,IY$16&lt;$F60+($G60*$I60)),"➤",""),"")</f>
        <v/>
      </c>
      <c r="IZ60" s="76" t="str">
        <f aca="false">IF($I60&gt;0%,IF(AND(IZ$16&gt;=$F60,IZ$16&lt;$F60+($G60*$I60)),"➤",""),"")</f>
        <v/>
      </c>
      <c r="JA60" s="76" t="str">
        <f aca="false">IF($I60&gt;0%,IF(AND(JA$16&gt;=$F60,JA$16&lt;$F60+($G60*$I60)),"➤",""),"")</f>
        <v/>
      </c>
      <c r="JB60" s="76" t="str">
        <f aca="false">IF($I60&gt;0%,IF(AND(JB$16&gt;=$F60,JB$16&lt;$F60+($G60*$I60)),"➤",""),"")</f>
        <v/>
      </c>
      <c r="JC60" s="76" t="str">
        <f aca="false">IF($I60&gt;0%,IF(AND(JC$16&gt;=$F60,JC$16&lt;$F60+($G60*$I60)),"➤",""),"")</f>
        <v/>
      </c>
      <c r="JD60" s="76" t="str">
        <f aca="false">IF($I60&gt;0%,IF(AND(JD$16&gt;=$F60,JD$16&lt;$F60+($G60*$I60)),"➤",""),"")</f>
        <v/>
      </c>
      <c r="JE60" s="76" t="str">
        <f aca="false">IF($I60&gt;0%,IF(AND(JE$16&gt;=$F60,JE$16&lt;$F60+($G60*$I60)),"➤",""),"")</f>
        <v/>
      </c>
      <c r="JF60" s="76" t="str">
        <f aca="false">IF($I60&gt;0%,IF(AND(JF$16&gt;=$F60,JF$16&lt;$F60+($G60*$I60)),"➤",""),"")</f>
        <v/>
      </c>
      <c r="JG60" s="76" t="str">
        <f aca="false">IF($I60&gt;0%,IF(AND(JG$16&gt;=$F60,JG$16&lt;$F60+($G60*$I60)),"➤",""),"")</f>
        <v/>
      </c>
      <c r="JH60" s="76" t="str">
        <f aca="false">IF($I60&gt;0%,IF(AND(JH$16&gt;=$F60,JH$16&lt;$F60+($G60*$I60)),"➤",""),"")</f>
        <v/>
      </c>
      <c r="JI60" s="76" t="str">
        <f aca="false">IF($I60&gt;0%,IF(AND(JI$16&gt;=$F60,JI$16&lt;$F60+($G60*$I60)),"➤",""),"")</f>
        <v/>
      </c>
      <c r="JJ60" s="76" t="str">
        <f aca="false">IF($I60&gt;0%,IF(AND(JJ$16&gt;=$F60,JJ$16&lt;$F60+($G60*$I60)),"➤",""),"")</f>
        <v/>
      </c>
      <c r="JK60" s="76" t="str">
        <f aca="false">IF($I60&gt;0%,IF(AND(JK$16&gt;=$F60,JK$16&lt;$F60+($G60*$I60)),"➤",""),"")</f>
        <v/>
      </c>
      <c r="JL60" s="76" t="str">
        <f aca="false">IF($I60&gt;0%,IF(AND(JL$16&gt;=$F60,JL$16&lt;$F60+($G60*$I60)),"➤",""),"")</f>
        <v/>
      </c>
      <c r="JM60" s="76" t="str">
        <f aca="false">IF($I60&gt;0%,IF(AND(JM$16&gt;=$F60,JM$16&lt;$F60+($G60*$I60)),"➤",""),"")</f>
        <v/>
      </c>
      <c r="JN60" s="76" t="str">
        <f aca="false">IF($I60&gt;0%,IF(AND(JN$16&gt;=$F60,JN$16&lt;$F60+($G60*$I60)),"➤",""),"")</f>
        <v/>
      </c>
      <c r="JO60" s="76" t="str">
        <f aca="false">IF($I60&gt;0%,IF(AND(JO$16&gt;=$F60,JO$16&lt;$F60+($G60*$I60)),"➤",""),"")</f>
        <v/>
      </c>
      <c r="JP60" s="76" t="str">
        <f aca="false">IF($I60&gt;0%,IF(AND(JP$16&gt;=$F60,JP$16&lt;$F60+($G60*$I60)),"➤",""),"")</f>
        <v/>
      </c>
      <c r="JQ60" s="76" t="str">
        <f aca="false">IF($I60&gt;0%,IF(AND(JQ$16&gt;=$F60,JQ$16&lt;$F60+($G60*$I60)),"➤",""),"")</f>
        <v/>
      </c>
      <c r="JR60" s="76" t="str">
        <f aca="false">IF($I60&gt;0%,IF(AND(JR$16&gt;=$F60,JR$16&lt;$F60+($G60*$I60)),"➤",""),"")</f>
        <v/>
      </c>
      <c r="JS60" s="76" t="str">
        <f aca="false">IF($I60&gt;0%,IF(AND(JS$16&gt;=$F60,JS$16&lt;$F60+($G60*$I60)),"➤",""),"")</f>
        <v/>
      </c>
      <c r="JT60" s="76" t="str">
        <f aca="false">IF($I60&gt;0%,IF(AND(JT$16&gt;=$F60,JT$16&lt;$F60+($G60*$I60)),"➤",""),"")</f>
        <v/>
      </c>
      <c r="JU60" s="76" t="str">
        <f aca="false">IF($I60&gt;0%,IF(AND(JU$16&gt;=$F60,JU$16&lt;$F60+($G60*$I60)),"➤",""),"")</f>
        <v/>
      </c>
      <c r="JV60" s="76" t="str">
        <f aca="false">IF($I60&gt;0%,IF(AND(JV$16&gt;=$F60,JV$16&lt;$F60+($G60*$I60)),"➤",""),"")</f>
        <v/>
      </c>
      <c r="JW60" s="76" t="str">
        <f aca="false">IF($I60&gt;0%,IF(AND(JW$16&gt;=$F60,JW$16&lt;$F60+($G60*$I60)),"➤",""),"")</f>
        <v/>
      </c>
      <c r="JX60" s="76" t="str">
        <f aca="false">IF($I60&gt;0%,IF(AND(JX$16&gt;=$F60,JX$16&lt;$F60+($G60*$I60)),"➤",""),"")</f>
        <v/>
      </c>
      <c r="JY60" s="76" t="str">
        <f aca="false">IF($I60&gt;0%,IF(AND(JY$16&gt;=$F60,JY$16&lt;$F60+($G60*$I60)),"➤",""),"")</f>
        <v/>
      </c>
      <c r="JZ60" s="76" t="str">
        <f aca="false">IF($I60&gt;0%,IF(AND(JZ$16&gt;=$F60,JZ$16&lt;$F60+($G60*$I60)),"➤",""),"")</f>
        <v/>
      </c>
      <c r="KA60" s="76" t="str">
        <f aca="false">IF($I60&gt;0%,IF(AND(KA$16&gt;=$F60,KA$16&lt;$F60+($G60*$I60)),"➤",""),"")</f>
        <v/>
      </c>
      <c r="KB60" s="76" t="str">
        <f aca="false">IF($I60&gt;0%,IF(AND(KB$16&gt;=$F60,KB$16&lt;$F60+($G60*$I60)),"➤",""),"")</f>
        <v/>
      </c>
      <c r="KC60" s="76" t="str">
        <f aca="false">IF($I60&gt;0%,IF(AND(KC$16&gt;=$F60,KC$16&lt;$F60+($G60*$I60)),"➤",""),"")</f>
        <v/>
      </c>
      <c r="KD60" s="76" t="str">
        <f aca="false">IF($I60&gt;0%,IF(AND(KD$16&gt;=$F60,KD$16&lt;$F60+($G60*$I60)),"➤",""),"")</f>
        <v/>
      </c>
      <c r="KE60" s="76" t="str">
        <f aca="false">IF($I60&gt;0%,IF(AND(KE$16&gt;=$F60,KE$16&lt;$F60+($G60*$I60)),"➤",""),"")</f>
        <v/>
      </c>
      <c r="KF60" s="76" t="str">
        <f aca="false">IF($I60&gt;0%,IF(AND(KF$16&gt;=$F60,KF$16&lt;$F60+($G60*$I60)),"➤",""),"")</f>
        <v/>
      </c>
      <c r="KG60" s="76" t="str">
        <f aca="false">IF($I60&gt;0%,IF(AND(KG$16&gt;=$F60,KG$16&lt;$F60+($G60*$I60)),"➤",""),"")</f>
        <v/>
      </c>
      <c r="KH60" s="76" t="str">
        <f aca="false">IF($I60&gt;0%,IF(AND(KH$16&gt;=$F60,KH$16&lt;$F60+($G60*$I60)),"➤",""),"")</f>
        <v/>
      </c>
      <c r="KI60" s="76" t="str">
        <f aca="false">IF($I60&gt;0%,IF(AND(KI$16&gt;=$F60,KI$16&lt;$F60+($G60*$I60)),"➤",""),"")</f>
        <v/>
      </c>
      <c r="KJ60" s="76" t="str">
        <f aca="false">IF($I60&gt;0%,IF(AND(KJ$16&gt;=$F60,KJ$16&lt;$F60+($G60*$I60)),"➤",""),"")</f>
        <v/>
      </c>
      <c r="KK60" s="76" t="str">
        <f aca="false">IF($I60&gt;0%,IF(AND(KK$16&gt;=$F60,KK$16&lt;$F60+($G60*$I60)),"➤",""),"")</f>
        <v/>
      </c>
      <c r="KL60" s="76" t="str">
        <f aca="false">IF($I60&gt;0%,IF(AND(KL$16&gt;=$F60,KL$16&lt;$F60+($G60*$I60)),"➤",""),"")</f>
        <v/>
      </c>
      <c r="KM60" s="76" t="str">
        <f aca="false">IF($I60&gt;0%,IF(AND(KM$16&gt;=$F60,KM$16&lt;$F60+($G60*$I60)),"➤",""),"")</f>
        <v/>
      </c>
      <c r="KN60" s="76" t="str">
        <f aca="false">IF($I60&gt;0%,IF(AND(KN$16&gt;=$F60,KN$16&lt;$F60+($G60*$I60)),"➤",""),"")</f>
        <v/>
      </c>
      <c r="KO60" s="76" t="str">
        <f aca="false">IF($I60&gt;0%,IF(AND(KO$16&gt;=$F60,KO$16&lt;$F60+($G60*$I60)),"➤",""),"")</f>
        <v/>
      </c>
      <c r="KP60" s="76" t="str">
        <f aca="false">IF($I60&gt;0%,IF(AND(KP$16&gt;=$F60,KP$16&lt;$F60+($G60*$I60)),"➤",""),"")</f>
        <v/>
      </c>
      <c r="KQ60" s="76" t="str">
        <f aca="false">IF($I60&gt;0%,IF(AND(KQ$16&gt;=$F60,KQ$16&lt;$F60+($G60*$I60)),"➤",""),"")</f>
        <v/>
      </c>
      <c r="KR60" s="76" t="str">
        <f aca="false">IF($I60&gt;0%,IF(AND(KR$16&gt;=$F60,KR$16&lt;$F60+($G60*$I60)),"➤",""),"")</f>
        <v/>
      </c>
      <c r="KS60" s="76" t="str">
        <f aca="false">IF($I60&gt;0%,IF(AND(KS$16&gt;=$F60,KS$16&lt;$F60+($G60*$I60)),"➤",""),"")</f>
        <v/>
      </c>
      <c r="KT60" s="76" t="str">
        <f aca="false">IF($I60&gt;0%,IF(AND(KT$16&gt;=$F60,KT$16&lt;$F60+($G60*$I60)),"➤",""),"")</f>
        <v/>
      </c>
      <c r="KU60" s="76" t="str">
        <f aca="false">IF($I60&gt;0%,IF(AND(KU$16&gt;=$F60,KU$16&lt;$F60+($G60*$I60)),"➤",""),"")</f>
        <v/>
      </c>
      <c r="KV60" s="76" t="str">
        <f aca="false">IF($I60&gt;0%,IF(AND(KV$16&gt;=$F60,KV$16&lt;$F60+($G60*$I60)),"➤",""),"")</f>
        <v/>
      </c>
      <c r="KW60" s="76" t="str">
        <f aca="false">IF($I60&gt;0%,IF(AND(KW$16&gt;=$F60,KW$16&lt;$F60+($G60*$I60)),"➤",""),"")</f>
        <v/>
      </c>
      <c r="KX60" s="76" t="str">
        <f aca="false">IF($I60&gt;0%,IF(AND(KX$16&gt;=$F60,KX$16&lt;$F60+($G60*$I60)),"➤",""),"")</f>
        <v/>
      </c>
      <c r="KY60" s="76" t="str">
        <f aca="false">IF($I60&gt;0%,IF(AND(KY$16&gt;=$F60,KY$16&lt;$F60+($G60*$I60)),"➤",""),"")</f>
        <v/>
      </c>
      <c r="KZ60" s="76" t="str">
        <f aca="false">IF($I60&gt;0%,IF(AND(KZ$16&gt;=$F60,KZ$16&lt;$F60+($G60*$I60)),"➤",""),"")</f>
        <v/>
      </c>
      <c r="LA60" s="76" t="str">
        <f aca="false">IF($I60&gt;0%,IF(AND(LA$16&gt;=$F60,LA$16&lt;$F60+($G60*$I60)),"➤",""),"")</f>
        <v/>
      </c>
      <c r="LB60" s="76" t="str">
        <f aca="false">IF($I60&gt;0%,IF(AND(LB$16&gt;=$F60,LB$16&lt;$F60+($G60*$I60)),"➤",""),"")</f>
        <v/>
      </c>
      <c r="LC60" s="76" t="str">
        <f aca="false">IF($I60&gt;0%,IF(AND(LC$16&gt;=$F60,LC$16&lt;$F60+($G60*$I60)),"➤",""),"")</f>
        <v/>
      </c>
      <c r="LD60" s="76" t="str">
        <f aca="false">IF($I60&gt;0%,IF(AND(LD$16&gt;=$F60,LD$16&lt;$F60+($G60*$I60)),"➤",""),"")</f>
        <v/>
      </c>
      <c r="LE60" s="76" t="str">
        <f aca="false">IF($I60&gt;0%,IF(AND(LE$16&gt;=$F60,LE$16&lt;$F60+($G60*$I60)),"➤",""),"")</f>
        <v/>
      </c>
      <c r="LF60" s="76" t="str">
        <f aca="false">IF($I60&gt;0%,IF(AND(LF$16&gt;=$F60,LF$16&lt;$F60+($G60*$I60)),"➤",""),"")</f>
        <v/>
      </c>
      <c r="LG60" s="76" t="str">
        <f aca="false">IF($I60&gt;0%,IF(AND(LG$16&gt;=$F60,LG$16&lt;$F60+($G60*$I60)),"➤",""),"")</f>
        <v/>
      </c>
      <c r="LH60" s="76" t="str">
        <f aca="false">IF($I60&gt;0%,IF(AND(LH$16&gt;=$F60,LH$16&lt;$F60+($G60*$I60)),"➤",""),"")</f>
        <v/>
      </c>
      <c r="LI60" s="76" t="str">
        <f aca="false">IF($I60&gt;0%,IF(AND(LI$16&gt;=$F60,LI$16&lt;$F60+($G60*$I60)),"➤",""),"")</f>
        <v/>
      </c>
      <c r="LJ60" s="76" t="str">
        <f aca="false">IF($I60&gt;0%,IF(AND(LJ$16&gt;=$F60,LJ$16&lt;$F60+($G60*$I60)),"➤",""),"")</f>
        <v/>
      </c>
      <c r="LK60" s="76" t="str">
        <f aca="false">IF($I60&gt;0%,IF(AND(LK$16&gt;=$F60,LK$16&lt;$F60+($G60*$I60)),"➤",""),"")</f>
        <v/>
      </c>
      <c r="LL60" s="76" t="str">
        <f aca="false">IF($I60&gt;0%,IF(AND(LL$16&gt;=$F60,LL$16&lt;$F60+($G60*$I60)),"➤",""),"")</f>
        <v/>
      </c>
      <c r="LM60" s="76" t="str">
        <f aca="false">IF($I60&gt;0%,IF(AND(LM$16&gt;=$F60,LM$16&lt;$F60+($G60*$I60)),"➤",""),"")</f>
        <v/>
      </c>
      <c r="LN60" s="76" t="str">
        <f aca="false">IF($I60&gt;0%,IF(AND(LN$16&gt;=$F60,LN$16&lt;$F60+($G60*$I60)),"➤",""),"")</f>
        <v/>
      </c>
      <c r="LO60" s="76" t="str">
        <f aca="false">IF($I60&gt;0%,IF(AND(LO$16&gt;=$F60,LO$16&lt;$F60+($G60*$I60)),"➤",""),"")</f>
        <v/>
      </c>
      <c r="LP60" s="76" t="str">
        <f aca="false">IF($I60&gt;0%,IF(AND(LP$16&gt;=$F60,LP$16&lt;$F60+($G60*$I60)),"➤",""),"")</f>
        <v/>
      </c>
      <c r="LQ60" s="76" t="str">
        <f aca="false">IF($I60&gt;0%,IF(AND(LQ$16&gt;=$F60,LQ$16&lt;$F60+($G60*$I60)),"➤",""),"")</f>
        <v/>
      </c>
      <c r="LR60" s="76" t="str">
        <f aca="false">IF($I60&gt;0%,IF(AND(LR$16&gt;=$F60,LR$16&lt;$F60+($G60*$I60)),"➤",""),"")</f>
        <v/>
      </c>
      <c r="LS60" s="76" t="str">
        <f aca="false">IF($I60&gt;0%,IF(AND(LS$16&gt;=$F60,LS$16&lt;$F60+($G60*$I60)),"➤",""),"")</f>
        <v/>
      </c>
      <c r="LT60" s="76" t="str">
        <f aca="false">IF($I60&gt;0%,IF(AND(LT$16&gt;=$F60,LT$16&lt;$F60+($G60*$I60)),"➤",""),"")</f>
        <v/>
      </c>
      <c r="LU60" s="76" t="str">
        <f aca="false">IF($I60&gt;0%,IF(AND(LU$16&gt;=$F60,LU$16&lt;$F60+($G60*$I60)),"➤",""),"")</f>
        <v/>
      </c>
      <c r="LV60" s="76" t="str">
        <f aca="false">IF($I60&gt;0%,IF(AND(LV$16&gt;=$F60,LV$16&lt;$F60+($G60*$I60)),"➤",""),"")</f>
        <v/>
      </c>
      <c r="LW60" s="76" t="str">
        <f aca="false">IF($I60&gt;0%,IF(AND(LW$16&gt;=$F60,LW$16&lt;$F60+($G60*$I60)),"➤",""),"")</f>
        <v/>
      </c>
      <c r="LX60" s="76" t="str">
        <f aca="false">IF($I60&gt;0%,IF(AND(LX$16&gt;=$F60,LX$16&lt;$F60+($G60*$I60)),"➤",""),"")</f>
        <v/>
      </c>
      <c r="LY60" s="76" t="str">
        <f aca="false">IF($I60&gt;0%,IF(AND(LY$16&gt;=$F60,LY$16&lt;$F60+($G60*$I60)),"➤",""),"")</f>
        <v/>
      </c>
      <c r="LZ60" s="76" t="str">
        <f aca="false">IF($I60&gt;0%,IF(AND(LZ$16&gt;=$F60,LZ$16&lt;$F60+($G60*$I60)),"➤",""),"")</f>
        <v/>
      </c>
      <c r="MA60" s="76" t="str">
        <f aca="false">IF($I60&gt;0%,IF(AND(MA$16&gt;=$F60,MA$16&lt;$F60+($G60*$I60)),"➤",""),"")</f>
        <v/>
      </c>
      <c r="MB60" s="76" t="str">
        <f aca="false">IF($I60&gt;0%,IF(AND(MB$16&gt;=$F60,MB$16&lt;$F60+($G60*$I60)),"➤",""),"")</f>
        <v/>
      </c>
      <c r="MC60" s="76" t="str">
        <f aca="false">IF($I60&gt;0%,IF(AND(MC$16&gt;=$F60,MC$16&lt;$F60+($G60*$I60)),"➤",""),"")</f>
        <v/>
      </c>
      <c r="MD60" s="76" t="str">
        <f aca="false">IF($I60&gt;0%,IF(AND(MD$16&gt;=$F60,MD$16&lt;$F60+($G60*$I60)),"➤",""),"")</f>
        <v/>
      </c>
      <c r="ME60" s="76" t="str">
        <f aca="false">IF($I60&gt;0%,IF(AND(ME$16&gt;=$F60,ME$16&lt;$F60+($G60*$I60)),"➤",""),"")</f>
        <v/>
      </c>
      <c r="MF60" s="76" t="str">
        <f aca="false">IF($I60&gt;0%,IF(AND(MF$16&gt;=$F60,MF$16&lt;$F60+($G60*$I60)),"➤",""),"")</f>
        <v/>
      </c>
      <c r="MG60" s="76" t="str">
        <f aca="false">IF($I60&gt;0%,IF(AND(MG$16&gt;=$F60,MG$16&lt;$F60+($G60*$I60)),"➤",""),"")</f>
        <v/>
      </c>
      <c r="MH60" s="76" t="str">
        <f aca="false">IF($I60&gt;0%,IF(AND(MH$16&gt;=$F60,MH$16&lt;$F60+($G60*$I60)),"➤",""),"")</f>
        <v/>
      </c>
      <c r="MI60" s="76" t="str">
        <f aca="false">IF($I60&gt;0%,IF(AND(MI$16&gt;=$F60,MI$16&lt;$F60+($G60*$I60)),"➤",""),"")</f>
        <v/>
      </c>
      <c r="MJ60" s="76" t="str">
        <f aca="false">IF($I60&gt;0%,IF(AND(MJ$16&gt;=$F60,MJ$16&lt;$F60+($G60*$I60)),"➤",""),"")</f>
        <v/>
      </c>
      <c r="MK60" s="76" t="str">
        <f aca="false">IF($I60&gt;0%,IF(AND(MK$16&gt;=$F60,MK$16&lt;$F60+($G60*$I60)),"➤",""),"")</f>
        <v/>
      </c>
      <c r="ML60" s="76" t="str">
        <f aca="false">IF($I60&gt;0%,IF(AND(ML$16&gt;=$F60,ML$16&lt;$F60+($G60*$I60)),"➤",""),"")</f>
        <v/>
      </c>
      <c r="MM60" s="76" t="str">
        <f aca="false">IF($I60&gt;0%,IF(AND(MM$16&gt;=$F60,MM$16&lt;$F60+($G60*$I60)),"➤",""),"")</f>
        <v/>
      </c>
      <c r="MN60" s="76" t="str">
        <f aca="false">IF($I60&gt;0%,IF(AND(MN$16&gt;=$F60,MN$16&lt;$F60+($G60*$I60)),"➤",""),"")</f>
        <v/>
      </c>
      <c r="MO60" s="76" t="str">
        <f aca="false">IF($I60&gt;0%,IF(AND(MO$16&gt;=$F60,MO$16&lt;$F60+($G60*$I60)),"➤",""),"")</f>
        <v/>
      </c>
      <c r="MP60" s="76" t="str">
        <f aca="false">IF($I60&gt;0%,IF(AND(MP$16&gt;=$F60,MP$16&lt;$F60+($G60*$I60)),"➤",""),"")</f>
        <v/>
      </c>
      <c r="MQ60" s="76" t="str">
        <f aca="false">IF($I60&gt;0%,IF(AND(MQ$16&gt;=$F60,MQ$16&lt;$F60+($G60*$I60)),"➤",""),"")</f>
        <v/>
      </c>
      <c r="MR60" s="76" t="str">
        <f aca="false">IF($I60&gt;0%,IF(AND(MR$16&gt;=$F60,MR$16&lt;$F60+($G60*$I60)),"➤",""),"")</f>
        <v/>
      </c>
      <c r="MS60" s="76" t="str">
        <f aca="false">IF($I60&gt;0%,IF(AND(MS$16&gt;=$F60,MS$16&lt;$F60+($G60*$I60)),"➤",""),"")</f>
        <v/>
      </c>
      <c r="MT60" s="76" t="str">
        <f aca="false">IF($I60&gt;0%,IF(AND(MT$16&gt;=$F60,MT$16&lt;$F60+($G60*$I60)),"➤",""),"")</f>
        <v/>
      </c>
      <c r="MU60" s="76" t="str">
        <f aca="false">IF($I60&gt;0%,IF(AND(MU$16&gt;=$F60,MU$16&lt;$F60+($G60*$I60)),"➤",""),"")</f>
        <v/>
      </c>
      <c r="MV60" s="76" t="str">
        <f aca="false">IF($I60&gt;0%,IF(AND(MV$16&gt;=$F60,MV$16&lt;$F60+($G60*$I60)),"➤",""),"")</f>
        <v/>
      </c>
      <c r="MW60" s="76" t="str">
        <f aca="false">IF($I60&gt;0%,IF(AND(MW$16&gt;=$F60,MW$16&lt;$F60+($G60*$I60)),"➤",""),"")</f>
        <v/>
      </c>
      <c r="MX60" s="76" t="str">
        <f aca="false">IF($I60&gt;0%,IF(AND(MX$16&gt;=$F60,MX$16&lt;$F60+($G60*$I60)),"➤",""),"")</f>
        <v/>
      </c>
      <c r="MY60" s="76" t="str">
        <f aca="false">IF($I60&gt;0%,IF(AND(MY$16&gt;=$F60,MY$16&lt;$F60+($G60*$I60)),"➤",""),"")</f>
        <v/>
      </c>
      <c r="MZ60" s="76" t="str">
        <f aca="false">IF($I60&gt;0%,IF(AND(MZ$16&gt;=$F60,MZ$16&lt;$F60+($G60*$I60)),"➤",""),"")</f>
        <v/>
      </c>
      <c r="NA60" s="76" t="str">
        <f aca="false">IF($I60&gt;0%,IF(AND(NA$16&gt;=$F60,NA$16&lt;$F60+($G60*$I60)),"➤",""),"")</f>
        <v/>
      </c>
      <c r="NB60" s="76" t="str">
        <f aca="false">IF($I60&gt;0%,IF(AND(NB$16&gt;=$F60,NB$16&lt;$F60+($G60*$I60)),"➤",""),"")</f>
        <v/>
      </c>
      <c r="NC60" s="76" t="str">
        <f aca="false">IF($I60&gt;0%,IF(AND(NC$16&gt;=$F60,NC$16&lt;$F60+($G60*$I60)),"➤",""),"")</f>
        <v/>
      </c>
      <c r="ND60" s="76" t="str">
        <f aca="false">IF($I60&gt;0%,IF(AND(ND$16&gt;=$F60,ND$16&lt;$F60+($G60*$I60)),"➤",""),"")</f>
        <v/>
      </c>
      <c r="NE60" s="76" t="str">
        <f aca="false">IF($I60&gt;0%,IF(AND(NE$16&gt;=$F60,NE$16&lt;$F60+($G60*$I60)),"➤",""),"")</f>
        <v/>
      </c>
      <c r="NF60" s="76" t="str">
        <f aca="false">IF($I60&gt;0%,IF(AND(NF$16&gt;=$F60,NF$16&lt;$F60+($G60*$I60)),"➤",""),"")</f>
        <v/>
      </c>
      <c r="NG60" s="76" t="str">
        <f aca="false">IF($I60&gt;0%,IF(AND(NG$16&gt;=$F60,NG$16&lt;$F60+($G60*$I60)),"➤",""),"")</f>
        <v/>
      </c>
      <c r="NH60" s="76" t="str">
        <f aca="false">IF($I60&gt;0%,IF(AND(NH$16&gt;=$F60,NH$16&lt;$F60+($G60*$I60)),"➤",""),"")</f>
        <v/>
      </c>
      <c r="NI60" s="76" t="str">
        <f aca="false">IF($I60&gt;0%,IF(AND(NI$16&gt;=$F60,NI$16&lt;$F60+($G60*$I60)),"➤",""),"")</f>
        <v/>
      </c>
      <c r="NJ60" s="76" t="str">
        <f aca="false">IF($I60&gt;0%,IF(AND(NJ$16&gt;=$F60,NJ$16&lt;$F60+($G60*$I60)),"➤",""),"")</f>
        <v/>
      </c>
      <c r="NK60" s="76" t="str">
        <f aca="false">IF($I60&gt;0%,IF(AND(NK$16&gt;=$F60,NK$16&lt;$F60+($G60*$I60)),"➤",""),"")</f>
        <v/>
      </c>
      <c r="NL60" s="76" t="str">
        <f aca="false">IF($I60&gt;0%,IF(AND(NL$16&gt;=$F60,NL$16&lt;$F60+($G60*$I60)),"➤",""),"")</f>
        <v/>
      </c>
      <c r="NM60" s="76" t="str">
        <f aca="false">IF($I60&gt;0%,IF(AND(NM$16&gt;=$F60,NM$16&lt;$F60+($G60*$I60)),"➤",""),"")</f>
        <v/>
      </c>
      <c r="NN60" s="76" t="str">
        <f aca="false">IF($I60&gt;0%,IF(AND(NN$16&gt;=$F60,NN$16&lt;$F60+($G60*$I60)),"➤",""),"")</f>
        <v/>
      </c>
      <c r="NO60" s="76" t="str">
        <f aca="false">IF($I60&gt;0%,IF(AND(NO$16&gt;=$F60,NO$16&lt;$F60+($G60*$I60)),"➤",""),"")</f>
        <v/>
      </c>
      <c r="NP60" s="76" t="str">
        <f aca="false">IF($I60&gt;0%,IF(AND(NP$16&gt;=$F60,NP$16&lt;$F60+($G60*$I60)),"➤",""),"")</f>
        <v/>
      </c>
      <c r="NQ60" s="76" t="str">
        <f aca="false">IF($I60&gt;0%,IF(AND(NQ$16&gt;=$F60,NQ$16&lt;$F60+($G60*$I60)),"➤",""),"")</f>
        <v/>
      </c>
      <c r="NR60" s="76" t="str">
        <f aca="false">IF($I60&gt;0%,IF(AND(NR$16&gt;=$F60,NR$16&lt;$F60+($G60*$I60)),"➤",""),"")</f>
        <v/>
      </c>
      <c r="NS60" s="76" t="str">
        <f aca="false">IF($I60&gt;0%,IF(AND(NS$16&gt;=$F60,NS$16&lt;$F60+($G60*$I60)),"➤",""),"")</f>
        <v/>
      </c>
      <c r="NT60" s="76" t="str">
        <f aca="false">IF($I60&gt;0%,IF(AND(NT$16&gt;=$F60,NT$16&lt;$F60+($G60*$I60)),"➤",""),"")</f>
        <v/>
      </c>
      <c r="NU60" s="76" t="str">
        <f aca="false">IF($I60&gt;0%,IF(AND(NU$16&gt;=$F60,NU$16&lt;$F60+($G60*$I60)),"➤",""),"")</f>
        <v/>
      </c>
      <c r="NV60" s="76" t="str">
        <f aca="false">IF($I60&gt;0%,IF(AND(NV$16&gt;=$F60,NV$16&lt;$F60+($G60*$I60)),"➤",""),"")</f>
        <v/>
      </c>
      <c r="NW60" s="76" t="str">
        <f aca="false">IF($I60&gt;0%,IF(AND(NW$16&gt;=$F60,NW$16&lt;$F60+($G60*$I60)),"➤",""),"")</f>
        <v/>
      </c>
      <c r="NX60" s="76" t="str">
        <f aca="false">IF($I60&gt;0%,IF(AND(NX$16&gt;=$F60,NX$16&lt;$F60+($G60*$I60)),"➤",""),"")</f>
        <v/>
      </c>
      <c r="NY60" s="76" t="str">
        <f aca="false">IF($I60&gt;0%,IF(AND(NY$16&gt;=$F60,NY$16&lt;$F60+($G60*$I60)),"➤",""),"")</f>
        <v/>
      </c>
      <c r="NZ60" s="76" t="str">
        <f aca="false">IF($I60&gt;0%,IF(AND(NZ$16&gt;=$F60,NZ$16&lt;$F60+($G60*$I60)),"➤",""),"")</f>
        <v/>
      </c>
      <c r="OA60" s="76" t="str">
        <f aca="false">IF($I60&gt;0%,IF(AND(OA$16&gt;=$F60,OA$16&lt;$F60+($G60*$I60)),"➤",""),"")</f>
        <v/>
      </c>
      <c r="OB60" s="76" t="str">
        <f aca="false">IF($I60&gt;0%,IF(AND(OB$16&gt;=$F60,OB$16&lt;$F60+($G60*$I60)),"➤",""),"")</f>
        <v/>
      </c>
      <c r="OC60" s="76" t="str">
        <f aca="false">IF($I60&gt;0%,IF(AND(OC$16&gt;=$F60,OC$16&lt;$F60+($G60*$I60)),"➤",""),"")</f>
        <v/>
      </c>
      <c r="OD60" s="76" t="str">
        <f aca="false">IF($I60&gt;0%,IF(AND(OD$16&gt;=$F60,OD$16&lt;$F60+($G60*$I60)),"➤",""),"")</f>
        <v/>
      </c>
      <c r="OE60" s="76" t="str">
        <f aca="false">IF($I60&gt;0%,IF(AND(OE$16&gt;=$F60,OE$16&lt;$F60+($G60*$I60)),"➤",""),"")</f>
        <v/>
      </c>
      <c r="OF60" s="76" t="str">
        <f aca="false">IF($I60&gt;0%,IF(AND(OF$16&gt;=$F60,OF$16&lt;$F60+($G60*$I60)),"➤",""),"")</f>
        <v/>
      </c>
      <c r="OG60" s="76" t="str">
        <f aca="false">IF($I60&gt;0%,IF(AND(OG$16&gt;=$F60,OG$16&lt;$F60+($G60*$I60)),"➤",""),"")</f>
        <v/>
      </c>
      <c r="OH60" s="76" t="str">
        <f aca="false">IF($I60&gt;0%,IF(AND(OH$16&gt;=$F60,OH$16&lt;$F60+($G60*$I60)),"➤",""),"")</f>
        <v/>
      </c>
      <c r="OI60" s="76" t="str">
        <f aca="false">IF($I60&gt;0%,IF(AND(OI$16&gt;=$F60,OI$16&lt;$F60+($G60*$I60)),"➤",""),"")</f>
        <v/>
      </c>
      <c r="OJ60" s="76" t="str">
        <f aca="false">IF($I60&gt;0%,IF(AND(OJ$16&gt;=$F60,OJ$16&lt;$F60+($G60*$I60)),"➤",""),"")</f>
        <v/>
      </c>
      <c r="OK60" s="76" t="str">
        <f aca="false">IF($I60&gt;0%,IF(AND(OK$16&gt;=$F60,OK$16&lt;$F60+($G60*$I60)),"➤",""),"")</f>
        <v/>
      </c>
      <c r="OL60" s="76" t="str">
        <f aca="false">IF($I60&gt;0%,IF(AND(OL$16&gt;=$F60,OL$16&lt;$F60+($G60*$I60)),"➤",""),"")</f>
        <v/>
      </c>
      <c r="OM60" s="76" t="str">
        <f aca="false">IF($I60&gt;0%,IF(AND(OM$16&gt;=$F60,OM$16&lt;$F60+($G60*$I60)),"➤",""),"")</f>
        <v/>
      </c>
      <c r="ON60" s="76" t="str">
        <f aca="false">IF($I60&gt;0%,IF(AND(ON$16&gt;=$F60,ON$16&lt;$F60+($G60*$I60)),"➤",""),"")</f>
        <v/>
      </c>
      <c r="OO60" s="76" t="str">
        <f aca="false">IF($I60&gt;0%,IF(AND(OO$16&gt;=$F60,OO$16&lt;$F60+($G60*$I60)),"➤",""),"")</f>
        <v/>
      </c>
      <c r="OP60" s="76" t="str">
        <f aca="false">IF($I60&gt;0%,IF(AND(OP$16&gt;=$F60,OP$16&lt;$F60+($G60*$I60)),"➤",""),"")</f>
        <v/>
      </c>
      <c r="OQ60" s="76" t="str">
        <f aca="false">IF($I60&gt;0%,IF(AND(OQ$16&gt;=$F60,OQ$16&lt;$F60+($G60*$I60)),"➤",""),"")</f>
        <v/>
      </c>
      <c r="OR60" s="76" t="str">
        <f aca="false">IF($I60&gt;0%,IF(AND(OR$16&gt;=$F60,OR$16&lt;$F60+($G60*$I60)),"➤",""),"")</f>
        <v/>
      </c>
      <c r="OS60" s="76" t="str">
        <f aca="false">IF($I60&gt;0%,IF(AND(OS$16&gt;=$F60,OS$16&lt;$F60+($G60*$I60)),"➤",""),"")</f>
        <v/>
      </c>
      <c r="OT60" s="76" t="str">
        <f aca="false">IF($I60&gt;0%,IF(AND(OT$16&gt;=$F60,OT$16&lt;$F60+($G60*$I60)),"➤",""),"")</f>
        <v/>
      </c>
      <c r="OU60" s="76" t="str">
        <f aca="false">IF($I60&gt;0%,IF(AND(OU$16&gt;=$F60,OU$16&lt;$F60+($G60*$I60)),"➤",""),"")</f>
        <v/>
      </c>
      <c r="OV60" s="76" t="str">
        <f aca="false">IF($I60&gt;0%,IF(AND(OV$16&gt;=$F60,OV$16&lt;$F60+($G60*$I60)),"➤",""),"")</f>
        <v/>
      </c>
      <c r="OW60" s="76" t="str">
        <f aca="false">IF($I60&gt;0%,IF(AND(OW$16&gt;=$F60,OW$16&lt;$F60+($G60*$I60)),"➤",""),"")</f>
        <v/>
      </c>
      <c r="OX60" s="76" t="str">
        <f aca="false">IF($I60&gt;0%,IF(AND(OX$16&gt;=$F60,OX$16&lt;$F60+($G60*$I60)),"➤",""),"")</f>
        <v/>
      </c>
      <c r="OY60" s="76" t="str">
        <f aca="false">IF($I60&gt;0%,IF(AND(OY$16&gt;=$F60,OY$16&lt;$F60+($G60*$I60)),"➤",""),"")</f>
        <v/>
      </c>
      <c r="OZ60" s="76" t="str">
        <f aca="false">IF($I60&gt;0%,IF(AND(OZ$16&gt;=$F60,OZ$16&lt;$F60+($G60*$I60)),"➤",""),"")</f>
        <v/>
      </c>
      <c r="PA60" s="76" t="str">
        <f aca="false">IF($I60&gt;0%,IF(AND(PA$16&gt;=$F60,PA$16&lt;$F60+($G60*$I60)),"➤",""),"")</f>
        <v/>
      </c>
      <c r="PB60" s="76" t="str">
        <f aca="false">IF($I60&gt;0%,IF(AND(PB$16&gt;=$F60,PB$16&lt;$F60+($G60*$I60)),"➤",""),"")</f>
        <v/>
      </c>
      <c r="PC60" s="76" t="str">
        <f aca="false">IF($I60&gt;0%,IF(AND(PC$16&gt;=$F60,PC$16&lt;$F60+($G60*$I60)),"➤",""),"")</f>
        <v/>
      </c>
      <c r="PD60" s="76" t="str">
        <f aca="false">IF($I60&gt;0%,IF(AND(PD$16&gt;=$F60,PD$16&lt;$F60+($G60*$I60)),"➤",""),"")</f>
        <v/>
      </c>
      <c r="PE60" s="76" t="str">
        <f aca="false">IF($I60&gt;0%,IF(AND(PE$16&gt;=$F60,PE$16&lt;$F60+($G60*$I60)),"➤",""),"")</f>
        <v/>
      </c>
      <c r="PF60" s="76" t="str">
        <f aca="false">IF($I60&gt;0%,IF(AND(PF$16&gt;=$F60,PF$16&lt;$F60+($G60*$I60)),"➤",""),"")</f>
        <v/>
      </c>
      <c r="PG60" s="76" t="str">
        <f aca="false">IF($I60&gt;0%,IF(AND(PG$16&gt;=$F60,PG$16&lt;$F60+($G60*$I60)),"➤",""),"")</f>
        <v/>
      </c>
      <c r="PH60" s="76" t="str">
        <f aca="false">IF($I60&gt;0%,IF(AND(PH$16&gt;=$F60,PH$16&lt;$F60+($G60*$I60)),"➤",""),"")</f>
        <v/>
      </c>
      <c r="PI60" s="76" t="str">
        <f aca="false">IF($I60&gt;0%,IF(AND(PI$16&gt;=$F60,PI$16&lt;$F60+($G60*$I60)),"➤",""),"")</f>
        <v/>
      </c>
      <c r="PJ60" s="76" t="str">
        <f aca="false">IF($I60&gt;0%,IF(AND(PJ$16&gt;=$F60,PJ$16&lt;$F60+($G60*$I60)),"➤",""),"")</f>
        <v/>
      </c>
      <c r="PK60" s="76" t="str">
        <f aca="false">IF($I60&gt;0%,IF(AND(PK$16&gt;=$F60,PK$16&lt;$F60+($G60*$I60)),"➤",""),"")</f>
        <v/>
      </c>
      <c r="PL60" s="76" t="str">
        <f aca="false">IF($I60&gt;0%,IF(AND(PL$16&gt;=$F60,PL$16&lt;$F60+($G60*$I60)),"➤",""),"")</f>
        <v/>
      </c>
      <c r="PM60" s="76" t="str">
        <f aca="false">IF($I60&gt;0%,IF(AND(PM$16&gt;=$F60,PM$16&lt;$F60+($G60*$I60)),"➤",""),"")</f>
        <v/>
      </c>
      <c r="PN60" s="76" t="str">
        <f aca="false">IF($I60&gt;0%,IF(AND(PN$16&gt;=$F60,PN$16&lt;$F60+($G60*$I60)),"➤",""),"")</f>
        <v/>
      </c>
      <c r="PO60" s="76" t="str">
        <f aca="false">IF($I60&gt;0%,IF(AND(PO$16&gt;=$F60,PO$16&lt;$F60+($G60*$I60)),"➤",""),"")</f>
        <v/>
      </c>
      <c r="PP60" s="76" t="str">
        <f aca="false">IF($I60&gt;0%,IF(AND(PP$16&gt;=$F60,PP$16&lt;$F60+($G60*$I60)),"➤",""),"")</f>
        <v/>
      </c>
      <c r="PQ60" s="76" t="str">
        <f aca="false">IF($I60&gt;0%,IF(AND(PQ$16&gt;=$F60,PQ$16&lt;$F60+($G60*$I60)),"➤",""),"")</f>
        <v/>
      </c>
      <c r="PR60" s="76" t="str">
        <f aca="false">IF($I60&gt;0%,IF(AND(PR$16&gt;=$F60,PR$16&lt;$F60+($G60*$I60)),"➤",""),"")</f>
        <v/>
      </c>
      <c r="PS60" s="76" t="str">
        <f aca="false">IF($I60&gt;0%,IF(AND(PS$16&gt;=$F60,PS$16&lt;$F60+($G60*$I60)),"➤",""),"")</f>
        <v/>
      </c>
      <c r="PT60" s="76" t="str">
        <f aca="false">IF($I60&gt;0%,IF(AND(PT$16&gt;=$F60,PT$16&lt;$F60+($G60*$I60)),"➤",""),"")</f>
        <v/>
      </c>
      <c r="PU60" s="76" t="str">
        <f aca="false">IF($I60&gt;0%,IF(AND(PU$16&gt;=$F60,PU$16&lt;$F60+($G60*$I60)),"➤",""),"")</f>
        <v/>
      </c>
      <c r="PV60" s="76" t="str">
        <f aca="false">IF($I60&gt;0%,IF(AND(PV$16&gt;=$F60,PV$16&lt;$F60+($G60*$I60)),"➤",""),"")</f>
        <v/>
      </c>
      <c r="PW60" s="76" t="str">
        <f aca="false">IF($I60&gt;0%,IF(AND(PW$16&gt;=$F60,PW$16&lt;$F60+($G60*$I60)),"➤",""),"")</f>
        <v/>
      </c>
      <c r="PX60" s="76" t="str">
        <f aca="false">IF($I60&gt;0%,IF(AND(PX$16&gt;=$F60,PX$16&lt;$F60+($G60*$I60)),"➤",""),"")</f>
        <v/>
      </c>
      <c r="PY60" s="76" t="str">
        <f aca="false">IF($I60&gt;0%,IF(AND(PY$16&gt;=$F60,PY$16&lt;$F60+($G60*$I60)),"➤",""),"")</f>
        <v/>
      </c>
      <c r="PZ60" s="76" t="str">
        <f aca="false">IF($I60&gt;0%,IF(AND(PZ$16&gt;=$F60,PZ$16&lt;$F60+($G60*$I60)),"➤",""),"")</f>
        <v/>
      </c>
      <c r="QA60" s="76" t="str">
        <f aca="false">IF($I60&gt;0%,IF(AND(QA$16&gt;=$F60,QA$16&lt;$F60+($G60*$I60)),"➤",""),"")</f>
        <v/>
      </c>
      <c r="QB60" s="76" t="str">
        <f aca="false">IF($I60&gt;0%,IF(AND(QB$16&gt;=$F60,QB$16&lt;$F60+($G60*$I60)),"➤",""),"")</f>
        <v/>
      </c>
      <c r="QC60" s="76" t="str">
        <f aca="false">IF($I60&gt;0%,IF(AND(QC$16&gt;=$F60,QC$16&lt;$F60+($G60*$I60)),"➤",""),"")</f>
        <v/>
      </c>
      <c r="QD60" s="76" t="str">
        <f aca="false">IF($I60&gt;0%,IF(AND(QD$16&gt;=$F60,QD$16&lt;$F60+($G60*$I60)),"➤",""),"")</f>
        <v/>
      </c>
      <c r="QE60" s="76" t="str">
        <f aca="false">IF($I60&gt;0%,IF(AND(QE$16&gt;=$F60,QE$16&lt;$F60+($G60*$I60)),"➤",""),"")</f>
        <v/>
      </c>
      <c r="QF60" s="76" t="str">
        <f aca="false">IF($I60&gt;0%,IF(AND(QF$16&gt;=$F60,QF$16&lt;$F60+($G60*$I60)),"➤",""),"")</f>
        <v/>
      </c>
      <c r="QG60" s="76" t="str">
        <f aca="false">IF($I60&gt;0%,IF(AND(QG$16&gt;=$F60,QG$16&lt;$F60+($G60*$I60)),"➤",""),"")</f>
        <v/>
      </c>
      <c r="QH60" s="76" t="str">
        <f aca="false">IF($I60&gt;0%,IF(AND(QH$16&gt;=$F60,QH$16&lt;$F60+($G60*$I60)),"➤",""),"")</f>
        <v/>
      </c>
      <c r="QI60" s="76" t="str">
        <f aca="false">IF($I60&gt;0%,IF(AND(QI$16&gt;=$F60,QI$16&lt;$F60+($G60*$I60)),"➤",""),"")</f>
        <v/>
      </c>
      <c r="QJ60" s="76" t="str">
        <f aca="false">IF($I60&gt;0%,IF(AND(QJ$16&gt;=$F60,QJ$16&lt;$F60+($G60*$I60)),"➤",""),"")</f>
        <v/>
      </c>
      <c r="QK60" s="76" t="str">
        <f aca="false">IF($I60&gt;0%,IF(AND(QK$16&gt;=$F60,QK$16&lt;$F60+($G60*$I60)),"➤",""),"")</f>
        <v/>
      </c>
      <c r="QL60" s="76" t="str">
        <f aca="false">IF($I60&gt;0%,IF(AND(QL$16&gt;=$F60,QL$16&lt;$F60+($G60*$I60)),"➤",""),"")</f>
        <v/>
      </c>
      <c r="QM60" s="76" t="str">
        <f aca="false">IF($I60&gt;0%,IF(AND(QM$16&gt;=$F60,QM$16&lt;$F60+($G60*$I60)),"➤",""),"")</f>
        <v/>
      </c>
      <c r="QN60" s="76" t="str">
        <f aca="false">IF($I60&gt;0%,IF(AND(QN$16&gt;=$F60,QN$16&lt;$F60+($G60*$I60)),"➤",""),"")</f>
        <v/>
      </c>
      <c r="QO60" s="76" t="str">
        <f aca="false">IF($I60&gt;0%,IF(AND(QO$16&gt;=$F60,QO$16&lt;$F60+($G60*$I60)),"➤",""),"")</f>
        <v/>
      </c>
      <c r="QP60" s="76" t="str">
        <f aca="false">IF($I60&gt;0%,IF(AND(QP$16&gt;=$F60,QP$16&lt;$F60+($G60*$I60)),"➤",""),"")</f>
        <v/>
      </c>
      <c r="QQ60" s="76" t="str">
        <f aca="false">IF($I60&gt;0%,IF(AND(QQ$16&gt;=$F60,QQ$16&lt;$F60+($G60*$I60)),"➤",""),"")</f>
        <v/>
      </c>
      <c r="QR60" s="76" t="str">
        <f aca="false">IF($I60&gt;0%,IF(AND(QR$16&gt;=$F60,QR$16&lt;$F60+($G60*$I60)),"➤",""),"")</f>
        <v/>
      </c>
      <c r="QS60" s="76" t="str">
        <f aca="false">IF($I60&gt;0%,IF(AND(QS$16&gt;=$F60,QS$16&lt;$F60+($G60*$I60)),"➤",""),"")</f>
        <v/>
      </c>
      <c r="QT60" s="76" t="str">
        <f aca="false">IF($I60&gt;0%,IF(AND(QT$16&gt;=$F60,QT$16&lt;$F60+($G60*$I60)),"➤",""),"")</f>
        <v/>
      </c>
      <c r="QU60" s="76" t="str">
        <f aca="false">IF($I60&gt;0%,IF(AND(QU$16&gt;=$F60,QU$16&lt;$F60+($G60*$I60)),"➤",""),"")</f>
        <v/>
      </c>
      <c r="QV60" s="76" t="str">
        <f aca="false">IF($I60&gt;0%,IF(AND(QV$16&gt;=$F60,QV$16&lt;$F60+($G60*$I60)),"➤",""),"")</f>
        <v/>
      </c>
      <c r="QW60" s="76" t="str">
        <f aca="false">IF($I60&gt;0%,IF(AND(QW$16&gt;=$F60,QW$16&lt;$F60+($G60*$I60)),"➤",""),"")</f>
        <v/>
      </c>
      <c r="QX60" s="76" t="str">
        <f aca="false">IF($I60&gt;0%,IF(AND(QX$16&gt;=$F60,QX$16&lt;$F60+($G60*$I60)),"➤",""),"")</f>
        <v/>
      </c>
      <c r="QY60" s="76" t="str">
        <f aca="false">IF($I60&gt;0%,IF(AND(QY$16&gt;=$F60,QY$16&lt;$F60+($G60*$I60)),"➤",""),"")</f>
        <v/>
      </c>
      <c r="QZ60" s="76" t="str">
        <f aca="false">IF($I60&gt;0%,IF(AND(QZ$16&gt;=$F60,QZ$16&lt;$F60+($G60*$I60)),"➤",""),"")</f>
        <v/>
      </c>
      <c r="RA60" s="76" t="str">
        <f aca="false">IF($I60&gt;0%,IF(AND(RA$16&gt;=$F60,RA$16&lt;$F60+($G60*$I60)),"➤",""),"")</f>
        <v/>
      </c>
      <c r="RB60" s="76" t="str">
        <f aca="false">IF($I60&gt;0%,IF(AND(RB$16&gt;=$F60,RB$16&lt;$F60+($G60*$I60)),"➤",""),"")</f>
        <v/>
      </c>
      <c r="RC60" s="76" t="str">
        <f aca="false">IF($I60&gt;0%,IF(AND(RC$16&gt;=$F60,RC$16&lt;$F60+($G60*$I60)),"➤",""),"")</f>
        <v/>
      </c>
      <c r="RD60" s="76" t="str">
        <f aca="false">IF($I60&gt;0%,IF(AND(RD$16&gt;=$F60,RD$16&lt;$F60+($G60*$I60)),"➤",""),"")</f>
        <v/>
      </c>
      <c r="RE60" s="76" t="str">
        <f aca="false">IF($I60&gt;0%,IF(AND(RE$16&gt;=$F60,RE$16&lt;$F60+($G60*$I60)),"➤",""),"")</f>
        <v/>
      </c>
      <c r="RF60" s="76" t="str">
        <f aca="false">IF($I60&gt;0%,IF(AND(RF$16&gt;=$F60,RF$16&lt;$F60+($G60*$I60)),"➤",""),"")</f>
        <v/>
      </c>
      <c r="RG60" s="76" t="str">
        <f aca="false">IF($I60&gt;0%,IF(AND(RG$16&gt;=$F60,RG$16&lt;$F60+($G60*$I60)),"➤",""),"")</f>
        <v/>
      </c>
      <c r="RH60" s="76" t="str">
        <f aca="false">IF($I60&gt;0%,IF(AND(RH$16&gt;=$F60,RH$16&lt;$F60+($G60*$I60)),"➤",""),"")</f>
        <v/>
      </c>
      <c r="RI60" s="76" t="str">
        <f aca="false">IF($I60&gt;0%,IF(AND(RI$16&gt;=$F60,RI$16&lt;$F60+($G60*$I60)),"➤",""),"")</f>
        <v/>
      </c>
      <c r="RJ60" s="76" t="str">
        <f aca="false">IF($I60&gt;0%,IF(AND(RJ$16&gt;=$F60,RJ$16&lt;$F60+($G60*$I60)),"➤",""),"")</f>
        <v/>
      </c>
      <c r="RK60" s="76" t="str">
        <f aca="false">IF($I60&gt;0%,IF(AND(RK$16&gt;=$F60,RK$16&lt;$F60+($G60*$I60)),"➤",""),"")</f>
        <v/>
      </c>
      <c r="RL60" s="76" t="str">
        <f aca="false">IF($I60&gt;0%,IF(AND(RL$16&gt;=$F60,RL$16&lt;$F60+($G60*$I60)),"➤",""),"")</f>
        <v/>
      </c>
      <c r="RM60" s="76" t="str">
        <f aca="false">IF($I60&gt;0%,IF(AND(RM$16&gt;=$F60,RM$16&lt;$F60+($G60*$I60)),"➤",""),"")</f>
        <v/>
      </c>
      <c r="RN60" s="76" t="str">
        <f aca="false">IF($I60&gt;0%,IF(AND(RN$16&gt;=$F60,RN$16&lt;$F60+($G60*$I60)),"➤",""),"")</f>
        <v/>
      </c>
      <c r="RO60" s="76" t="str">
        <f aca="false">IF($I60&gt;0%,IF(AND(RO$16&gt;=$F60,RO$16&lt;$F60+($G60*$I60)),"➤",""),"")</f>
        <v/>
      </c>
      <c r="RP60" s="76" t="str">
        <f aca="false">IF($I60&gt;0%,IF(AND(RP$16&gt;=$F60,RP$16&lt;$F60+($G60*$I60)),"➤",""),"")</f>
        <v/>
      </c>
      <c r="RQ60" s="76" t="str">
        <f aca="false">IF($I60&gt;0%,IF(AND(RQ$16&gt;=$F60,RQ$16&lt;$F60+($G60*$I60)),"➤",""),"")</f>
        <v/>
      </c>
      <c r="RR60" s="76" t="str">
        <f aca="false">IF($I60&gt;0%,IF(AND(RR$16&gt;=$F60,RR$16&lt;$F60+($G60*$I60)),"➤",""),"")</f>
        <v/>
      </c>
      <c r="RS60" s="76" t="str">
        <f aca="false">IF($I60&gt;0%,IF(AND(RS$16&gt;=$F60,RS$16&lt;$F60+($G60*$I60)),"➤",""),"")</f>
        <v/>
      </c>
      <c r="RT60" s="76" t="str">
        <f aca="false">IF($I60&gt;0%,IF(AND(RT$16&gt;=$F60,RT$16&lt;$F60+($G60*$I60)),"➤",""),"")</f>
        <v/>
      </c>
      <c r="RU60" s="76" t="str">
        <f aca="false">IF($I60&gt;0%,IF(AND(RU$16&gt;=$F60,RU$16&lt;$F60+($G60*$I60)),"➤",""),"")</f>
        <v/>
      </c>
      <c r="RV60" s="76" t="str">
        <f aca="false">IF($I60&gt;0%,IF(AND(RV$16&gt;=$F60,RV$16&lt;$F60+($G60*$I60)),"➤",""),"")</f>
        <v/>
      </c>
      <c r="RW60" s="76" t="str">
        <f aca="false">IF($I60&gt;0%,IF(AND(RW$16&gt;=$F60,RW$16&lt;$F60+($G60*$I60)),"➤",""),"")</f>
        <v/>
      </c>
      <c r="RX60" s="76" t="str">
        <f aca="false">IF($I60&gt;0%,IF(AND(RX$16&gt;=$F60,RX$16&lt;$F60+($G60*$I60)),"➤",""),"")</f>
        <v/>
      </c>
      <c r="RY60" s="76" t="str">
        <f aca="false">IF($I60&gt;0%,IF(AND(RY$16&gt;=$F60,RY$16&lt;$F60+($G60*$I60)),"➤",""),"")</f>
        <v/>
      </c>
      <c r="RZ60" s="76" t="str">
        <f aca="false">IF($I60&gt;0%,IF(AND(RZ$16&gt;=$F60,RZ$16&lt;$F60+($G60*$I60)),"➤",""),"")</f>
        <v/>
      </c>
      <c r="SA60" s="76" t="str">
        <f aca="false">IF($I60&gt;0%,IF(AND(SA$16&gt;=$F60,SA$16&lt;$F60+($G60*$I60)),"➤",""),"")</f>
        <v/>
      </c>
      <c r="SB60" s="76" t="str">
        <f aca="false">IF($I60&gt;0%,IF(AND(SB$16&gt;=$F60,SB$16&lt;$F60+($G60*$I60)),"➤",""),"")</f>
        <v/>
      </c>
      <c r="SC60" s="76" t="str">
        <f aca="false">IF($I60&gt;0%,IF(AND(SC$16&gt;=$F60,SC$16&lt;$F60+($G60*$I60)),"➤",""),"")</f>
        <v/>
      </c>
      <c r="SD60" s="76" t="str">
        <f aca="false">IF($I60&gt;0%,IF(AND(SD$16&gt;=$F60,SD$16&lt;$F60+($G60*$I60)),"➤",""),"")</f>
        <v/>
      </c>
      <c r="SE60" s="76" t="str">
        <f aca="false">IF($I60&gt;0%,IF(AND(SE$16&gt;=$F60,SE$16&lt;$F60+($G60*$I60)),"➤",""),"")</f>
        <v/>
      </c>
      <c r="SF60" s="76" t="str">
        <f aca="false">IF($I60&gt;0%,IF(AND(SF$16&gt;=$F60,SF$16&lt;$F60+($G60*$I60)),"➤",""),"")</f>
        <v/>
      </c>
      <c r="SG60" s="76" t="str">
        <f aca="false">IF($I60&gt;0%,IF(AND(SG$16&gt;=$F60,SG$16&lt;$F60+($G60*$I60)),"➤",""),"")</f>
        <v/>
      </c>
      <c r="SH60" s="76" t="str">
        <f aca="false">IF($I60&gt;0%,IF(AND(SH$16&gt;=$F60,SH$16&lt;$F60+($G60*$I60)),"➤",""),"")</f>
        <v/>
      </c>
      <c r="SI60" s="76" t="str">
        <f aca="false">IF($I60&gt;0%,IF(AND(SI$16&gt;=$F60,SI$16&lt;$F60+($G60*$I60)),"➤",""),"")</f>
        <v/>
      </c>
      <c r="SJ60" s="76" t="str">
        <f aca="false">IF($I60&gt;0%,IF(AND(SJ$16&gt;=$F60,SJ$16&lt;$F60+($G60*$I60)),"➤",""),"")</f>
        <v/>
      </c>
      <c r="SK60" s="76" t="str">
        <f aca="false">IF($I60&gt;0%,IF(AND(SK$16&gt;=$F60,SK$16&lt;$F60+($G60*$I60)),"➤",""),"")</f>
        <v/>
      </c>
      <c r="SL60" s="76" t="str">
        <f aca="false">IF($I60&gt;0%,IF(AND(SL$16&gt;=$F60,SL$16&lt;$F60+($G60*$I60)),"➤",""),"")</f>
        <v/>
      </c>
      <c r="SM60" s="76" t="str">
        <f aca="false">IF($I60&gt;0%,IF(AND(SM$16&gt;=$F60,SM$16&lt;$F60+($G60*$I60)),"➤",""),"")</f>
        <v/>
      </c>
      <c r="SN60" s="76" t="str">
        <f aca="false">IF($I60&gt;0%,IF(AND(SN$16&gt;=$F60,SN$16&lt;$F60+($G60*$I60)),"➤",""),"")</f>
        <v/>
      </c>
      <c r="SO60" s="76" t="str">
        <f aca="false">IF($I60&gt;0%,IF(AND(SO$16&gt;=$F60,SO$16&lt;$F60+($G60*$I60)),"➤",""),"")</f>
        <v/>
      </c>
      <c r="SP60" s="76" t="str">
        <f aca="false">IF($I60&gt;0%,IF(AND(SP$16&gt;=$F60,SP$16&lt;$F60+($G60*$I60)),"➤",""),"")</f>
        <v/>
      </c>
      <c r="SQ60" s="76" t="str">
        <f aca="false">IF($I60&gt;0%,IF(AND(SQ$16&gt;=$F60,SQ$16&lt;$F60+($G60*$I60)),"➤",""),"")</f>
        <v/>
      </c>
      <c r="SR60" s="76" t="str">
        <f aca="false">IF($I60&gt;0%,IF(AND(SR$16&gt;=$F60,SR$16&lt;$F60+($G60*$I60)),"➤",""),"")</f>
        <v/>
      </c>
      <c r="SS60" s="76" t="str">
        <f aca="false">IF($I60&gt;0%,IF(AND(SS$16&gt;=$F60,SS$16&lt;$F60+($G60*$I60)),"➤",""),"")</f>
        <v/>
      </c>
      <c r="ST60" s="76" t="str">
        <f aca="false">IF($I60&gt;0%,IF(AND(ST$16&gt;=$F60,ST$16&lt;$F60+($G60*$I60)),"➤",""),"")</f>
        <v/>
      </c>
      <c r="SU60" s="76" t="str">
        <f aca="false">IF($I60&gt;0%,IF(AND(SU$16&gt;=$F60,SU$16&lt;$F60+($G60*$I60)),"➤",""),"")</f>
        <v/>
      </c>
      <c r="SV60" s="76" t="str">
        <f aca="false">IF($I60&gt;0%,IF(AND(SV$16&gt;=$F60,SV$16&lt;$F60+($G60*$I60)),"➤",""),"")</f>
        <v/>
      </c>
      <c r="SW60" s="77" t="str">
        <f aca="false">IF($I60&gt;0%,IF(AND(SW$16&gt;=$F60,SW$16&lt;$F60+($G60*$I60)),"➤",""),"")</f>
        <v/>
      </c>
    </row>
    <row r="61" customFormat="false" ht="14.25" hidden="false" customHeight="false" outlineLevel="1" collapsed="false">
      <c r="C61" s="10"/>
      <c r="D61" s="112"/>
      <c r="E61" s="79"/>
      <c r="F61" s="92" t="n">
        <v>44201</v>
      </c>
      <c r="G61" s="93" t="n">
        <v>5</v>
      </c>
      <c r="H61" s="96" t="n">
        <f aca="false">(F61+G61)-1</f>
        <v>44205</v>
      </c>
      <c r="I61" s="98" t="n">
        <v>0</v>
      </c>
      <c r="J61" s="84"/>
      <c r="K61" s="85"/>
      <c r="L61" s="75" t="str">
        <f aca="false">IF($I61&gt;0%,IF(AND(L$16&gt;=$F61,L$16&lt;$F61+($G61*$I61)),"➤",""),"")</f>
        <v/>
      </c>
      <c r="M61" s="76" t="str">
        <f aca="false">IF($I61&gt;0%,IF(AND(M$16&gt;=$F61,M$16&lt;$F61+($G61*$I61)),"➤",""),"")</f>
        <v/>
      </c>
      <c r="N61" s="76" t="str">
        <f aca="false">IF($I61&gt;0%,IF(AND(N$16&gt;=$F61,N$16&lt;$F61+($G61*$I61)),"➤",""),"")</f>
        <v/>
      </c>
      <c r="O61" s="76" t="str">
        <f aca="false">IF($I61&gt;0%,IF(AND(O$16&gt;=$F61,O$16&lt;$F61+($G61*$I61)),"➤",""),"")</f>
        <v/>
      </c>
      <c r="P61" s="76" t="str">
        <f aca="false">IF($I61&gt;0%,IF(AND(P$16&gt;=$F61,P$16&lt;$F61+($G61*$I61)),"➤",""),"")</f>
        <v/>
      </c>
      <c r="Q61" s="76" t="str">
        <f aca="false">IF($I61&gt;0%,IF(AND(Q$16&gt;=$F61,Q$16&lt;$F61+($G61*$I61)),"➤",""),"")</f>
        <v/>
      </c>
      <c r="R61" s="76" t="str">
        <f aca="false">IF($I61&gt;0%,IF(AND(R$16&gt;=$F61,R$16&lt;$F61+($G61*$I61)),"➤",""),"")</f>
        <v/>
      </c>
      <c r="S61" s="76" t="str">
        <f aca="false">IF($I61&gt;0%,IF(AND(S$16&gt;=$F61,S$16&lt;$F61+($G61*$I61)),"➤",""),"")</f>
        <v/>
      </c>
      <c r="T61" s="76" t="str">
        <f aca="false">IF($I61&gt;0%,IF(AND(T$16&gt;=$F61,T$16&lt;$F61+($G61*$I61)),"➤",""),"")</f>
        <v/>
      </c>
      <c r="U61" s="76" t="str">
        <f aca="false">IF($I61&gt;0%,IF(AND(U$16&gt;=$F61,U$16&lt;$F61+($G61*$I61)),"➤",""),"")</f>
        <v/>
      </c>
      <c r="V61" s="76" t="str">
        <f aca="false">IF($I61&gt;0%,IF(AND(V$16&gt;=$F61,V$16&lt;$F61+($G61*$I61)),"➤",""),"")</f>
        <v/>
      </c>
      <c r="W61" s="76" t="str">
        <f aca="false">IF($I61&gt;0%,IF(AND(W$16&gt;=$F61,W$16&lt;$F61+($G61*$I61)),"➤",""),"")</f>
        <v/>
      </c>
      <c r="X61" s="76" t="str">
        <f aca="false">IF($I61&gt;0%,IF(AND(X$16&gt;=$F61,X$16&lt;$F61+($G61*$I61)),"➤",""),"")</f>
        <v/>
      </c>
      <c r="Y61" s="76" t="str">
        <f aca="false">IF($I61&gt;0%,IF(AND(Y$16&gt;=$F61,Y$16&lt;$F61+($G61*$I61)),"➤",""),"")</f>
        <v/>
      </c>
      <c r="Z61" s="76" t="str">
        <f aca="false">IF($I61&gt;0%,IF(AND(Z$16&gt;=$F61,Z$16&lt;$F61+($G61*$I61)),"➤",""),"")</f>
        <v/>
      </c>
      <c r="AA61" s="76" t="str">
        <f aca="false">IF($I61&gt;0%,IF(AND(AA$16&gt;=$F61,AA$16&lt;$F61+($G61*$I61)),"➤",""),"")</f>
        <v/>
      </c>
      <c r="AB61" s="76" t="str">
        <f aca="false">IF($I61&gt;0%,IF(AND(AB$16&gt;=$F61,AB$16&lt;$F61+($G61*$I61)),"➤",""),"")</f>
        <v/>
      </c>
      <c r="AC61" s="76" t="str">
        <f aca="false">IF($I61&gt;0%,IF(AND(AC$16&gt;=$F61,AC$16&lt;$F61+($G61*$I61)),"➤",""),"")</f>
        <v/>
      </c>
      <c r="AD61" s="76" t="str">
        <f aca="false">IF($I61&gt;0%,IF(AND(AD$16&gt;=$F61,AD$16&lt;$F61+($G61*$I61)),"➤",""),"")</f>
        <v/>
      </c>
      <c r="AE61" s="76" t="str">
        <f aca="false">IF($I61&gt;0%,IF(AND(AE$16&gt;=$F61,AE$16&lt;$F61+($G61*$I61)),"➤",""),"")</f>
        <v/>
      </c>
      <c r="AF61" s="76" t="str">
        <f aca="false">IF($I61&gt;0%,IF(AND(AF$16&gt;=$F61,AF$16&lt;$F61+($G61*$I61)),"➤",""),"")</f>
        <v/>
      </c>
      <c r="AG61" s="76" t="str">
        <f aca="false">IF($I61&gt;0%,IF(AND(AG$16&gt;=$F61,AG$16&lt;$F61+($G61*$I61)),"➤",""),"")</f>
        <v/>
      </c>
      <c r="AH61" s="76" t="str">
        <f aca="false">IF($I61&gt;0%,IF(AND(AH$16&gt;=$F61,AH$16&lt;$F61+($G61*$I61)),"➤",""),"")</f>
        <v/>
      </c>
      <c r="AI61" s="76" t="str">
        <f aca="false">IF($I61&gt;0%,IF(AND(AI$16&gt;=$F61,AI$16&lt;$F61+($G61*$I61)),"➤",""),"")</f>
        <v/>
      </c>
      <c r="AJ61" s="76" t="str">
        <f aca="false">IF($I61&gt;0%,IF(AND(AJ$16&gt;=$F61,AJ$16&lt;$F61+($G61*$I61)),"➤",""),"")</f>
        <v/>
      </c>
      <c r="AK61" s="76" t="str">
        <f aca="false">IF($I61&gt;0%,IF(AND(AK$16&gt;=$F61,AK$16&lt;$F61+($G61*$I61)),"➤",""),"")</f>
        <v/>
      </c>
      <c r="AL61" s="76" t="str">
        <f aca="false">IF($I61&gt;0%,IF(AND(AL$16&gt;=$F61,AL$16&lt;$F61+($G61*$I61)),"➤",""),"")</f>
        <v/>
      </c>
      <c r="AM61" s="76" t="str">
        <f aca="false">IF($I61&gt;0%,IF(AND(AM$16&gt;=$F61,AM$16&lt;$F61+($G61*$I61)),"➤",""),"")</f>
        <v/>
      </c>
      <c r="AN61" s="76" t="str">
        <f aca="false">IF($I61&gt;0%,IF(AND(AN$16&gt;=$F61,AN$16&lt;$F61+($G61*$I61)),"➤",""),"")</f>
        <v/>
      </c>
      <c r="AO61" s="76" t="str">
        <f aca="false">IF($I61&gt;0%,IF(AND(AO$16&gt;=$F61,AO$16&lt;$F61+($G61*$I61)),"➤",""),"")</f>
        <v/>
      </c>
      <c r="AP61" s="76" t="str">
        <f aca="false">IF($I61&gt;0%,IF(AND(AP$16&gt;=$F61,AP$16&lt;$F61+($G61*$I61)),"➤",""),"")</f>
        <v/>
      </c>
      <c r="AQ61" s="76" t="str">
        <f aca="false">IF($I61&gt;0%,IF(AND(AQ$16&gt;=$F61,AQ$16&lt;$F61+($G61*$I61)),"➤",""),"")</f>
        <v/>
      </c>
      <c r="AR61" s="76" t="str">
        <f aca="false">IF($I61&gt;0%,IF(AND(AR$16&gt;=$F61,AR$16&lt;$F61+($G61*$I61)),"➤",""),"")</f>
        <v/>
      </c>
      <c r="AS61" s="76" t="str">
        <f aca="false">IF($I61&gt;0%,IF(AND(AS$16&gt;=$F61,AS$16&lt;$F61+($G61*$I61)),"➤",""),"")</f>
        <v/>
      </c>
      <c r="AT61" s="76" t="str">
        <f aca="false">IF($I61&gt;0%,IF(AND(AT$16&gt;=$F61,AT$16&lt;$F61+($G61*$I61)),"➤",""),"")</f>
        <v/>
      </c>
      <c r="AU61" s="76" t="str">
        <f aca="false">IF($I61&gt;0%,IF(AND(AU$16&gt;=$F61,AU$16&lt;$F61+($G61*$I61)),"➤",""),"")</f>
        <v/>
      </c>
      <c r="AV61" s="76" t="str">
        <f aca="false">IF($I61&gt;0%,IF(AND(AV$16&gt;=$F61,AV$16&lt;$F61+($G61*$I61)),"➤",""),"")</f>
        <v/>
      </c>
      <c r="AW61" s="76" t="str">
        <f aca="false">IF($I61&gt;0%,IF(AND(AW$16&gt;=$F61,AW$16&lt;$F61+($G61*$I61)),"➤",""),"")</f>
        <v/>
      </c>
      <c r="AX61" s="76" t="str">
        <f aca="false">IF($I61&gt;0%,IF(AND(AX$16&gt;=$F61,AX$16&lt;$F61+($G61*$I61)),"➤",""),"")</f>
        <v/>
      </c>
      <c r="AY61" s="76" t="str">
        <f aca="false">IF($I61&gt;0%,IF(AND(AY$16&gt;=$F61,AY$16&lt;$F61+($G61*$I61)),"➤",""),"")</f>
        <v/>
      </c>
      <c r="AZ61" s="76" t="str">
        <f aca="false">IF($I61&gt;0%,IF(AND(AZ$16&gt;=$F61,AZ$16&lt;$F61+($G61*$I61)),"➤",""),"")</f>
        <v/>
      </c>
      <c r="BA61" s="76" t="str">
        <f aca="false">IF($I61&gt;0%,IF(AND(BA$16&gt;=$F61,BA$16&lt;$F61+($G61*$I61)),"➤",""),"")</f>
        <v/>
      </c>
      <c r="BB61" s="76" t="str">
        <f aca="false">IF($I61&gt;0%,IF(AND(BB$16&gt;=$F61,BB$16&lt;$F61+($G61*$I61)),"➤",""),"")</f>
        <v/>
      </c>
      <c r="BC61" s="76" t="str">
        <f aca="false">IF($I61&gt;0%,IF(AND(BC$16&gt;=$F61,BC$16&lt;$F61+($G61*$I61)),"➤",""),"")</f>
        <v/>
      </c>
      <c r="BD61" s="76" t="str">
        <f aca="false">IF($I61&gt;0%,IF(AND(BD$16&gt;=$F61,BD$16&lt;$F61+($G61*$I61)),"➤",""),"")</f>
        <v/>
      </c>
      <c r="BE61" s="76" t="str">
        <f aca="false">IF($I61&gt;0%,IF(AND(BE$16&gt;=$F61,BE$16&lt;$F61+($G61*$I61)),"➤",""),"")</f>
        <v/>
      </c>
      <c r="BF61" s="76" t="str">
        <f aca="false">IF($I61&gt;0%,IF(AND(BF$16&gt;=$F61,BF$16&lt;$F61+($G61*$I61)),"➤",""),"")</f>
        <v/>
      </c>
      <c r="BG61" s="76" t="str">
        <f aca="false">IF($I61&gt;0%,IF(AND(BG$16&gt;=$F61,BG$16&lt;$F61+($G61*$I61)),"➤",""),"")</f>
        <v/>
      </c>
      <c r="BH61" s="76" t="str">
        <f aca="false">IF($I61&gt;0%,IF(AND(BH$16&gt;=$F61,BH$16&lt;$F61+($G61*$I61)),"➤",""),"")</f>
        <v/>
      </c>
      <c r="BI61" s="76" t="str">
        <f aca="false">IF($I61&gt;0%,IF(AND(BI$16&gt;=$F61,BI$16&lt;$F61+($G61*$I61)),"➤",""),"")</f>
        <v/>
      </c>
      <c r="BJ61" s="76" t="str">
        <f aca="false">IF($I61&gt;0%,IF(AND(BJ$16&gt;=$F61,BJ$16&lt;$F61+($G61*$I61)),"➤",""),"")</f>
        <v/>
      </c>
      <c r="BK61" s="76" t="str">
        <f aca="false">IF($I61&gt;0%,IF(AND(BK$16&gt;=$F61,BK$16&lt;$F61+($G61*$I61)),"➤",""),"")</f>
        <v/>
      </c>
      <c r="BL61" s="76" t="str">
        <f aca="false">IF($I61&gt;0%,IF(AND(BL$16&gt;=$F61,BL$16&lt;$F61+($G61*$I61)),"➤",""),"")</f>
        <v/>
      </c>
      <c r="BM61" s="76" t="str">
        <f aca="false">IF($I61&gt;0%,IF(AND(BM$16&gt;=$F61,BM$16&lt;$F61+($G61*$I61)),"➤",""),"")</f>
        <v/>
      </c>
      <c r="BN61" s="76" t="str">
        <f aca="false">IF($I61&gt;0%,IF(AND(BN$16&gt;=$F61,BN$16&lt;$F61+($G61*$I61)),"➤",""),"")</f>
        <v/>
      </c>
      <c r="BO61" s="76" t="str">
        <f aca="false">IF($I61&gt;0%,IF(AND(BO$16&gt;=$F61,BO$16&lt;$F61+($G61*$I61)),"➤",""),"")</f>
        <v/>
      </c>
      <c r="BP61" s="76" t="str">
        <f aca="false">IF($I61&gt;0%,IF(AND(BP$16&gt;=$F61,BP$16&lt;$F61+($G61*$I61)),"➤",""),"")</f>
        <v/>
      </c>
      <c r="BQ61" s="76" t="str">
        <f aca="false">IF($I61&gt;0%,IF(AND(BQ$16&gt;=$F61,BQ$16&lt;$F61+($G61*$I61)),"➤",""),"")</f>
        <v/>
      </c>
      <c r="BR61" s="76" t="str">
        <f aca="false">IF($I61&gt;0%,IF(AND(BR$16&gt;=$F61,BR$16&lt;$F61+($G61*$I61)),"➤",""),"")</f>
        <v/>
      </c>
      <c r="BS61" s="76" t="str">
        <f aca="false">IF($I61&gt;0%,IF(AND(BS$16&gt;=$F61,BS$16&lt;$F61+($G61*$I61)),"➤",""),"")</f>
        <v/>
      </c>
      <c r="BT61" s="76" t="str">
        <f aca="false">IF($I61&gt;0%,IF(AND(BT$16&gt;=$F61,BT$16&lt;$F61+($G61*$I61)),"➤",""),"")</f>
        <v/>
      </c>
      <c r="BU61" s="76" t="str">
        <f aca="false">IF($I61&gt;0%,IF(AND(BU$16&gt;=$F61,BU$16&lt;$F61+($G61*$I61)),"➤",""),"")</f>
        <v/>
      </c>
      <c r="BV61" s="76" t="str">
        <f aca="false">IF($I61&gt;0%,IF(AND(BV$16&gt;=$F61,BV$16&lt;$F61+($G61*$I61)),"➤",""),"")</f>
        <v/>
      </c>
      <c r="BW61" s="76" t="str">
        <f aca="false">IF($I61&gt;0%,IF(AND(BW$16&gt;=$F61,BW$16&lt;$F61+($G61*$I61)),"➤",""),"")</f>
        <v/>
      </c>
      <c r="BX61" s="76" t="str">
        <f aca="false">IF($I61&gt;0%,IF(AND(BX$16&gt;=$F61,BX$16&lt;$F61+($G61*$I61)),"➤",""),"")</f>
        <v/>
      </c>
      <c r="BY61" s="76" t="str">
        <f aca="false">IF($I61&gt;0%,IF(AND(BY$16&gt;=$F61,BY$16&lt;$F61+($G61*$I61)),"➤",""),"")</f>
        <v/>
      </c>
      <c r="BZ61" s="76" t="str">
        <f aca="false">IF($I61&gt;0%,IF(AND(BZ$16&gt;=$F61,BZ$16&lt;$F61+($G61*$I61)),"➤",""),"")</f>
        <v/>
      </c>
      <c r="CA61" s="76" t="str">
        <f aca="false">IF($I61&gt;0%,IF(AND(CA$16&gt;=$F61,CA$16&lt;$F61+($G61*$I61)),"➤",""),"")</f>
        <v/>
      </c>
      <c r="CB61" s="76" t="str">
        <f aca="false">IF($I61&gt;0%,IF(AND(CB$16&gt;=$F61,CB$16&lt;$F61+($G61*$I61)),"➤",""),"")</f>
        <v/>
      </c>
      <c r="CC61" s="76" t="str">
        <f aca="false">IF($I61&gt;0%,IF(AND(CC$16&gt;=$F61,CC$16&lt;$F61+($G61*$I61)),"➤",""),"")</f>
        <v/>
      </c>
      <c r="CD61" s="76" t="str">
        <f aca="false">IF($I61&gt;0%,IF(AND(CD$16&gt;=$F61,CD$16&lt;$F61+($G61*$I61)),"➤",""),"")</f>
        <v/>
      </c>
      <c r="CE61" s="76" t="str">
        <f aca="false">IF($I61&gt;0%,IF(AND(CE$16&gt;=$F61,CE$16&lt;$F61+($G61*$I61)),"➤",""),"")</f>
        <v/>
      </c>
      <c r="CF61" s="76" t="str">
        <f aca="false">IF($I61&gt;0%,IF(AND(CF$16&gt;=$F61,CF$16&lt;$F61+($G61*$I61)),"➤",""),"")</f>
        <v/>
      </c>
      <c r="CG61" s="76" t="str">
        <f aca="false">IF($I61&gt;0%,IF(AND(CG$16&gt;=$F61,CG$16&lt;$F61+($G61*$I61)),"➤",""),"")</f>
        <v/>
      </c>
      <c r="CH61" s="76" t="str">
        <f aca="false">IF($I61&gt;0%,IF(AND(CH$16&gt;=$F61,CH$16&lt;$F61+($G61*$I61)),"➤",""),"")</f>
        <v/>
      </c>
      <c r="CI61" s="76" t="str">
        <f aca="false">IF($I61&gt;0%,IF(AND(CI$16&gt;=$F61,CI$16&lt;$F61+($G61*$I61)),"➤",""),"")</f>
        <v/>
      </c>
      <c r="CJ61" s="76" t="str">
        <f aca="false">IF($I61&gt;0%,IF(AND(CJ$16&gt;=$F61,CJ$16&lt;$F61+($G61*$I61)),"➤",""),"")</f>
        <v/>
      </c>
      <c r="CK61" s="76" t="str">
        <f aca="false">IF($I61&gt;0%,IF(AND(CK$16&gt;=$F61,CK$16&lt;$F61+($G61*$I61)),"➤",""),"")</f>
        <v/>
      </c>
      <c r="CL61" s="76" t="str">
        <f aca="false">IF($I61&gt;0%,IF(AND(CL$16&gt;=$F61,CL$16&lt;$F61+($G61*$I61)),"➤",""),"")</f>
        <v/>
      </c>
      <c r="CM61" s="76" t="str">
        <f aca="false">IF($I61&gt;0%,IF(AND(CM$16&gt;=$F61,CM$16&lt;$F61+($G61*$I61)),"➤",""),"")</f>
        <v/>
      </c>
      <c r="CN61" s="76" t="str">
        <f aca="false">IF($I61&gt;0%,IF(AND(CN$16&gt;=$F61,CN$16&lt;$F61+($G61*$I61)),"➤",""),"")</f>
        <v/>
      </c>
      <c r="CO61" s="76" t="str">
        <f aca="false">IF($I61&gt;0%,IF(AND(CO$16&gt;=$F61,CO$16&lt;$F61+($G61*$I61)),"➤",""),"")</f>
        <v/>
      </c>
      <c r="CP61" s="76" t="str">
        <f aca="false">IF($I61&gt;0%,IF(AND(CP$16&gt;=$F61,CP$16&lt;$F61+($G61*$I61)),"➤",""),"")</f>
        <v/>
      </c>
      <c r="CQ61" s="76" t="str">
        <f aca="false">IF($I61&gt;0%,IF(AND(CQ$16&gt;=$F61,CQ$16&lt;$F61+($G61*$I61)),"➤",""),"")</f>
        <v/>
      </c>
      <c r="CR61" s="76" t="str">
        <f aca="false">IF($I61&gt;0%,IF(AND(CR$16&gt;=$F61,CR$16&lt;$F61+($G61*$I61)),"➤",""),"")</f>
        <v/>
      </c>
      <c r="CS61" s="76" t="str">
        <f aca="false">IF($I61&gt;0%,IF(AND(CS$16&gt;=$F61,CS$16&lt;$F61+($G61*$I61)),"➤",""),"")</f>
        <v/>
      </c>
      <c r="CT61" s="76" t="str">
        <f aca="false">IF($I61&gt;0%,IF(AND(CT$16&gt;=$F61,CT$16&lt;$F61+($G61*$I61)),"➤",""),"")</f>
        <v/>
      </c>
      <c r="CU61" s="76" t="str">
        <f aca="false">IF($I61&gt;0%,IF(AND(CU$16&gt;=$F61,CU$16&lt;$F61+($G61*$I61)),"➤",""),"")</f>
        <v/>
      </c>
      <c r="CV61" s="76" t="str">
        <f aca="false">IF($I61&gt;0%,IF(AND(CV$16&gt;=$F61,CV$16&lt;$F61+($G61*$I61)),"➤",""),"")</f>
        <v/>
      </c>
      <c r="CW61" s="76" t="str">
        <f aca="false">IF($I61&gt;0%,IF(AND(CW$16&gt;=$F61,CW$16&lt;$F61+($G61*$I61)),"➤",""),"")</f>
        <v/>
      </c>
      <c r="CX61" s="76" t="str">
        <f aca="false">IF($I61&gt;0%,IF(AND(CX$16&gt;=$F61,CX$16&lt;$F61+($G61*$I61)),"➤",""),"")</f>
        <v/>
      </c>
      <c r="CY61" s="76" t="str">
        <f aca="false">IF($I61&gt;0%,IF(AND(CY$16&gt;=$F61,CY$16&lt;$F61+($G61*$I61)),"➤",""),"")</f>
        <v/>
      </c>
      <c r="CZ61" s="76" t="str">
        <f aca="false">IF($I61&gt;0%,IF(AND(CZ$16&gt;=$F61,CZ$16&lt;$F61+($G61*$I61)),"➤",""),"")</f>
        <v/>
      </c>
      <c r="DA61" s="76" t="str">
        <f aca="false">IF($I61&gt;0%,IF(AND(DA$16&gt;=$F61,DA$16&lt;$F61+($G61*$I61)),"➤",""),"")</f>
        <v/>
      </c>
      <c r="DB61" s="76" t="str">
        <f aca="false">IF($I61&gt;0%,IF(AND(DB$16&gt;=$F61,DB$16&lt;$F61+($G61*$I61)),"➤",""),"")</f>
        <v/>
      </c>
      <c r="DC61" s="76" t="str">
        <f aca="false">IF($I61&gt;0%,IF(AND(DC$16&gt;=$F61,DC$16&lt;$F61+($G61*$I61)),"➤",""),"")</f>
        <v/>
      </c>
      <c r="DD61" s="76" t="str">
        <f aca="false">IF($I61&gt;0%,IF(AND(DD$16&gt;=$F61,DD$16&lt;$F61+($G61*$I61)),"➤",""),"")</f>
        <v/>
      </c>
      <c r="DE61" s="76" t="str">
        <f aca="false">IF($I61&gt;0%,IF(AND(DE$16&gt;=$F61,DE$16&lt;$F61+($G61*$I61)),"➤",""),"")</f>
        <v/>
      </c>
      <c r="DF61" s="76" t="str">
        <f aca="false">IF($I61&gt;0%,IF(AND(DF$16&gt;=$F61,DF$16&lt;$F61+($G61*$I61)),"➤",""),"")</f>
        <v/>
      </c>
      <c r="DG61" s="76" t="str">
        <f aca="false">IF($I61&gt;0%,IF(AND(DG$16&gt;=$F61,DG$16&lt;$F61+($G61*$I61)),"➤",""),"")</f>
        <v/>
      </c>
      <c r="DH61" s="76" t="str">
        <f aca="false">IF($I61&gt;0%,IF(AND(DH$16&gt;=$F61,DH$16&lt;$F61+($G61*$I61)),"➤",""),"")</f>
        <v/>
      </c>
      <c r="DI61" s="76" t="str">
        <f aca="false">IF($I61&gt;0%,IF(AND(DI$16&gt;=$F61,DI$16&lt;$F61+($G61*$I61)),"➤",""),"")</f>
        <v/>
      </c>
      <c r="DJ61" s="76" t="str">
        <f aca="false">IF($I61&gt;0%,IF(AND(DJ$16&gt;=$F61,DJ$16&lt;$F61+($G61*$I61)),"➤",""),"")</f>
        <v/>
      </c>
      <c r="DK61" s="76" t="str">
        <f aca="false">IF($I61&gt;0%,IF(AND(DK$16&gt;=$F61,DK$16&lt;$F61+($G61*$I61)),"➤",""),"")</f>
        <v/>
      </c>
      <c r="DL61" s="76" t="str">
        <f aca="false">IF($I61&gt;0%,IF(AND(DL$16&gt;=$F61,DL$16&lt;$F61+($G61*$I61)),"➤",""),"")</f>
        <v/>
      </c>
      <c r="DM61" s="76" t="str">
        <f aca="false">IF($I61&gt;0%,IF(AND(DM$16&gt;=$F61,DM$16&lt;$F61+($G61*$I61)),"➤",""),"")</f>
        <v/>
      </c>
      <c r="DN61" s="76" t="str">
        <f aca="false">IF($I61&gt;0%,IF(AND(DN$16&gt;=$F61,DN$16&lt;$F61+($G61*$I61)),"➤",""),"")</f>
        <v/>
      </c>
      <c r="DO61" s="76" t="str">
        <f aca="false">IF($I61&gt;0%,IF(AND(DO$16&gt;=$F61,DO$16&lt;$F61+($G61*$I61)),"➤",""),"")</f>
        <v/>
      </c>
      <c r="DP61" s="76" t="str">
        <f aca="false">IF($I61&gt;0%,IF(AND(DP$16&gt;=$F61,DP$16&lt;$F61+($G61*$I61)),"➤",""),"")</f>
        <v/>
      </c>
      <c r="DQ61" s="76" t="str">
        <f aca="false">IF($I61&gt;0%,IF(AND(DQ$16&gt;=$F61,DQ$16&lt;$F61+($G61*$I61)),"➤",""),"")</f>
        <v/>
      </c>
      <c r="DR61" s="76" t="str">
        <f aca="false">IF($I61&gt;0%,IF(AND(DR$16&gt;=$F61,DR$16&lt;$F61+($G61*$I61)),"➤",""),"")</f>
        <v/>
      </c>
      <c r="DS61" s="76" t="str">
        <f aca="false">IF($I61&gt;0%,IF(AND(DS$16&gt;=$F61,DS$16&lt;$F61+($G61*$I61)),"➤",""),"")</f>
        <v/>
      </c>
      <c r="DT61" s="76" t="str">
        <f aca="false">IF($I61&gt;0%,IF(AND(DT$16&gt;=$F61,DT$16&lt;$F61+($G61*$I61)),"➤",""),"")</f>
        <v/>
      </c>
      <c r="DU61" s="76" t="str">
        <f aca="false">IF($I61&gt;0%,IF(AND(DU$16&gt;=$F61,DU$16&lt;$F61+($G61*$I61)),"➤",""),"")</f>
        <v/>
      </c>
      <c r="DV61" s="76" t="str">
        <f aca="false">IF($I61&gt;0%,IF(AND(DV$16&gt;=$F61,DV$16&lt;$F61+($G61*$I61)),"➤",""),"")</f>
        <v/>
      </c>
      <c r="DW61" s="76" t="str">
        <f aca="false">IF($I61&gt;0%,IF(AND(DW$16&gt;=$F61,DW$16&lt;$F61+($G61*$I61)),"➤",""),"")</f>
        <v/>
      </c>
      <c r="DX61" s="76" t="str">
        <f aca="false">IF($I61&gt;0%,IF(AND(DX$16&gt;=$F61,DX$16&lt;$F61+($G61*$I61)),"➤",""),"")</f>
        <v/>
      </c>
      <c r="DY61" s="76" t="str">
        <f aca="false">IF($I61&gt;0%,IF(AND(DY$16&gt;=$F61,DY$16&lt;$F61+($G61*$I61)),"➤",""),"")</f>
        <v/>
      </c>
      <c r="DZ61" s="76" t="str">
        <f aca="false">IF($I61&gt;0%,IF(AND(DZ$16&gt;=$F61,DZ$16&lt;$F61+($G61*$I61)),"➤",""),"")</f>
        <v/>
      </c>
      <c r="EA61" s="76" t="str">
        <f aca="false">IF($I61&gt;0%,IF(AND(EA$16&gt;=$F61,EA$16&lt;$F61+($G61*$I61)),"➤",""),"")</f>
        <v/>
      </c>
      <c r="EB61" s="76" t="str">
        <f aca="false">IF($I61&gt;0%,IF(AND(EB$16&gt;=$F61,EB$16&lt;$F61+($G61*$I61)),"➤",""),"")</f>
        <v/>
      </c>
      <c r="EC61" s="76" t="str">
        <f aca="false">IF($I61&gt;0%,IF(AND(EC$16&gt;=$F61,EC$16&lt;$F61+($G61*$I61)),"➤",""),"")</f>
        <v/>
      </c>
      <c r="ED61" s="76" t="str">
        <f aca="false">IF($I61&gt;0%,IF(AND(ED$16&gt;=$F61,ED$16&lt;$F61+($G61*$I61)),"➤",""),"")</f>
        <v/>
      </c>
      <c r="EE61" s="76" t="str">
        <f aca="false">IF($I61&gt;0%,IF(AND(EE$16&gt;=$F61,EE$16&lt;$F61+($G61*$I61)),"➤",""),"")</f>
        <v/>
      </c>
      <c r="EF61" s="76" t="str">
        <f aca="false">IF($I61&gt;0%,IF(AND(EF$16&gt;=$F61,EF$16&lt;$F61+($G61*$I61)),"➤",""),"")</f>
        <v/>
      </c>
      <c r="EG61" s="76" t="str">
        <f aca="false">IF($I61&gt;0%,IF(AND(EG$16&gt;=$F61,EG$16&lt;$F61+($G61*$I61)),"➤",""),"")</f>
        <v/>
      </c>
      <c r="EH61" s="76" t="str">
        <f aca="false">IF($I61&gt;0%,IF(AND(EH$16&gt;=$F61,EH$16&lt;$F61+($G61*$I61)),"➤",""),"")</f>
        <v/>
      </c>
      <c r="EI61" s="76" t="str">
        <f aca="false">IF($I61&gt;0%,IF(AND(EI$16&gt;=$F61,EI$16&lt;$F61+($G61*$I61)),"➤",""),"")</f>
        <v/>
      </c>
      <c r="EJ61" s="76" t="str">
        <f aca="false">IF($I61&gt;0%,IF(AND(EJ$16&gt;=$F61,EJ$16&lt;$F61+($G61*$I61)),"➤",""),"")</f>
        <v/>
      </c>
      <c r="EK61" s="76" t="str">
        <f aca="false">IF($I61&gt;0%,IF(AND(EK$16&gt;=$F61,EK$16&lt;$F61+($G61*$I61)),"➤",""),"")</f>
        <v/>
      </c>
      <c r="EL61" s="76" t="str">
        <f aca="false">IF($I61&gt;0%,IF(AND(EL$16&gt;=$F61,EL$16&lt;$F61+($G61*$I61)),"➤",""),"")</f>
        <v/>
      </c>
      <c r="EM61" s="76" t="str">
        <f aca="false">IF($I61&gt;0%,IF(AND(EM$16&gt;=$F61,EM$16&lt;$F61+($G61*$I61)),"➤",""),"")</f>
        <v/>
      </c>
      <c r="EN61" s="76" t="str">
        <f aca="false">IF($I61&gt;0%,IF(AND(EN$16&gt;=$F61,EN$16&lt;$F61+($G61*$I61)),"➤",""),"")</f>
        <v/>
      </c>
      <c r="EO61" s="76" t="str">
        <f aca="false">IF($I61&gt;0%,IF(AND(EO$16&gt;=$F61,EO$16&lt;$F61+($G61*$I61)),"➤",""),"")</f>
        <v/>
      </c>
      <c r="EP61" s="76" t="str">
        <f aca="false">IF($I61&gt;0%,IF(AND(EP$16&gt;=$F61,EP$16&lt;$F61+($G61*$I61)),"➤",""),"")</f>
        <v/>
      </c>
      <c r="EQ61" s="76" t="str">
        <f aca="false">IF($I61&gt;0%,IF(AND(EQ$16&gt;=$F61,EQ$16&lt;$F61+($G61*$I61)),"➤",""),"")</f>
        <v/>
      </c>
      <c r="ER61" s="76" t="str">
        <f aca="false">IF($I61&gt;0%,IF(AND(ER$16&gt;=$F61,ER$16&lt;$F61+($G61*$I61)),"➤",""),"")</f>
        <v/>
      </c>
      <c r="ES61" s="76" t="str">
        <f aca="false">IF($I61&gt;0%,IF(AND(ES$16&gt;=$F61,ES$16&lt;$F61+($G61*$I61)),"➤",""),"")</f>
        <v/>
      </c>
      <c r="ET61" s="76" t="str">
        <f aca="false">IF($I61&gt;0%,IF(AND(ET$16&gt;=$F61,ET$16&lt;$F61+($G61*$I61)),"➤",""),"")</f>
        <v/>
      </c>
      <c r="EU61" s="76" t="str">
        <f aca="false">IF($I61&gt;0%,IF(AND(EU$16&gt;=$F61,EU$16&lt;$F61+($G61*$I61)),"➤",""),"")</f>
        <v/>
      </c>
      <c r="EV61" s="76" t="str">
        <f aca="false">IF($I61&gt;0%,IF(AND(EV$16&gt;=$F61,EV$16&lt;$F61+($G61*$I61)),"➤",""),"")</f>
        <v/>
      </c>
      <c r="EW61" s="76" t="str">
        <f aca="false">IF($I61&gt;0%,IF(AND(EW$16&gt;=$F61,EW$16&lt;$F61+($G61*$I61)),"➤",""),"")</f>
        <v/>
      </c>
      <c r="EX61" s="76" t="str">
        <f aca="false">IF($I61&gt;0%,IF(AND(EX$16&gt;=$F61,EX$16&lt;$F61+($G61*$I61)),"➤",""),"")</f>
        <v/>
      </c>
      <c r="EY61" s="76" t="str">
        <f aca="false">IF($I61&gt;0%,IF(AND(EY$16&gt;=$F61,EY$16&lt;$F61+($G61*$I61)),"➤",""),"")</f>
        <v/>
      </c>
      <c r="EZ61" s="76" t="str">
        <f aca="false">IF($I61&gt;0%,IF(AND(EZ$16&gt;=$F61,EZ$16&lt;$F61+($G61*$I61)),"➤",""),"")</f>
        <v/>
      </c>
      <c r="FA61" s="76" t="str">
        <f aca="false">IF($I61&gt;0%,IF(AND(FA$16&gt;=$F61,FA$16&lt;$F61+($G61*$I61)),"➤",""),"")</f>
        <v/>
      </c>
      <c r="FB61" s="76" t="str">
        <f aca="false">IF($I61&gt;0%,IF(AND(FB$16&gt;=$F61,FB$16&lt;$F61+($G61*$I61)),"➤",""),"")</f>
        <v/>
      </c>
      <c r="FC61" s="76" t="str">
        <f aca="false">IF($I61&gt;0%,IF(AND(FC$16&gt;=$F61,FC$16&lt;$F61+($G61*$I61)),"➤",""),"")</f>
        <v/>
      </c>
      <c r="FD61" s="76" t="str">
        <f aca="false">IF($I61&gt;0%,IF(AND(FD$16&gt;=$F61,FD$16&lt;$F61+($G61*$I61)),"➤",""),"")</f>
        <v/>
      </c>
      <c r="FE61" s="76" t="str">
        <f aca="false">IF($I61&gt;0%,IF(AND(FE$16&gt;=$F61,FE$16&lt;$F61+($G61*$I61)),"➤",""),"")</f>
        <v/>
      </c>
      <c r="FF61" s="76" t="str">
        <f aca="false">IF($I61&gt;0%,IF(AND(FF$16&gt;=$F61,FF$16&lt;$F61+($G61*$I61)),"➤",""),"")</f>
        <v/>
      </c>
      <c r="FG61" s="76" t="str">
        <f aca="false">IF($I61&gt;0%,IF(AND(FG$16&gt;=$F61,FG$16&lt;$F61+($G61*$I61)),"➤",""),"")</f>
        <v/>
      </c>
      <c r="FH61" s="76" t="str">
        <f aca="false">IF($I61&gt;0%,IF(AND(FH$16&gt;=$F61,FH$16&lt;$F61+($G61*$I61)),"➤",""),"")</f>
        <v/>
      </c>
      <c r="FI61" s="76" t="str">
        <f aca="false">IF($I61&gt;0%,IF(AND(FI$16&gt;=$F61,FI$16&lt;$F61+($G61*$I61)),"➤",""),"")</f>
        <v/>
      </c>
      <c r="FJ61" s="76" t="str">
        <f aca="false">IF($I61&gt;0%,IF(AND(FJ$16&gt;=$F61,FJ$16&lt;$F61+($G61*$I61)),"➤",""),"")</f>
        <v/>
      </c>
      <c r="FK61" s="76" t="str">
        <f aca="false">IF($I61&gt;0%,IF(AND(FK$16&gt;=$F61,FK$16&lt;$F61+($G61*$I61)),"➤",""),"")</f>
        <v/>
      </c>
      <c r="FL61" s="76" t="str">
        <f aca="false">IF($I61&gt;0%,IF(AND(FL$16&gt;=$F61,FL$16&lt;$F61+($G61*$I61)),"➤",""),"")</f>
        <v/>
      </c>
      <c r="FM61" s="76" t="str">
        <f aca="false">IF($I61&gt;0%,IF(AND(FM$16&gt;=$F61,FM$16&lt;$F61+($G61*$I61)),"➤",""),"")</f>
        <v/>
      </c>
      <c r="FN61" s="76" t="str">
        <f aca="false">IF($I61&gt;0%,IF(AND(FN$16&gt;=$F61,FN$16&lt;$F61+($G61*$I61)),"➤",""),"")</f>
        <v/>
      </c>
      <c r="FO61" s="76" t="str">
        <f aca="false">IF($I61&gt;0%,IF(AND(FO$16&gt;=$F61,FO$16&lt;$F61+($G61*$I61)),"➤",""),"")</f>
        <v/>
      </c>
      <c r="FP61" s="76" t="str">
        <f aca="false">IF($I61&gt;0%,IF(AND(FP$16&gt;=$F61,FP$16&lt;$F61+($G61*$I61)),"➤",""),"")</f>
        <v/>
      </c>
      <c r="FQ61" s="76" t="str">
        <f aca="false">IF($I61&gt;0%,IF(AND(FQ$16&gt;=$F61,FQ$16&lt;$F61+($G61*$I61)),"➤",""),"")</f>
        <v/>
      </c>
      <c r="FR61" s="76" t="str">
        <f aca="false">IF($I61&gt;0%,IF(AND(FR$16&gt;=$F61,FR$16&lt;$F61+($G61*$I61)),"➤",""),"")</f>
        <v/>
      </c>
      <c r="FS61" s="76" t="str">
        <f aca="false">IF($I61&gt;0%,IF(AND(FS$16&gt;=$F61,FS$16&lt;$F61+($G61*$I61)),"➤",""),"")</f>
        <v/>
      </c>
      <c r="FT61" s="76" t="str">
        <f aca="false">IF($I61&gt;0%,IF(AND(FT$16&gt;=$F61,FT$16&lt;$F61+($G61*$I61)),"➤",""),"")</f>
        <v/>
      </c>
      <c r="FU61" s="76" t="str">
        <f aca="false">IF($I61&gt;0%,IF(AND(FU$16&gt;=$F61,FU$16&lt;$F61+($G61*$I61)),"➤",""),"")</f>
        <v/>
      </c>
      <c r="FV61" s="76" t="str">
        <f aca="false">IF($I61&gt;0%,IF(AND(FV$16&gt;=$F61,FV$16&lt;$F61+($G61*$I61)),"➤",""),"")</f>
        <v/>
      </c>
      <c r="FW61" s="76" t="str">
        <f aca="false">IF($I61&gt;0%,IF(AND(FW$16&gt;=$F61,FW$16&lt;$F61+($G61*$I61)),"➤",""),"")</f>
        <v/>
      </c>
      <c r="FX61" s="76" t="str">
        <f aca="false">IF($I61&gt;0%,IF(AND(FX$16&gt;=$F61,FX$16&lt;$F61+($G61*$I61)),"➤",""),"")</f>
        <v/>
      </c>
      <c r="FY61" s="76" t="str">
        <f aca="false">IF($I61&gt;0%,IF(AND(FY$16&gt;=$F61,FY$16&lt;$F61+($G61*$I61)),"➤",""),"")</f>
        <v/>
      </c>
      <c r="FZ61" s="76" t="str">
        <f aca="false">IF($I61&gt;0%,IF(AND(FZ$16&gt;=$F61,FZ$16&lt;$F61+($G61*$I61)),"➤",""),"")</f>
        <v/>
      </c>
      <c r="GA61" s="76" t="str">
        <f aca="false">IF($I61&gt;0%,IF(AND(GA$16&gt;=$F61,GA$16&lt;$F61+($G61*$I61)),"➤",""),"")</f>
        <v/>
      </c>
      <c r="GB61" s="76" t="str">
        <f aca="false">IF($I61&gt;0%,IF(AND(GB$16&gt;=$F61,GB$16&lt;$F61+($G61*$I61)),"➤",""),"")</f>
        <v/>
      </c>
      <c r="GC61" s="76" t="str">
        <f aca="false">IF($I61&gt;0%,IF(AND(GC$16&gt;=$F61,GC$16&lt;$F61+($G61*$I61)),"➤",""),"")</f>
        <v/>
      </c>
      <c r="GD61" s="76" t="str">
        <f aca="false">IF($I61&gt;0%,IF(AND(GD$16&gt;=$F61,GD$16&lt;$F61+($G61*$I61)),"➤",""),"")</f>
        <v/>
      </c>
      <c r="GE61" s="76" t="str">
        <f aca="false">IF($I61&gt;0%,IF(AND(GE$16&gt;=$F61,GE$16&lt;$F61+($G61*$I61)),"➤",""),"")</f>
        <v/>
      </c>
      <c r="GF61" s="76" t="str">
        <f aca="false">IF($I61&gt;0%,IF(AND(GF$16&gt;=$F61,GF$16&lt;$F61+($G61*$I61)),"➤",""),"")</f>
        <v/>
      </c>
      <c r="GG61" s="76" t="str">
        <f aca="false">IF($I61&gt;0%,IF(AND(GG$16&gt;=$F61,GG$16&lt;$F61+($G61*$I61)),"➤",""),"")</f>
        <v/>
      </c>
      <c r="GH61" s="76" t="str">
        <f aca="false">IF($I61&gt;0%,IF(AND(GH$16&gt;=$F61,GH$16&lt;$F61+($G61*$I61)),"➤",""),"")</f>
        <v/>
      </c>
      <c r="GI61" s="76" t="str">
        <f aca="false">IF($I61&gt;0%,IF(AND(GI$16&gt;=$F61,GI$16&lt;$F61+($G61*$I61)),"➤",""),"")</f>
        <v/>
      </c>
      <c r="GJ61" s="76" t="str">
        <f aca="false">IF($I61&gt;0%,IF(AND(GJ$16&gt;=$F61,GJ$16&lt;$F61+($G61*$I61)),"➤",""),"")</f>
        <v/>
      </c>
      <c r="GK61" s="76" t="str">
        <f aca="false">IF($I61&gt;0%,IF(AND(GK$16&gt;=$F61,GK$16&lt;$F61+($G61*$I61)),"➤",""),"")</f>
        <v/>
      </c>
      <c r="GL61" s="76" t="str">
        <f aca="false">IF($I61&gt;0%,IF(AND(GL$16&gt;=$F61,GL$16&lt;$F61+($G61*$I61)),"➤",""),"")</f>
        <v/>
      </c>
      <c r="GM61" s="76" t="str">
        <f aca="false">IF($I61&gt;0%,IF(AND(GM$16&gt;=$F61,GM$16&lt;$F61+($G61*$I61)),"➤",""),"")</f>
        <v/>
      </c>
      <c r="GN61" s="76" t="str">
        <f aca="false">IF($I61&gt;0%,IF(AND(GN$16&gt;=$F61,GN$16&lt;$F61+($G61*$I61)),"➤",""),"")</f>
        <v/>
      </c>
      <c r="GO61" s="76" t="str">
        <f aca="false">IF($I61&gt;0%,IF(AND(GO$16&gt;=$F61,GO$16&lt;$F61+($G61*$I61)),"➤",""),"")</f>
        <v/>
      </c>
      <c r="GP61" s="76" t="str">
        <f aca="false">IF($I61&gt;0%,IF(AND(GP$16&gt;=$F61,GP$16&lt;$F61+($G61*$I61)),"➤",""),"")</f>
        <v/>
      </c>
      <c r="GQ61" s="76" t="str">
        <f aca="false">IF($I61&gt;0%,IF(AND(GQ$16&gt;=$F61,GQ$16&lt;$F61+($G61*$I61)),"➤",""),"")</f>
        <v/>
      </c>
      <c r="GR61" s="76" t="str">
        <f aca="false">IF($I61&gt;0%,IF(AND(GR$16&gt;=$F61,GR$16&lt;$F61+($G61*$I61)),"➤",""),"")</f>
        <v/>
      </c>
      <c r="GS61" s="76" t="str">
        <f aca="false">IF($I61&gt;0%,IF(AND(GS$16&gt;=$F61,GS$16&lt;$F61+($G61*$I61)),"➤",""),"")</f>
        <v/>
      </c>
      <c r="GT61" s="76" t="str">
        <f aca="false">IF($I61&gt;0%,IF(AND(GT$16&gt;=$F61,GT$16&lt;$F61+($G61*$I61)),"➤",""),"")</f>
        <v/>
      </c>
      <c r="GU61" s="76" t="str">
        <f aca="false">IF($I61&gt;0%,IF(AND(GU$16&gt;=$F61,GU$16&lt;$F61+($G61*$I61)),"➤",""),"")</f>
        <v/>
      </c>
      <c r="GV61" s="76" t="str">
        <f aca="false">IF($I61&gt;0%,IF(AND(GV$16&gt;=$F61,GV$16&lt;$F61+($G61*$I61)),"➤",""),"")</f>
        <v/>
      </c>
      <c r="GW61" s="76" t="str">
        <f aca="false">IF($I61&gt;0%,IF(AND(GW$16&gt;=$F61,GW$16&lt;$F61+($G61*$I61)),"➤",""),"")</f>
        <v/>
      </c>
      <c r="GX61" s="76" t="str">
        <f aca="false">IF($I61&gt;0%,IF(AND(GX$16&gt;=$F61,GX$16&lt;$F61+($G61*$I61)),"➤",""),"")</f>
        <v/>
      </c>
      <c r="GY61" s="76" t="str">
        <f aca="false">IF($I61&gt;0%,IF(AND(GY$16&gt;=$F61,GY$16&lt;$F61+($G61*$I61)),"➤",""),"")</f>
        <v/>
      </c>
      <c r="GZ61" s="76" t="str">
        <f aca="false">IF($I61&gt;0%,IF(AND(GZ$16&gt;=$F61,GZ$16&lt;$F61+($G61*$I61)),"➤",""),"")</f>
        <v/>
      </c>
      <c r="HA61" s="76" t="str">
        <f aca="false">IF($I61&gt;0%,IF(AND(HA$16&gt;=$F61,HA$16&lt;$F61+($G61*$I61)),"➤",""),"")</f>
        <v/>
      </c>
      <c r="HB61" s="76" t="str">
        <f aca="false">IF($I61&gt;0%,IF(AND(HB$16&gt;=$F61,HB$16&lt;$F61+($G61*$I61)),"➤",""),"")</f>
        <v/>
      </c>
      <c r="HC61" s="76" t="str">
        <f aca="false">IF($I61&gt;0%,IF(AND(HC$16&gt;=$F61,HC$16&lt;$F61+($G61*$I61)),"➤",""),"")</f>
        <v/>
      </c>
      <c r="HD61" s="76" t="str">
        <f aca="false">IF($I61&gt;0%,IF(AND(HD$16&gt;=$F61,HD$16&lt;$F61+($G61*$I61)),"➤",""),"")</f>
        <v/>
      </c>
      <c r="HE61" s="76" t="str">
        <f aca="false">IF($I61&gt;0%,IF(AND(HE$16&gt;=$F61,HE$16&lt;$F61+($G61*$I61)),"➤",""),"")</f>
        <v/>
      </c>
      <c r="HF61" s="76" t="str">
        <f aca="false">IF($I61&gt;0%,IF(AND(HF$16&gt;=$F61,HF$16&lt;$F61+($G61*$I61)),"➤",""),"")</f>
        <v/>
      </c>
      <c r="HG61" s="76" t="str">
        <f aca="false">IF($I61&gt;0%,IF(AND(HG$16&gt;=$F61,HG$16&lt;$F61+($G61*$I61)),"➤",""),"")</f>
        <v/>
      </c>
      <c r="HH61" s="76" t="str">
        <f aca="false">IF($I61&gt;0%,IF(AND(HH$16&gt;=$F61,HH$16&lt;$F61+($G61*$I61)),"➤",""),"")</f>
        <v/>
      </c>
      <c r="HI61" s="76" t="str">
        <f aca="false">IF($I61&gt;0%,IF(AND(HI$16&gt;=$F61,HI$16&lt;$F61+($G61*$I61)),"➤",""),"")</f>
        <v/>
      </c>
      <c r="HJ61" s="76" t="str">
        <f aca="false">IF($I61&gt;0%,IF(AND(HJ$16&gt;=$F61,HJ$16&lt;$F61+($G61*$I61)),"➤",""),"")</f>
        <v/>
      </c>
      <c r="HK61" s="76" t="str">
        <f aca="false">IF($I61&gt;0%,IF(AND(HK$16&gt;=$F61,HK$16&lt;$F61+($G61*$I61)),"➤",""),"")</f>
        <v/>
      </c>
      <c r="HL61" s="76" t="str">
        <f aca="false">IF($I61&gt;0%,IF(AND(HL$16&gt;=$F61,HL$16&lt;$F61+($G61*$I61)),"➤",""),"")</f>
        <v/>
      </c>
      <c r="HM61" s="76" t="str">
        <f aca="false">IF($I61&gt;0%,IF(AND(HM$16&gt;=$F61,HM$16&lt;$F61+($G61*$I61)),"➤",""),"")</f>
        <v/>
      </c>
      <c r="HN61" s="76" t="str">
        <f aca="false">IF($I61&gt;0%,IF(AND(HN$16&gt;=$F61,HN$16&lt;$F61+($G61*$I61)),"➤",""),"")</f>
        <v/>
      </c>
      <c r="HO61" s="76" t="str">
        <f aca="false">IF($I61&gt;0%,IF(AND(HO$16&gt;=$F61,HO$16&lt;$F61+($G61*$I61)),"➤",""),"")</f>
        <v/>
      </c>
      <c r="HP61" s="76" t="str">
        <f aca="false">IF($I61&gt;0%,IF(AND(HP$16&gt;=$F61,HP$16&lt;$F61+($G61*$I61)),"➤",""),"")</f>
        <v/>
      </c>
      <c r="HQ61" s="76" t="str">
        <f aca="false">IF($I61&gt;0%,IF(AND(HQ$16&gt;=$F61,HQ$16&lt;$F61+($G61*$I61)),"➤",""),"")</f>
        <v/>
      </c>
      <c r="HR61" s="76" t="str">
        <f aca="false">IF($I61&gt;0%,IF(AND(HR$16&gt;=$F61,HR$16&lt;$F61+($G61*$I61)),"➤",""),"")</f>
        <v/>
      </c>
      <c r="HS61" s="76" t="str">
        <f aca="false">IF($I61&gt;0%,IF(AND(HS$16&gt;=$F61,HS$16&lt;$F61+($G61*$I61)),"➤",""),"")</f>
        <v/>
      </c>
      <c r="HT61" s="76" t="str">
        <f aca="false">IF($I61&gt;0%,IF(AND(HT$16&gt;=$F61,HT$16&lt;$F61+($G61*$I61)),"➤",""),"")</f>
        <v/>
      </c>
      <c r="HU61" s="76" t="str">
        <f aca="false">IF($I61&gt;0%,IF(AND(HU$16&gt;=$F61,HU$16&lt;$F61+($G61*$I61)),"➤",""),"")</f>
        <v/>
      </c>
      <c r="HV61" s="76" t="str">
        <f aca="false">IF($I61&gt;0%,IF(AND(HV$16&gt;=$F61,HV$16&lt;$F61+($G61*$I61)),"➤",""),"")</f>
        <v/>
      </c>
      <c r="HW61" s="76" t="str">
        <f aca="false">IF($I61&gt;0%,IF(AND(HW$16&gt;=$F61,HW$16&lt;$F61+($G61*$I61)),"➤",""),"")</f>
        <v/>
      </c>
      <c r="HX61" s="76" t="str">
        <f aca="false">IF($I61&gt;0%,IF(AND(HX$16&gt;=$F61,HX$16&lt;$F61+($G61*$I61)),"➤",""),"")</f>
        <v/>
      </c>
      <c r="HY61" s="76" t="str">
        <f aca="false">IF($I61&gt;0%,IF(AND(HY$16&gt;=$F61,HY$16&lt;$F61+($G61*$I61)),"➤",""),"")</f>
        <v/>
      </c>
      <c r="HZ61" s="76" t="str">
        <f aca="false">IF($I61&gt;0%,IF(AND(HZ$16&gt;=$F61,HZ$16&lt;$F61+($G61*$I61)),"➤",""),"")</f>
        <v/>
      </c>
      <c r="IA61" s="76" t="str">
        <f aca="false">IF($I61&gt;0%,IF(AND(IA$16&gt;=$F61,IA$16&lt;$F61+($G61*$I61)),"➤",""),"")</f>
        <v/>
      </c>
      <c r="IB61" s="76" t="str">
        <f aca="false">IF($I61&gt;0%,IF(AND(IB$16&gt;=$F61,IB$16&lt;$F61+($G61*$I61)),"➤",""),"")</f>
        <v/>
      </c>
      <c r="IC61" s="76" t="str">
        <f aca="false">IF($I61&gt;0%,IF(AND(IC$16&gt;=$F61,IC$16&lt;$F61+($G61*$I61)),"➤",""),"")</f>
        <v/>
      </c>
      <c r="ID61" s="76" t="str">
        <f aca="false">IF($I61&gt;0%,IF(AND(ID$16&gt;=$F61,ID$16&lt;$F61+($G61*$I61)),"➤",""),"")</f>
        <v/>
      </c>
      <c r="IE61" s="76" t="str">
        <f aca="false">IF($I61&gt;0%,IF(AND(IE$16&gt;=$F61,IE$16&lt;$F61+($G61*$I61)),"➤",""),"")</f>
        <v/>
      </c>
      <c r="IF61" s="76" t="str">
        <f aca="false">IF($I61&gt;0%,IF(AND(IF$16&gt;=$F61,IF$16&lt;$F61+($G61*$I61)),"➤",""),"")</f>
        <v/>
      </c>
      <c r="IG61" s="76" t="str">
        <f aca="false">IF($I61&gt;0%,IF(AND(IG$16&gt;=$F61,IG$16&lt;$F61+($G61*$I61)),"➤",""),"")</f>
        <v/>
      </c>
      <c r="IH61" s="76" t="str">
        <f aca="false">IF($I61&gt;0%,IF(AND(IH$16&gt;=$F61,IH$16&lt;$F61+($G61*$I61)),"➤",""),"")</f>
        <v/>
      </c>
      <c r="II61" s="76" t="str">
        <f aca="false">IF($I61&gt;0%,IF(AND(II$16&gt;=$F61,II$16&lt;$F61+($G61*$I61)),"➤",""),"")</f>
        <v/>
      </c>
      <c r="IJ61" s="76" t="str">
        <f aca="false">IF($I61&gt;0%,IF(AND(IJ$16&gt;=$F61,IJ$16&lt;$F61+($G61*$I61)),"➤",""),"")</f>
        <v/>
      </c>
      <c r="IK61" s="76" t="str">
        <f aca="false">IF($I61&gt;0%,IF(AND(IK$16&gt;=$F61,IK$16&lt;$F61+($G61*$I61)),"➤",""),"")</f>
        <v/>
      </c>
      <c r="IL61" s="76" t="str">
        <f aca="false">IF($I61&gt;0%,IF(AND(IL$16&gt;=$F61,IL$16&lt;$F61+($G61*$I61)),"➤",""),"")</f>
        <v/>
      </c>
      <c r="IM61" s="76" t="str">
        <f aca="false">IF($I61&gt;0%,IF(AND(IM$16&gt;=$F61,IM$16&lt;$F61+($G61*$I61)),"➤",""),"")</f>
        <v/>
      </c>
      <c r="IN61" s="76" t="str">
        <f aca="false">IF($I61&gt;0%,IF(AND(IN$16&gt;=$F61,IN$16&lt;$F61+($G61*$I61)),"➤",""),"")</f>
        <v/>
      </c>
      <c r="IO61" s="76" t="str">
        <f aca="false">IF($I61&gt;0%,IF(AND(IO$16&gt;=$F61,IO$16&lt;$F61+($G61*$I61)),"➤",""),"")</f>
        <v/>
      </c>
      <c r="IP61" s="76" t="str">
        <f aca="false">IF($I61&gt;0%,IF(AND(IP$16&gt;=$F61,IP$16&lt;$F61+($G61*$I61)),"➤",""),"")</f>
        <v/>
      </c>
      <c r="IQ61" s="76" t="str">
        <f aca="false">IF($I61&gt;0%,IF(AND(IQ$16&gt;=$F61,IQ$16&lt;$F61+($G61*$I61)),"➤",""),"")</f>
        <v/>
      </c>
      <c r="IR61" s="76" t="str">
        <f aca="false">IF($I61&gt;0%,IF(AND(IR$16&gt;=$F61,IR$16&lt;$F61+($G61*$I61)),"➤",""),"")</f>
        <v/>
      </c>
      <c r="IS61" s="76" t="str">
        <f aca="false">IF($I61&gt;0%,IF(AND(IS$16&gt;=$F61,IS$16&lt;$F61+($G61*$I61)),"➤",""),"")</f>
        <v/>
      </c>
      <c r="IT61" s="76" t="str">
        <f aca="false">IF($I61&gt;0%,IF(AND(IT$16&gt;=$F61,IT$16&lt;$F61+($G61*$I61)),"➤",""),"")</f>
        <v/>
      </c>
      <c r="IU61" s="76" t="str">
        <f aca="false">IF($I61&gt;0%,IF(AND(IU$16&gt;=$F61,IU$16&lt;$F61+($G61*$I61)),"➤",""),"")</f>
        <v/>
      </c>
      <c r="IV61" s="76" t="str">
        <f aca="false">IF($I61&gt;0%,IF(AND(IV$16&gt;=$F61,IV$16&lt;$F61+($G61*$I61)),"➤",""),"")</f>
        <v/>
      </c>
      <c r="IW61" s="76" t="str">
        <f aca="false">IF($I61&gt;0%,IF(AND(IW$16&gt;=$F61,IW$16&lt;$F61+($G61*$I61)),"➤",""),"")</f>
        <v/>
      </c>
      <c r="IX61" s="76" t="str">
        <f aca="false">IF($I61&gt;0%,IF(AND(IX$16&gt;=$F61,IX$16&lt;$F61+($G61*$I61)),"➤",""),"")</f>
        <v/>
      </c>
      <c r="IY61" s="76" t="str">
        <f aca="false">IF($I61&gt;0%,IF(AND(IY$16&gt;=$F61,IY$16&lt;$F61+($G61*$I61)),"➤",""),"")</f>
        <v/>
      </c>
      <c r="IZ61" s="76" t="str">
        <f aca="false">IF($I61&gt;0%,IF(AND(IZ$16&gt;=$F61,IZ$16&lt;$F61+($G61*$I61)),"➤",""),"")</f>
        <v/>
      </c>
      <c r="JA61" s="76" t="str">
        <f aca="false">IF($I61&gt;0%,IF(AND(JA$16&gt;=$F61,JA$16&lt;$F61+($G61*$I61)),"➤",""),"")</f>
        <v/>
      </c>
      <c r="JB61" s="76" t="str">
        <f aca="false">IF($I61&gt;0%,IF(AND(JB$16&gt;=$F61,JB$16&lt;$F61+($G61*$I61)),"➤",""),"")</f>
        <v/>
      </c>
      <c r="JC61" s="76" t="str">
        <f aca="false">IF($I61&gt;0%,IF(AND(JC$16&gt;=$F61,JC$16&lt;$F61+($G61*$I61)),"➤",""),"")</f>
        <v/>
      </c>
      <c r="JD61" s="76" t="str">
        <f aca="false">IF($I61&gt;0%,IF(AND(JD$16&gt;=$F61,JD$16&lt;$F61+($G61*$I61)),"➤",""),"")</f>
        <v/>
      </c>
      <c r="JE61" s="76" t="str">
        <f aca="false">IF($I61&gt;0%,IF(AND(JE$16&gt;=$F61,JE$16&lt;$F61+($G61*$I61)),"➤",""),"")</f>
        <v/>
      </c>
      <c r="JF61" s="76" t="str">
        <f aca="false">IF($I61&gt;0%,IF(AND(JF$16&gt;=$F61,JF$16&lt;$F61+($G61*$I61)),"➤",""),"")</f>
        <v/>
      </c>
      <c r="JG61" s="76" t="str">
        <f aca="false">IF($I61&gt;0%,IF(AND(JG$16&gt;=$F61,JG$16&lt;$F61+($G61*$I61)),"➤",""),"")</f>
        <v/>
      </c>
      <c r="JH61" s="76" t="str">
        <f aca="false">IF($I61&gt;0%,IF(AND(JH$16&gt;=$F61,JH$16&lt;$F61+($G61*$I61)),"➤",""),"")</f>
        <v/>
      </c>
      <c r="JI61" s="76" t="str">
        <f aca="false">IF($I61&gt;0%,IF(AND(JI$16&gt;=$F61,JI$16&lt;$F61+($G61*$I61)),"➤",""),"")</f>
        <v/>
      </c>
      <c r="JJ61" s="76" t="str">
        <f aca="false">IF($I61&gt;0%,IF(AND(JJ$16&gt;=$F61,JJ$16&lt;$F61+($G61*$I61)),"➤",""),"")</f>
        <v/>
      </c>
      <c r="JK61" s="76" t="str">
        <f aca="false">IF($I61&gt;0%,IF(AND(JK$16&gt;=$F61,JK$16&lt;$F61+($G61*$I61)),"➤",""),"")</f>
        <v/>
      </c>
      <c r="JL61" s="76" t="str">
        <f aca="false">IF($I61&gt;0%,IF(AND(JL$16&gt;=$F61,JL$16&lt;$F61+($G61*$I61)),"➤",""),"")</f>
        <v/>
      </c>
      <c r="JM61" s="76" t="str">
        <f aca="false">IF($I61&gt;0%,IF(AND(JM$16&gt;=$F61,JM$16&lt;$F61+($G61*$I61)),"➤",""),"")</f>
        <v/>
      </c>
      <c r="JN61" s="76" t="str">
        <f aca="false">IF($I61&gt;0%,IF(AND(JN$16&gt;=$F61,JN$16&lt;$F61+($G61*$I61)),"➤",""),"")</f>
        <v/>
      </c>
      <c r="JO61" s="76" t="str">
        <f aca="false">IF($I61&gt;0%,IF(AND(JO$16&gt;=$F61,JO$16&lt;$F61+($G61*$I61)),"➤",""),"")</f>
        <v/>
      </c>
      <c r="JP61" s="76" t="str">
        <f aca="false">IF($I61&gt;0%,IF(AND(JP$16&gt;=$F61,JP$16&lt;$F61+($G61*$I61)),"➤",""),"")</f>
        <v/>
      </c>
      <c r="JQ61" s="76" t="str">
        <f aca="false">IF($I61&gt;0%,IF(AND(JQ$16&gt;=$F61,JQ$16&lt;$F61+($G61*$I61)),"➤",""),"")</f>
        <v/>
      </c>
      <c r="JR61" s="76" t="str">
        <f aca="false">IF($I61&gt;0%,IF(AND(JR$16&gt;=$F61,JR$16&lt;$F61+($G61*$I61)),"➤",""),"")</f>
        <v/>
      </c>
      <c r="JS61" s="76" t="str">
        <f aca="false">IF($I61&gt;0%,IF(AND(JS$16&gt;=$F61,JS$16&lt;$F61+($G61*$I61)),"➤",""),"")</f>
        <v/>
      </c>
      <c r="JT61" s="76" t="str">
        <f aca="false">IF($I61&gt;0%,IF(AND(JT$16&gt;=$F61,JT$16&lt;$F61+($G61*$I61)),"➤",""),"")</f>
        <v/>
      </c>
      <c r="JU61" s="76" t="str">
        <f aca="false">IF($I61&gt;0%,IF(AND(JU$16&gt;=$F61,JU$16&lt;$F61+($G61*$I61)),"➤",""),"")</f>
        <v/>
      </c>
      <c r="JV61" s="76" t="str">
        <f aca="false">IF($I61&gt;0%,IF(AND(JV$16&gt;=$F61,JV$16&lt;$F61+($G61*$I61)),"➤",""),"")</f>
        <v/>
      </c>
      <c r="JW61" s="76" t="str">
        <f aca="false">IF($I61&gt;0%,IF(AND(JW$16&gt;=$F61,JW$16&lt;$F61+($G61*$I61)),"➤",""),"")</f>
        <v/>
      </c>
      <c r="JX61" s="76" t="str">
        <f aca="false">IF($I61&gt;0%,IF(AND(JX$16&gt;=$F61,JX$16&lt;$F61+($G61*$I61)),"➤",""),"")</f>
        <v/>
      </c>
      <c r="JY61" s="76" t="str">
        <f aca="false">IF($I61&gt;0%,IF(AND(JY$16&gt;=$F61,JY$16&lt;$F61+($G61*$I61)),"➤",""),"")</f>
        <v/>
      </c>
      <c r="JZ61" s="76" t="str">
        <f aca="false">IF($I61&gt;0%,IF(AND(JZ$16&gt;=$F61,JZ$16&lt;$F61+($G61*$I61)),"➤",""),"")</f>
        <v/>
      </c>
      <c r="KA61" s="76" t="str">
        <f aca="false">IF($I61&gt;0%,IF(AND(KA$16&gt;=$F61,KA$16&lt;$F61+($G61*$I61)),"➤",""),"")</f>
        <v/>
      </c>
      <c r="KB61" s="76" t="str">
        <f aca="false">IF($I61&gt;0%,IF(AND(KB$16&gt;=$F61,KB$16&lt;$F61+($G61*$I61)),"➤",""),"")</f>
        <v/>
      </c>
      <c r="KC61" s="76" t="str">
        <f aca="false">IF($I61&gt;0%,IF(AND(KC$16&gt;=$F61,KC$16&lt;$F61+($G61*$I61)),"➤",""),"")</f>
        <v/>
      </c>
      <c r="KD61" s="76" t="str">
        <f aca="false">IF($I61&gt;0%,IF(AND(KD$16&gt;=$F61,KD$16&lt;$F61+($G61*$I61)),"➤",""),"")</f>
        <v/>
      </c>
      <c r="KE61" s="76" t="str">
        <f aca="false">IF($I61&gt;0%,IF(AND(KE$16&gt;=$F61,KE$16&lt;$F61+($G61*$I61)),"➤",""),"")</f>
        <v/>
      </c>
      <c r="KF61" s="76" t="str">
        <f aca="false">IF($I61&gt;0%,IF(AND(KF$16&gt;=$F61,KF$16&lt;$F61+($G61*$I61)),"➤",""),"")</f>
        <v/>
      </c>
      <c r="KG61" s="76" t="str">
        <f aca="false">IF($I61&gt;0%,IF(AND(KG$16&gt;=$F61,KG$16&lt;$F61+($G61*$I61)),"➤",""),"")</f>
        <v/>
      </c>
      <c r="KH61" s="76" t="str">
        <f aca="false">IF($I61&gt;0%,IF(AND(KH$16&gt;=$F61,KH$16&lt;$F61+($G61*$I61)),"➤",""),"")</f>
        <v/>
      </c>
      <c r="KI61" s="76" t="str">
        <f aca="false">IF($I61&gt;0%,IF(AND(KI$16&gt;=$F61,KI$16&lt;$F61+($G61*$I61)),"➤",""),"")</f>
        <v/>
      </c>
      <c r="KJ61" s="76" t="str">
        <f aca="false">IF($I61&gt;0%,IF(AND(KJ$16&gt;=$F61,KJ$16&lt;$F61+($G61*$I61)),"➤",""),"")</f>
        <v/>
      </c>
      <c r="KK61" s="76" t="str">
        <f aca="false">IF($I61&gt;0%,IF(AND(KK$16&gt;=$F61,KK$16&lt;$F61+($G61*$I61)),"➤",""),"")</f>
        <v/>
      </c>
      <c r="KL61" s="76" t="str">
        <f aca="false">IF($I61&gt;0%,IF(AND(KL$16&gt;=$F61,KL$16&lt;$F61+($G61*$I61)),"➤",""),"")</f>
        <v/>
      </c>
      <c r="KM61" s="76" t="str">
        <f aca="false">IF($I61&gt;0%,IF(AND(KM$16&gt;=$F61,KM$16&lt;$F61+($G61*$I61)),"➤",""),"")</f>
        <v/>
      </c>
      <c r="KN61" s="76" t="str">
        <f aca="false">IF($I61&gt;0%,IF(AND(KN$16&gt;=$F61,KN$16&lt;$F61+($G61*$I61)),"➤",""),"")</f>
        <v/>
      </c>
      <c r="KO61" s="76" t="str">
        <f aca="false">IF($I61&gt;0%,IF(AND(KO$16&gt;=$F61,KO$16&lt;$F61+($G61*$I61)),"➤",""),"")</f>
        <v/>
      </c>
      <c r="KP61" s="76" t="str">
        <f aca="false">IF($I61&gt;0%,IF(AND(KP$16&gt;=$F61,KP$16&lt;$F61+($G61*$I61)),"➤",""),"")</f>
        <v/>
      </c>
      <c r="KQ61" s="76" t="str">
        <f aca="false">IF($I61&gt;0%,IF(AND(KQ$16&gt;=$F61,KQ$16&lt;$F61+($G61*$I61)),"➤",""),"")</f>
        <v/>
      </c>
      <c r="KR61" s="76" t="str">
        <f aca="false">IF($I61&gt;0%,IF(AND(KR$16&gt;=$F61,KR$16&lt;$F61+($G61*$I61)),"➤",""),"")</f>
        <v/>
      </c>
      <c r="KS61" s="76" t="str">
        <f aca="false">IF($I61&gt;0%,IF(AND(KS$16&gt;=$F61,KS$16&lt;$F61+($G61*$I61)),"➤",""),"")</f>
        <v/>
      </c>
      <c r="KT61" s="76" t="str">
        <f aca="false">IF($I61&gt;0%,IF(AND(KT$16&gt;=$F61,KT$16&lt;$F61+($G61*$I61)),"➤",""),"")</f>
        <v/>
      </c>
      <c r="KU61" s="76" t="str">
        <f aca="false">IF($I61&gt;0%,IF(AND(KU$16&gt;=$F61,KU$16&lt;$F61+($G61*$I61)),"➤",""),"")</f>
        <v/>
      </c>
      <c r="KV61" s="76" t="str">
        <f aca="false">IF($I61&gt;0%,IF(AND(KV$16&gt;=$F61,KV$16&lt;$F61+($G61*$I61)),"➤",""),"")</f>
        <v/>
      </c>
      <c r="KW61" s="76" t="str">
        <f aca="false">IF($I61&gt;0%,IF(AND(KW$16&gt;=$F61,KW$16&lt;$F61+($G61*$I61)),"➤",""),"")</f>
        <v/>
      </c>
      <c r="KX61" s="76" t="str">
        <f aca="false">IF($I61&gt;0%,IF(AND(KX$16&gt;=$F61,KX$16&lt;$F61+($G61*$I61)),"➤",""),"")</f>
        <v/>
      </c>
      <c r="KY61" s="76" t="str">
        <f aca="false">IF($I61&gt;0%,IF(AND(KY$16&gt;=$F61,KY$16&lt;$F61+($G61*$I61)),"➤",""),"")</f>
        <v/>
      </c>
      <c r="KZ61" s="76" t="str">
        <f aca="false">IF($I61&gt;0%,IF(AND(KZ$16&gt;=$F61,KZ$16&lt;$F61+($G61*$I61)),"➤",""),"")</f>
        <v/>
      </c>
      <c r="LA61" s="76" t="str">
        <f aca="false">IF($I61&gt;0%,IF(AND(LA$16&gt;=$F61,LA$16&lt;$F61+($G61*$I61)),"➤",""),"")</f>
        <v/>
      </c>
      <c r="LB61" s="76" t="str">
        <f aca="false">IF($I61&gt;0%,IF(AND(LB$16&gt;=$F61,LB$16&lt;$F61+($G61*$I61)),"➤",""),"")</f>
        <v/>
      </c>
      <c r="LC61" s="76" t="str">
        <f aca="false">IF($I61&gt;0%,IF(AND(LC$16&gt;=$F61,LC$16&lt;$F61+($G61*$I61)),"➤",""),"")</f>
        <v/>
      </c>
      <c r="LD61" s="76" t="str">
        <f aca="false">IF($I61&gt;0%,IF(AND(LD$16&gt;=$F61,LD$16&lt;$F61+($G61*$I61)),"➤",""),"")</f>
        <v/>
      </c>
      <c r="LE61" s="76" t="str">
        <f aca="false">IF($I61&gt;0%,IF(AND(LE$16&gt;=$F61,LE$16&lt;$F61+($G61*$I61)),"➤",""),"")</f>
        <v/>
      </c>
      <c r="LF61" s="76" t="str">
        <f aca="false">IF($I61&gt;0%,IF(AND(LF$16&gt;=$F61,LF$16&lt;$F61+($G61*$I61)),"➤",""),"")</f>
        <v/>
      </c>
      <c r="LG61" s="76" t="str">
        <f aca="false">IF($I61&gt;0%,IF(AND(LG$16&gt;=$F61,LG$16&lt;$F61+($G61*$I61)),"➤",""),"")</f>
        <v/>
      </c>
      <c r="LH61" s="76" t="str">
        <f aca="false">IF($I61&gt;0%,IF(AND(LH$16&gt;=$F61,LH$16&lt;$F61+($G61*$I61)),"➤",""),"")</f>
        <v/>
      </c>
      <c r="LI61" s="76" t="str">
        <f aca="false">IF($I61&gt;0%,IF(AND(LI$16&gt;=$F61,LI$16&lt;$F61+($G61*$I61)),"➤",""),"")</f>
        <v/>
      </c>
      <c r="LJ61" s="76" t="str">
        <f aca="false">IF($I61&gt;0%,IF(AND(LJ$16&gt;=$F61,LJ$16&lt;$F61+($G61*$I61)),"➤",""),"")</f>
        <v/>
      </c>
      <c r="LK61" s="76" t="str">
        <f aca="false">IF($I61&gt;0%,IF(AND(LK$16&gt;=$F61,LK$16&lt;$F61+($G61*$I61)),"➤",""),"")</f>
        <v/>
      </c>
      <c r="LL61" s="76" t="str">
        <f aca="false">IF($I61&gt;0%,IF(AND(LL$16&gt;=$F61,LL$16&lt;$F61+($G61*$I61)),"➤",""),"")</f>
        <v/>
      </c>
      <c r="LM61" s="76" t="str">
        <f aca="false">IF($I61&gt;0%,IF(AND(LM$16&gt;=$F61,LM$16&lt;$F61+($G61*$I61)),"➤",""),"")</f>
        <v/>
      </c>
      <c r="LN61" s="76" t="str">
        <f aca="false">IF($I61&gt;0%,IF(AND(LN$16&gt;=$F61,LN$16&lt;$F61+($G61*$I61)),"➤",""),"")</f>
        <v/>
      </c>
      <c r="LO61" s="76" t="str">
        <f aca="false">IF($I61&gt;0%,IF(AND(LO$16&gt;=$F61,LO$16&lt;$F61+($G61*$I61)),"➤",""),"")</f>
        <v/>
      </c>
      <c r="LP61" s="76" t="str">
        <f aca="false">IF($I61&gt;0%,IF(AND(LP$16&gt;=$F61,LP$16&lt;$F61+($G61*$I61)),"➤",""),"")</f>
        <v/>
      </c>
      <c r="LQ61" s="76" t="str">
        <f aca="false">IF($I61&gt;0%,IF(AND(LQ$16&gt;=$F61,LQ$16&lt;$F61+($G61*$I61)),"➤",""),"")</f>
        <v/>
      </c>
      <c r="LR61" s="76" t="str">
        <f aca="false">IF($I61&gt;0%,IF(AND(LR$16&gt;=$F61,LR$16&lt;$F61+($G61*$I61)),"➤",""),"")</f>
        <v/>
      </c>
      <c r="LS61" s="76" t="str">
        <f aca="false">IF($I61&gt;0%,IF(AND(LS$16&gt;=$F61,LS$16&lt;$F61+($G61*$I61)),"➤",""),"")</f>
        <v/>
      </c>
      <c r="LT61" s="76" t="str">
        <f aca="false">IF($I61&gt;0%,IF(AND(LT$16&gt;=$F61,LT$16&lt;$F61+($G61*$I61)),"➤",""),"")</f>
        <v/>
      </c>
      <c r="LU61" s="76" t="str">
        <f aca="false">IF($I61&gt;0%,IF(AND(LU$16&gt;=$F61,LU$16&lt;$F61+($G61*$I61)),"➤",""),"")</f>
        <v/>
      </c>
      <c r="LV61" s="76" t="str">
        <f aca="false">IF($I61&gt;0%,IF(AND(LV$16&gt;=$F61,LV$16&lt;$F61+($G61*$I61)),"➤",""),"")</f>
        <v/>
      </c>
      <c r="LW61" s="76" t="str">
        <f aca="false">IF($I61&gt;0%,IF(AND(LW$16&gt;=$F61,LW$16&lt;$F61+($G61*$I61)),"➤",""),"")</f>
        <v/>
      </c>
      <c r="LX61" s="76" t="str">
        <f aca="false">IF($I61&gt;0%,IF(AND(LX$16&gt;=$F61,LX$16&lt;$F61+($G61*$I61)),"➤",""),"")</f>
        <v/>
      </c>
      <c r="LY61" s="76" t="str">
        <f aca="false">IF($I61&gt;0%,IF(AND(LY$16&gt;=$F61,LY$16&lt;$F61+($G61*$I61)),"➤",""),"")</f>
        <v/>
      </c>
      <c r="LZ61" s="76" t="str">
        <f aca="false">IF($I61&gt;0%,IF(AND(LZ$16&gt;=$F61,LZ$16&lt;$F61+($G61*$I61)),"➤",""),"")</f>
        <v/>
      </c>
      <c r="MA61" s="76" t="str">
        <f aca="false">IF($I61&gt;0%,IF(AND(MA$16&gt;=$F61,MA$16&lt;$F61+($G61*$I61)),"➤",""),"")</f>
        <v/>
      </c>
      <c r="MB61" s="76" t="str">
        <f aca="false">IF($I61&gt;0%,IF(AND(MB$16&gt;=$F61,MB$16&lt;$F61+($G61*$I61)),"➤",""),"")</f>
        <v/>
      </c>
      <c r="MC61" s="76" t="str">
        <f aca="false">IF($I61&gt;0%,IF(AND(MC$16&gt;=$F61,MC$16&lt;$F61+($G61*$I61)),"➤",""),"")</f>
        <v/>
      </c>
      <c r="MD61" s="76" t="str">
        <f aca="false">IF($I61&gt;0%,IF(AND(MD$16&gt;=$F61,MD$16&lt;$F61+($G61*$I61)),"➤",""),"")</f>
        <v/>
      </c>
      <c r="ME61" s="76" t="str">
        <f aca="false">IF($I61&gt;0%,IF(AND(ME$16&gt;=$F61,ME$16&lt;$F61+($G61*$I61)),"➤",""),"")</f>
        <v/>
      </c>
      <c r="MF61" s="76" t="str">
        <f aca="false">IF($I61&gt;0%,IF(AND(MF$16&gt;=$F61,MF$16&lt;$F61+($G61*$I61)),"➤",""),"")</f>
        <v/>
      </c>
      <c r="MG61" s="76" t="str">
        <f aca="false">IF($I61&gt;0%,IF(AND(MG$16&gt;=$F61,MG$16&lt;$F61+($G61*$I61)),"➤",""),"")</f>
        <v/>
      </c>
      <c r="MH61" s="76" t="str">
        <f aca="false">IF($I61&gt;0%,IF(AND(MH$16&gt;=$F61,MH$16&lt;$F61+($G61*$I61)),"➤",""),"")</f>
        <v/>
      </c>
      <c r="MI61" s="76" t="str">
        <f aca="false">IF($I61&gt;0%,IF(AND(MI$16&gt;=$F61,MI$16&lt;$F61+($G61*$I61)),"➤",""),"")</f>
        <v/>
      </c>
      <c r="MJ61" s="76" t="str">
        <f aca="false">IF($I61&gt;0%,IF(AND(MJ$16&gt;=$F61,MJ$16&lt;$F61+($G61*$I61)),"➤",""),"")</f>
        <v/>
      </c>
      <c r="MK61" s="76" t="str">
        <f aca="false">IF($I61&gt;0%,IF(AND(MK$16&gt;=$F61,MK$16&lt;$F61+($G61*$I61)),"➤",""),"")</f>
        <v/>
      </c>
      <c r="ML61" s="76" t="str">
        <f aca="false">IF($I61&gt;0%,IF(AND(ML$16&gt;=$F61,ML$16&lt;$F61+($G61*$I61)),"➤",""),"")</f>
        <v/>
      </c>
      <c r="MM61" s="76" t="str">
        <f aca="false">IF($I61&gt;0%,IF(AND(MM$16&gt;=$F61,MM$16&lt;$F61+($G61*$I61)),"➤",""),"")</f>
        <v/>
      </c>
      <c r="MN61" s="76" t="str">
        <f aca="false">IF($I61&gt;0%,IF(AND(MN$16&gt;=$F61,MN$16&lt;$F61+($G61*$I61)),"➤",""),"")</f>
        <v/>
      </c>
      <c r="MO61" s="76" t="str">
        <f aca="false">IF($I61&gt;0%,IF(AND(MO$16&gt;=$F61,MO$16&lt;$F61+($G61*$I61)),"➤",""),"")</f>
        <v/>
      </c>
      <c r="MP61" s="76" t="str">
        <f aca="false">IF($I61&gt;0%,IF(AND(MP$16&gt;=$F61,MP$16&lt;$F61+($G61*$I61)),"➤",""),"")</f>
        <v/>
      </c>
      <c r="MQ61" s="76" t="str">
        <f aca="false">IF($I61&gt;0%,IF(AND(MQ$16&gt;=$F61,MQ$16&lt;$F61+($G61*$I61)),"➤",""),"")</f>
        <v/>
      </c>
      <c r="MR61" s="76" t="str">
        <f aca="false">IF($I61&gt;0%,IF(AND(MR$16&gt;=$F61,MR$16&lt;$F61+($G61*$I61)),"➤",""),"")</f>
        <v/>
      </c>
      <c r="MS61" s="76" t="str">
        <f aca="false">IF($I61&gt;0%,IF(AND(MS$16&gt;=$F61,MS$16&lt;$F61+($G61*$I61)),"➤",""),"")</f>
        <v/>
      </c>
      <c r="MT61" s="76" t="str">
        <f aca="false">IF($I61&gt;0%,IF(AND(MT$16&gt;=$F61,MT$16&lt;$F61+($G61*$I61)),"➤",""),"")</f>
        <v/>
      </c>
      <c r="MU61" s="76" t="str">
        <f aca="false">IF($I61&gt;0%,IF(AND(MU$16&gt;=$F61,MU$16&lt;$F61+($G61*$I61)),"➤",""),"")</f>
        <v/>
      </c>
      <c r="MV61" s="76" t="str">
        <f aca="false">IF($I61&gt;0%,IF(AND(MV$16&gt;=$F61,MV$16&lt;$F61+($G61*$I61)),"➤",""),"")</f>
        <v/>
      </c>
      <c r="MW61" s="76" t="str">
        <f aca="false">IF($I61&gt;0%,IF(AND(MW$16&gt;=$F61,MW$16&lt;$F61+($G61*$I61)),"➤",""),"")</f>
        <v/>
      </c>
      <c r="MX61" s="76" t="str">
        <f aca="false">IF($I61&gt;0%,IF(AND(MX$16&gt;=$F61,MX$16&lt;$F61+($G61*$I61)),"➤",""),"")</f>
        <v/>
      </c>
      <c r="MY61" s="76" t="str">
        <f aca="false">IF($I61&gt;0%,IF(AND(MY$16&gt;=$F61,MY$16&lt;$F61+($G61*$I61)),"➤",""),"")</f>
        <v/>
      </c>
      <c r="MZ61" s="76" t="str">
        <f aca="false">IF($I61&gt;0%,IF(AND(MZ$16&gt;=$F61,MZ$16&lt;$F61+($G61*$I61)),"➤",""),"")</f>
        <v/>
      </c>
      <c r="NA61" s="76" t="str">
        <f aca="false">IF($I61&gt;0%,IF(AND(NA$16&gt;=$F61,NA$16&lt;$F61+($G61*$I61)),"➤",""),"")</f>
        <v/>
      </c>
      <c r="NB61" s="76" t="str">
        <f aca="false">IF($I61&gt;0%,IF(AND(NB$16&gt;=$F61,NB$16&lt;$F61+($G61*$I61)),"➤",""),"")</f>
        <v/>
      </c>
      <c r="NC61" s="76" t="str">
        <f aca="false">IF($I61&gt;0%,IF(AND(NC$16&gt;=$F61,NC$16&lt;$F61+($G61*$I61)),"➤",""),"")</f>
        <v/>
      </c>
      <c r="ND61" s="76" t="str">
        <f aca="false">IF($I61&gt;0%,IF(AND(ND$16&gt;=$F61,ND$16&lt;$F61+($G61*$I61)),"➤",""),"")</f>
        <v/>
      </c>
      <c r="NE61" s="76" t="str">
        <f aca="false">IF($I61&gt;0%,IF(AND(NE$16&gt;=$F61,NE$16&lt;$F61+($G61*$I61)),"➤",""),"")</f>
        <v/>
      </c>
      <c r="NF61" s="76" t="str">
        <f aca="false">IF($I61&gt;0%,IF(AND(NF$16&gt;=$F61,NF$16&lt;$F61+($G61*$I61)),"➤",""),"")</f>
        <v/>
      </c>
      <c r="NG61" s="76" t="str">
        <f aca="false">IF($I61&gt;0%,IF(AND(NG$16&gt;=$F61,NG$16&lt;$F61+($G61*$I61)),"➤",""),"")</f>
        <v/>
      </c>
      <c r="NH61" s="76" t="str">
        <f aca="false">IF($I61&gt;0%,IF(AND(NH$16&gt;=$F61,NH$16&lt;$F61+($G61*$I61)),"➤",""),"")</f>
        <v/>
      </c>
      <c r="NI61" s="76" t="str">
        <f aca="false">IF($I61&gt;0%,IF(AND(NI$16&gt;=$F61,NI$16&lt;$F61+($G61*$I61)),"➤",""),"")</f>
        <v/>
      </c>
      <c r="NJ61" s="76" t="str">
        <f aca="false">IF($I61&gt;0%,IF(AND(NJ$16&gt;=$F61,NJ$16&lt;$F61+($G61*$I61)),"➤",""),"")</f>
        <v/>
      </c>
      <c r="NK61" s="76" t="str">
        <f aca="false">IF($I61&gt;0%,IF(AND(NK$16&gt;=$F61,NK$16&lt;$F61+($G61*$I61)),"➤",""),"")</f>
        <v/>
      </c>
      <c r="NL61" s="76" t="str">
        <f aca="false">IF($I61&gt;0%,IF(AND(NL$16&gt;=$F61,NL$16&lt;$F61+($G61*$I61)),"➤",""),"")</f>
        <v/>
      </c>
      <c r="NM61" s="76" t="str">
        <f aca="false">IF($I61&gt;0%,IF(AND(NM$16&gt;=$F61,NM$16&lt;$F61+($G61*$I61)),"➤",""),"")</f>
        <v/>
      </c>
      <c r="NN61" s="76" t="str">
        <f aca="false">IF($I61&gt;0%,IF(AND(NN$16&gt;=$F61,NN$16&lt;$F61+($G61*$I61)),"➤",""),"")</f>
        <v/>
      </c>
      <c r="NO61" s="76" t="str">
        <f aca="false">IF($I61&gt;0%,IF(AND(NO$16&gt;=$F61,NO$16&lt;$F61+($G61*$I61)),"➤",""),"")</f>
        <v/>
      </c>
      <c r="NP61" s="76" t="str">
        <f aca="false">IF($I61&gt;0%,IF(AND(NP$16&gt;=$F61,NP$16&lt;$F61+($G61*$I61)),"➤",""),"")</f>
        <v/>
      </c>
      <c r="NQ61" s="76" t="str">
        <f aca="false">IF($I61&gt;0%,IF(AND(NQ$16&gt;=$F61,NQ$16&lt;$F61+($G61*$I61)),"➤",""),"")</f>
        <v/>
      </c>
      <c r="NR61" s="76" t="str">
        <f aca="false">IF($I61&gt;0%,IF(AND(NR$16&gt;=$F61,NR$16&lt;$F61+($G61*$I61)),"➤",""),"")</f>
        <v/>
      </c>
      <c r="NS61" s="76" t="str">
        <f aca="false">IF($I61&gt;0%,IF(AND(NS$16&gt;=$F61,NS$16&lt;$F61+($G61*$I61)),"➤",""),"")</f>
        <v/>
      </c>
      <c r="NT61" s="76" t="str">
        <f aca="false">IF($I61&gt;0%,IF(AND(NT$16&gt;=$F61,NT$16&lt;$F61+($G61*$I61)),"➤",""),"")</f>
        <v/>
      </c>
      <c r="NU61" s="76" t="str">
        <f aca="false">IF($I61&gt;0%,IF(AND(NU$16&gt;=$F61,NU$16&lt;$F61+($G61*$I61)),"➤",""),"")</f>
        <v/>
      </c>
      <c r="NV61" s="76" t="str">
        <f aca="false">IF($I61&gt;0%,IF(AND(NV$16&gt;=$F61,NV$16&lt;$F61+($G61*$I61)),"➤",""),"")</f>
        <v/>
      </c>
      <c r="NW61" s="76" t="str">
        <f aca="false">IF($I61&gt;0%,IF(AND(NW$16&gt;=$F61,NW$16&lt;$F61+($G61*$I61)),"➤",""),"")</f>
        <v/>
      </c>
      <c r="NX61" s="76" t="str">
        <f aca="false">IF($I61&gt;0%,IF(AND(NX$16&gt;=$F61,NX$16&lt;$F61+($G61*$I61)),"➤",""),"")</f>
        <v/>
      </c>
      <c r="NY61" s="76" t="str">
        <f aca="false">IF($I61&gt;0%,IF(AND(NY$16&gt;=$F61,NY$16&lt;$F61+($G61*$I61)),"➤",""),"")</f>
        <v/>
      </c>
      <c r="NZ61" s="76" t="str">
        <f aca="false">IF($I61&gt;0%,IF(AND(NZ$16&gt;=$F61,NZ$16&lt;$F61+($G61*$I61)),"➤",""),"")</f>
        <v/>
      </c>
      <c r="OA61" s="76" t="str">
        <f aca="false">IF($I61&gt;0%,IF(AND(OA$16&gt;=$F61,OA$16&lt;$F61+($G61*$I61)),"➤",""),"")</f>
        <v/>
      </c>
      <c r="OB61" s="76" t="str">
        <f aca="false">IF($I61&gt;0%,IF(AND(OB$16&gt;=$F61,OB$16&lt;$F61+($G61*$I61)),"➤",""),"")</f>
        <v/>
      </c>
      <c r="OC61" s="76" t="str">
        <f aca="false">IF($I61&gt;0%,IF(AND(OC$16&gt;=$F61,OC$16&lt;$F61+($G61*$I61)),"➤",""),"")</f>
        <v/>
      </c>
      <c r="OD61" s="76" t="str">
        <f aca="false">IF($I61&gt;0%,IF(AND(OD$16&gt;=$F61,OD$16&lt;$F61+($G61*$I61)),"➤",""),"")</f>
        <v/>
      </c>
      <c r="OE61" s="76" t="str">
        <f aca="false">IF($I61&gt;0%,IF(AND(OE$16&gt;=$F61,OE$16&lt;$F61+($G61*$I61)),"➤",""),"")</f>
        <v/>
      </c>
      <c r="OF61" s="76" t="str">
        <f aca="false">IF($I61&gt;0%,IF(AND(OF$16&gt;=$F61,OF$16&lt;$F61+($G61*$I61)),"➤",""),"")</f>
        <v/>
      </c>
      <c r="OG61" s="76" t="str">
        <f aca="false">IF($I61&gt;0%,IF(AND(OG$16&gt;=$F61,OG$16&lt;$F61+($G61*$I61)),"➤",""),"")</f>
        <v/>
      </c>
      <c r="OH61" s="76" t="str">
        <f aca="false">IF($I61&gt;0%,IF(AND(OH$16&gt;=$F61,OH$16&lt;$F61+($G61*$I61)),"➤",""),"")</f>
        <v/>
      </c>
      <c r="OI61" s="76" t="str">
        <f aca="false">IF($I61&gt;0%,IF(AND(OI$16&gt;=$F61,OI$16&lt;$F61+($G61*$I61)),"➤",""),"")</f>
        <v/>
      </c>
      <c r="OJ61" s="76" t="str">
        <f aca="false">IF($I61&gt;0%,IF(AND(OJ$16&gt;=$F61,OJ$16&lt;$F61+($G61*$I61)),"➤",""),"")</f>
        <v/>
      </c>
      <c r="OK61" s="76" t="str">
        <f aca="false">IF($I61&gt;0%,IF(AND(OK$16&gt;=$F61,OK$16&lt;$F61+($G61*$I61)),"➤",""),"")</f>
        <v/>
      </c>
      <c r="OL61" s="76" t="str">
        <f aca="false">IF($I61&gt;0%,IF(AND(OL$16&gt;=$F61,OL$16&lt;$F61+($G61*$I61)),"➤",""),"")</f>
        <v/>
      </c>
      <c r="OM61" s="76" t="str">
        <f aca="false">IF($I61&gt;0%,IF(AND(OM$16&gt;=$F61,OM$16&lt;$F61+($G61*$I61)),"➤",""),"")</f>
        <v/>
      </c>
      <c r="ON61" s="76" t="str">
        <f aca="false">IF($I61&gt;0%,IF(AND(ON$16&gt;=$F61,ON$16&lt;$F61+($G61*$I61)),"➤",""),"")</f>
        <v/>
      </c>
      <c r="OO61" s="76" t="str">
        <f aca="false">IF($I61&gt;0%,IF(AND(OO$16&gt;=$F61,OO$16&lt;$F61+($G61*$I61)),"➤",""),"")</f>
        <v/>
      </c>
      <c r="OP61" s="76" t="str">
        <f aca="false">IF($I61&gt;0%,IF(AND(OP$16&gt;=$F61,OP$16&lt;$F61+($G61*$I61)),"➤",""),"")</f>
        <v/>
      </c>
      <c r="OQ61" s="76" t="str">
        <f aca="false">IF($I61&gt;0%,IF(AND(OQ$16&gt;=$F61,OQ$16&lt;$F61+($G61*$I61)),"➤",""),"")</f>
        <v/>
      </c>
      <c r="OR61" s="76" t="str">
        <f aca="false">IF($I61&gt;0%,IF(AND(OR$16&gt;=$F61,OR$16&lt;$F61+($G61*$I61)),"➤",""),"")</f>
        <v/>
      </c>
      <c r="OS61" s="76" t="str">
        <f aca="false">IF($I61&gt;0%,IF(AND(OS$16&gt;=$F61,OS$16&lt;$F61+($G61*$I61)),"➤",""),"")</f>
        <v/>
      </c>
      <c r="OT61" s="76" t="str">
        <f aca="false">IF($I61&gt;0%,IF(AND(OT$16&gt;=$F61,OT$16&lt;$F61+($G61*$I61)),"➤",""),"")</f>
        <v/>
      </c>
      <c r="OU61" s="76" t="str">
        <f aca="false">IF($I61&gt;0%,IF(AND(OU$16&gt;=$F61,OU$16&lt;$F61+($G61*$I61)),"➤",""),"")</f>
        <v/>
      </c>
      <c r="OV61" s="76" t="str">
        <f aca="false">IF($I61&gt;0%,IF(AND(OV$16&gt;=$F61,OV$16&lt;$F61+($G61*$I61)),"➤",""),"")</f>
        <v/>
      </c>
      <c r="OW61" s="76" t="str">
        <f aca="false">IF($I61&gt;0%,IF(AND(OW$16&gt;=$F61,OW$16&lt;$F61+($G61*$I61)),"➤",""),"")</f>
        <v/>
      </c>
      <c r="OX61" s="76" t="str">
        <f aca="false">IF($I61&gt;0%,IF(AND(OX$16&gt;=$F61,OX$16&lt;$F61+($G61*$I61)),"➤",""),"")</f>
        <v/>
      </c>
      <c r="OY61" s="76" t="str">
        <f aca="false">IF($I61&gt;0%,IF(AND(OY$16&gt;=$F61,OY$16&lt;$F61+($G61*$I61)),"➤",""),"")</f>
        <v/>
      </c>
      <c r="OZ61" s="76" t="str">
        <f aca="false">IF($I61&gt;0%,IF(AND(OZ$16&gt;=$F61,OZ$16&lt;$F61+($G61*$I61)),"➤",""),"")</f>
        <v/>
      </c>
      <c r="PA61" s="76" t="str">
        <f aca="false">IF($I61&gt;0%,IF(AND(PA$16&gt;=$F61,PA$16&lt;$F61+($G61*$I61)),"➤",""),"")</f>
        <v/>
      </c>
      <c r="PB61" s="76" t="str">
        <f aca="false">IF($I61&gt;0%,IF(AND(PB$16&gt;=$F61,PB$16&lt;$F61+($G61*$I61)),"➤",""),"")</f>
        <v/>
      </c>
      <c r="PC61" s="76" t="str">
        <f aca="false">IF($I61&gt;0%,IF(AND(PC$16&gt;=$F61,PC$16&lt;$F61+($G61*$I61)),"➤",""),"")</f>
        <v/>
      </c>
      <c r="PD61" s="76" t="str">
        <f aca="false">IF($I61&gt;0%,IF(AND(PD$16&gt;=$F61,PD$16&lt;$F61+($G61*$I61)),"➤",""),"")</f>
        <v/>
      </c>
      <c r="PE61" s="76" t="str">
        <f aca="false">IF($I61&gt;0%,IF(AND(PE$16&gt;=$F61,PE$16&lt;$F61+($G61*$I61)),"➤",""),"")</f>
        <v/>
      </c>
      <c r="PF61" s="76" t="str">
        <f aca="false">IF($I61&gt;0%,IF(AND(PF$16&gt;=$F61,PF$16&lt;$F61+($G61*$I61)),"➤",""),"")</f>
        <v/>
      </c>
      <c r="PG61" s="76" t="str">
        <f aca="false">IF($I61&gt;0%,IF(AND(PG$16&gt;=$F61,PG$16&lt;$F61+($G61*$I61)),"➤",""),"")</f>
        <v/>
      </c>
      <c r="PH61" s="76" t="str">
        <f aca="false">IF($I61&gt;0%,IF(AND(PH$16&gt;=$F61,PH$16&lt;$F61+($G61*$I61)),"➤",""),"")</f>
        <v/>
      </c>
      <c r="PI61" s="76" t="str">
        <f aca="false">IF($I61&gt;0%,IF(AND(PI$16&gt;=$F61,PI$16&lt;$F61+($G61*$I61)),"➤",""),"")</f>
        <v/>
      </c>
      <c r="PJ61" s="76" t="str">
        <f aca="false">IF($I61&gt;0%,IF(AND(PJ$16&gt;=$F61,PJ$16&lt;$F61+($G61*$I61)),"➤",""),"")</f>
        <v/>
      </c>
      <c r="PK61" s="76" t="str">
        <f aca="false">IF($I61&gt;0%,IF(AND(PK$16&gt;=$F61,PK$16&lt;$F61+($G61*$I61)),"➤",""),"")</f>
        <v/>
      </c>
      <c r="PL61" s="76" t="str">
        <f aca="false">IF($I61&gt;0%,IF(AND(PL$16&gt;=$F61,PL$16&lt;$F61+($G61*$I61)),"➤",""),"")</f>
        <v/>
      </c>
      <c r="PM61" s="76" t="str">
        <f aca="false">IF($I61&gt;0%,IF(AND(PM$16&gt;=$F61,PM$16&lt;$F61+($G61*$I61)),"➤",""),"")</f>
        <v/>
      </c>
      <c r="PN61" s="76" t="str">
        <f aca="false">IF($I61&gt;0%,IF(AND(PN$16&gt;=$F61,PN$16&lt;$F61+($G61*$I61)),"➤",""),"")</f>
        <v/>
      </c>
      <c r="PO61" s="76" t="str">
        <f aca="false">IF($I61&gt;0%,IF(AND(PO$16&gt;=$F61,PO$16&lt;$F61+($G61*$I61)),"➤",""),"")</f>
        <v/>
      </c>
      <c r="PP61" s="76" t="str">
        <f aca="false">IF($I61&gt;0%,IF(AND(PP$16&gt;=$F61,PP$16&lt;$F61+($G61*$I61)),"➤",""),"")</f>
        <v/>
      </c>
      <c r="PQ61" s="76" t="str">
        <f aca="false">IF($I61&gt;0%,IF(AND(PQ$16&gt;=$F61,PQ$16&lt;$F61+($G61*$I61)),"➤",""),"")</f>
        <v/>
      </c>
      <c r="PR61" s="76" t="str">
        <f aca="false">IF($I61&gt;0%,IF(AND(PR$16&gt;=$F61,PR$16&lt;$F61+($G61*$I61)),"➤",""),"")</f>
        <v/>
      </c>
      <c r="PS61" s="76" t="str">
        <f aca="false">IF($I61&gt;0%,IF(AND(PS$16&gt;=$F61,PS$16&lt;$F61+($G61*$I61)),"➤",""),"")</f>
        <v/>
      </c>
      <c r="PT61" s="76" t="str">
        <f aca="false">IF($I61&gt;0%,IF(AND(PT$16&gt;=$F61,PT$16&lt;$F61+($G61*$I61)),"➤",""),"")</f>
        <v/>
      </c>
      <c r="PU61" s="76" t="str">
        <f aca="false">IF($I61&gt;0%,IF(AND(PU$16&gt;=$F61,PU$16&lt;$F61+($G61*$I61)),"➤",""),"")</f>
        <v/>
      </c>
      <c r="PV61" s="76" t="str">
        <f aca="false">IF($I61&gt;0%,IF(AND(PV$16&gt;=$F61,PV$16&lt;$F61+($G61*$I61)),"➤",""),"")</f>
        <v/>
      </c>
      <c r="PW61" s="76" t="str">
        <f aca="false">IF($I61&gt;0%,IF(AND(PW$16&gt;=$F61,PW$16&lt;$F61+($G61*$I61)),"➤",""),"")</f>
        <v/>
      </c>
      <c r="PX61" s="76" t="str">
        <f aca="false">IF($I61&gt;0%,IF(AND(PX$16&gt;=$F61,PX$16&lt;$F61+($G61*$I61)),"➤",""),"")</f>
        <v/>
      </c>
      <c r="PY61" s="76" t="str">
        <f aca="false">IF($I61&gt;0%,IF(AND(PY$16&gt;=$F61,PY$16&lt;$F61+($G61*$I61)),"➤",""),"")</f>
        <v/>
      </c>
      <c r="PZ61" s="76" t="str">
        <f aca="false">IF($I61&gt;0%,IF(AND(PZ$16&gt;=$F61,PZ$16&lt;$F61+($G61*$I61)),"➤",""),"")</f>
        <v/>
      </c>
      <c r="QA61" s="76" t="str">
        <f aca="false">IF($I61&gt;0%,IF(AND(QA$16&gt;=$F61,QA$16&lt;$F61+($G61*$I61)),"➤",""),"")</f>
        <v/>
      </c>
      <c r="QB61" s="76" t="str">
        <f aca="false">IF($I61&gt;0%,IF(AND(QB$16&gt;=$F61,QB$16&lt;$F61+($G61*$I61)),"➤",""),"")</f>
        <v/>
      </c>
      <c r="QC61" s="76" t="str">
        <f aca="false">IF($I61&gt;0%,IF(AND(QC$16&gt;=$F61,QC$16&lt;$F61+($G61*$I61)),"➤",""),"")</f>
        <v/>
      </c>
      <c r="QD61" s="76" t="str">
        <f aca="false">IF($I61&gt;0%,IF(AND(QD$16&gt;=$F61,QD$16&lt;$F61+($G61*$I61)),"➤",""),"")</f>
        <v/>
      </c>
      <c r="QE61" s="76" t="str">
        <f aca="false">IF($I61&gt;0%,IF(AND(QE$16&gt;=$F61,QE$16&lt;$F61+($G61*$I61)),"➤",""),"")</f>
        <v/>
      </c>
      <c r="QF61" s="76" t="str">
        <f aca="false">IF($I61&gt;0%,IF(AND(QF$16&gt;=$F61,QF$16&lt;$F61+($G61*$I61)),"➤",""),"")</f>
        <v/>
      </c>
      <c r="QG61" s="76" t="str">
        <f aca="false">IF($I61&gt;0%,IF(AND(QG$16&gt;=$F61,QG$16&lt;$F61+($G61*$I61)),"➤",""),"")</f>
        <v/>
      </c>
      <c r="QH61" s="76" t="str">
        <f aca="false">IF($I61&gt;0%,IF(AND(QH$16&gt;=$F61,QH$16&lt;$F61+($G61*$I61)),"➤",""),"")</f>
        <v/>
      </c>
      <c r="QI61" s="76" t="str">
        <f aca="false">IF($I61&gt;0%,IF(AND(QI$16&gt;=$F61,QI$16&lt;$F61+($G61*$I61)),"➤",""),"")</f>
        <v/>
      </c>
      <c r="QJ61" s="76" t="str">
        <f aca="false">IF($I61&gt;0%,IF(AND(QJ$16&gt;=$F61,QJ$16&lt;$F61+($G61*$I61)),"➤",""),"")</f>
        <v/>
      </c>
      <c r="QK61" s="76" t="str">
        <f aca="false">IF($I61&gt;0%,IF(AND(QK$16&gt;=$F61,QK$16&lt;$F61+($G61*$I61)),"➤",""),"")</f>
        <v/>
      </c>
      <c r="QL61" s="76" t="str">
        <f aca="false">IF($I61&gt;0%,IF(AND(QL$16&gt;=$F61,QL$16&lt;$F61+($G61*$I61)),"➤",""),"")</f>
        <v/>
      </c>
      <c r="QM61" s="76" t="str">
        <f aca="false">IF($I61&gt;0%,IF(AND(QM$16&gt;=$F61,QM$16&lt;$F61+($G61*$I61)),"➤",""),"")</f>
        <v/>
      </c>
      <c r="QN61" s="76" t="str">
        <f aca="false">IF($I61&gt;0%,IF(AND(QN$16&gt;=$F61,QN$16&lt;$F61+($G61*$I61)),"➤",""),"")</f>
        <v/>
      </c>
      <c r="QO61" s="76" t="str">
        <f aca="false">IF($I61&gt;0%,IF(AND(QO$16&gt;=$F61,QO$16&lt;$F61+($G61*$I61)),"➤",""),"")</f>
        <v/>
      </c>
      <c r="QP61" s="76" t="str">
        <f aca="false">IF($I61&gt;0%,IF(AND(QP$16&gt;=$F61,QP$16&lt;$F61+($G61*$I61)),"➤",""),"")</f>
        <v/>
      </c>
      <c r="QQ61" s="76" t="str">
        <f aca="false">IF($I61&gt;0%,IF(AND(QQ$16&gt;=$F61,QQ$16&lt;$F61+($G61*$I61)),"➤",""),"")</f>
        <v/>
      </c>
      <c r="QR61" s="76" t="str">
        <f aca="false">IF($I61&gt;0%,IF(AND(QR$16&gt;=$F61,QR$16&lt;$F61+($G61*$I61)),"➤",""),"")</f>
        <v/>
      </c>
      <c r="QS61" s="76" t="str">
        <f aca="false">IF($I61&gt;0%,IF(AND(QS$16&gt;=$F61,QS$16&lt;$F61+($G61*$I61)),"➤",""),"")</f>
        <v/>
      </c>
      <c r="QT61" s="76" t="str">
        <f aca="false">IF($I61&gt;0%,IF(AND(QT$16&gt;=$F61,QT$16&lt;$F61+($G61*$I61)),"➤",""),"")</f>
        <v/>
      </c>
      <c r="QU61" s="76" t="str">
        <f aca="false">IF($I61&gt;0%,IF(AND(QU$16&gt;=$F61,QU$16&lt;$F61+($G61*$I61)),"➤",""),"")</f>
        <v/>
      </c>
      <c r="QV61" s="76" t="str">
        <f aca="false">IF($I61&gt;0%,IF(AND(QV$16&gt;=$F61,QV$16&lt;$F61+($G61*$I61)),"➤",""),"")</f>
        <v/>
      </c>
      <c r="QW61" s="76" t="str">
        <f aca="false">IF($I61&gt;0%,IF(AND(QW$16&gt;=$F61,QW$16&lt;$F61+($G61*$I61)),"➤",""),"")</f>
        <v/>
      </c>
      <c r="QX61" s="76" t="str">
        <f aca="false">IF($I61&gt;0%,IF(AND(QX$16&gt;=$F61,QX$16&lt;$F61+($G61*$I61)),"➤",""),"")</f>
        <v/>
      </c>
      <c r="QY61" s="76" t="str">
        <f aca="false">IF($I61&gt;0%,IF(AND(QY$16&gt;=$F61,QY$16&lt;$F61+($G61*$I61)),"➤",""),"")</f>
        <v/>
      </c>
      <c r="QZ61" s="76" t="str">
        <f aca="false">IF($I61&gt;0%,IF(AND(QZ$16&gt;=$F61,QZ$16&lt;$F61+($G61*$I61)),"➤",""),"")</f>
        <v/>
      </c>
      <c r="RA61" s="76" t="str">
        <f aca="false">IF($I61&gt;0%,IF(AND(RA$16&gt;=$F61,RA$16&lt;$F61+($G61*$I61)),"➤",""),"")</f>
        <v/>
      </c>
      <c r="RB61" s="76" t="str">
        <f aca="false">IF($I61&gt;0%,IF(AND(RB$16&gt;=$F61,RB$16&lt;$F61+($G61*$I61)),"➤",""),"")</f>
        <v/>
      </c>
      <c r="RC61" s="76" t="str">
        <f aca="false">IF($I61&gt;0%,IF(AND(RC$16&gt;=$F61,RC$16&lt;$F61+($G61*$I61)),"➤",""),"")</f>
        <v/>
      </c>
      <c r="RD61" s="76" t="str">
        <f aca="false">IF($I61&gt;0%,IF(AND(RD$16&gt;=$F61,RD$16&lt;$F61+($G61*$I61)),"➤",""),"")</f>
        <v/>
      </c>
      <c r="RE61" s="76" t="str">
        <f aca="false">IF($I61&gt;0%,IF(AND(RE$16&gt;=$F61,RE$16&lt;$F61+($G61*$I61)),"➤",""),"")</f>
        <v/>
      </c>
      <c r="RF61" s="76" t="str">
        <f aca="false">IF($I61&gt;0%,IF(AND(RF$16&gt;=$F61,RF$16&lt;$F61+($G61*$I61)),"➤",""),"")</f>
        <v/>
      </c>
      <c r="RG61" s="76" t="str">
        <f aca="false">IF($I61&gt;0%,IF(AND(RG$16&gt;=$F61,RG$16&lt;$F61+($G61*$I61)),"➤",""),"")</f>
        <v/>
      </c>
      <c r="RH61" s="76" t="str">
        <f aca="false">IF($I61&gt;0%,IF(AND(RH$16&gt;=$F61,RH$16&lt;$F61+($G61*$I61)),"➤",""),"")</f>
        <v/>
      </c>
      <c r="RI61" s="76" t="str">
        <f aca="false">IF($I61&gt;0%,IF(AND(RI$16&gt;=$F61,RI$16&lt;$F61+($G61*$I61)),"➤",""),"")</f>
        <v/>
      </c>
      <c r="RJ61" s="76" t="str">
        <f aca="false">IF($I61&gt;0%,IF(AND(RJ$16&gt;=$F61,RJ$16&lt;$F61+($G61*$I61)),"➤",""),"")</f>
        <v/>
      </c>
      <c r="RK61" s="76" t="str">
        <f aca="false">IF($I61&gt;0%,IF(AND(RK$16&gt;=$F61,RK$16&lt;$F61+($G61*$I61)),"➤",""),"")</f>
        <v/>
      </c>
      <c r="RL61" s="76" t="str">
        <f aca="false">IF($I61&gt;0%,IF(AND(RL$16&gt;=$F61,RL$16&lt;$F61+($G61*$I61)),"➤",""),"")</f>
        <v/>
      </c>
      <c r="RM61" s="76" t="str">
        <f aca="false">IF($I61&gt;0%,IF(AND(RM$16&gt;=$F61,RM$16&lt;$F61+($G61*$I61)),"➤",""),"")</f>
        <v/>
      </c>
      <c r="RN61" s="76" t="str">
        <f aca="false">IF($I61&gt;0%,IF(AND(RN$16&gt;=$F61,RN$16&lt;$F61+($G61*$I61)),"➤",""),"")</f>
        <v/>
      </c>
      <c r="RO61" s="76" t="str">
        <f aca="false">IF($I61&gt;0%,IF(AND(RO$16&gt;=$F61,RO$16&lt;$F61+($G61*$I61)),"➤",""),"")</f>
        <v/>
      </c>
      <c r="RP61" s="76" t="str">
        <f aca="false">IF($I61&gt;0%,IF(AND(RP$16&gt;=$F61,RP$16&lt;$F61+($G61*$I61)),"➤",""),"")</f>
        <v/>
      </c>
      <c r="RQ61" s="76" t="str">
        <f aca="false">IF($I61&gt;0%,IF(AND(RQ$16&gt;=$F61,RQ$16&lt;$F61+($G61*$I61)),"➤",""),"")</f>
        <v/>
      </c>
      <c r="RR61" s="76" t="str">
        <f aca="false">IF($I61&gt;0%,IF(AND(RR$16&gt;=$F61,RR$16&lt;$F61+($G61*$I61)),"➤",""),"")</f>
        <v/>
      </c>
      <c r="RS61" s="76" t="str">
        <f aca="false">IF($I61&gt;0%,IF(AND(RS$16&gt;=$F61,RS$16&lt;$F61+($G61*$I61)),"➤",""),"")</f>
        <v/>
      </c>
      <c r="RT61" s="76" t="str">
        <f aca="false">IF($I61&gt;0%,IF(AND(RT$16&gt;=$F61,RT$16&lt;$F61+($G61*$I61)),"➤",""),"")</f>
        <v/>
      </c>
      <c r="RU61" s="76" t="str">
        <f aca="false">IF($I61&gt;0%,IF(AND(RU$16&gt;=$F61,RU$16&lt;$F61+($G61*$I61)),"➤",""),"")</f>
        <v/>
      </c>
      <c r="RV61" s="76" t="str">
        <f aca="false">IF($I61&gt;0%,IF(AND(RV$16&gt;=$F61,RV$16&lt;$F61+($G61*$I61)),"➤",""),"")</f>
        <v/>
      </c>
      <c r="RW61" s="76" t="str">
        <f aca="false">IF($I61&gt;0%,IF(AND(RW$16&gt;=$F61,RW$16&lt;$F61+($G61*$I61)),"➤",""),"")</f>
        <v/>
      </c>
      <c r="RX61" s="76" t="str">
        <f aca="false">IF($I61&gt;0%,IF(AND(RX$16&gt;=$F61,RX$16&lt;$F61+($G61*$I61)),"➤",""),"")</f>
        <v/>
      </c>
      <c r="RY61" s="76" t="str">
        <f aca="false">IF($I61&gt;0%,IF(AND(RY$16&gt;=$F61,RY$16&lt;$F61+($G61*$I61)),"➤",""),"")</f>
        <v/>
      </c>
      <c r="RZ61" s="76" t="str">
        <f aca="false">IF($I61&gt;0%,IF(AND(RZ$16&gt;=$F61,RZ$16&lt;$F61+($G61*$I61)),"➤",""),"")</f>
        <v/>
      </c>
      <c r="SA61" s="76" t="str">
        <f aca="false">IF($I61&gt;0%,IF(AND(SA$16&gt;=$F61,SA$16&lt;$F61+($G61*$I61)),"➤",""),"")</f>
        <v/>
      </c>
      <c r="SB61" s="76" t="str">
        <f aca="false">IF($I61&gt;0%,IF(AND(SB$16&gt;=$F61,SB$16&lt;$F61+($G61*$I61)),"➤",""),"")</f>
        <v/>
      </c>
      <c r="SC61" s="76" t="str">
        <f aca="false">IF($I61&gt;0%,IF(AND(SC$16&gt;=$F61,SC$16&lt;$F61+($G61*$I61)),"➤",""),"")</f>
        <v/>
      </c>
      <c r="SD61" s="76" t="str">
        <f aca="false">IF($I61&gt;0%,IF(AND(SD$16&gt;=$F61,SD$16&lt;$F61+($G61*$I61)),"➤",""),"")</f>
        <v/>
      </c>
      <c r="SE61" s="76" t="str">
        <f aca="false">IF($I61&gt;0%,IF(AND(SE$16&gt;=$F61,SE$16&lt;$F61+($G61*$I61)),"➤",""),"")</f>
        <v/>
      </c>
      <c r="SF61" s="76" t="str">
        <f aca="false">IF($I61&gt;0%,IF(AND(SF$16&gt;=$F61,SF$16&lt;$F61+($G61*$I61)),"➤",""),"")</f>
        <v/>
      </c>
      <c r="SG61" s="76" t="str">
        <f aca="false">IF($I61&gt;0%,IF(AND(SG$16&gt;=$F61,SG$16&lt;$F61+($G61*$I61)),"➤",""),"")</f>
        <v/>
      </c>
      <c r="SH61" s="76" t="str">
        <f aca="false">IF($I61&gt;0%,IF(AND(SH$16&gt;=$F61,SH$16&lt;$F61+($G61*$I61)),"➤",""),"")</f>
        <v/>
      </c>
      <c r="SI61" s="76" t="str">
        <f aca="false">IF($I61&gt;0%,IF(AND(SI$16&gt;=$F61,SI$16&lt;$F61+($G61*$I61)),"➤",""),"")</f>
        <v/>
      </c>
      <c r="SJ61" s="76" t="str">
        <f aca="false">IF($I61&gt;0%,IF(AND(SJ$16&gt;=$F61,SJ$16&lt;$F61+($G61*$I61)),"➤",""),"")</f>
        <v/>
      </c>
      <c r="SK61" s="76" t="str">
        <f aca="false">IF($I61&gt;0%,IF(AND(SK$16&gt;=$F61,SK$16&lt;$F61+($G61*$I61)),"➤",""),"")</f>
        <v/>
      </c>
      <c r="SL61" s="76" t="str">
        <f aca="false">IF($I61&gt;0%,IF(AND(SL$16&gt;=$F61,SL$16&lt;$F61+($G61*$I61)),"➤",""),"")</f>
        <v/>
      </c>
      <c r="SM61" s="76" t="str">
        <f aca="false">IF($I61&gt;0%,IF(AND(SM$16&gt;=$F61,SM$16&lt;$F61+($G61*$I61)),"➤",""),"")</f>
        <v/>
      </c>
      <c r="SN61" s="76" t="str">
        <f aca="false">IF($I61&gt;0%,IF(AND(SN$16&gt;=$F61,SN$16&lt;$F61+($G61*$I61)),"➤",""),"")</f>
        <v/>
      </c>
      <c r="SO61" s="76" t="str">
        <f aca="false">IF($I61&gt;0%,IF(AND(SO$16&gt;=$F61,SO$16&lt;$F61+($G61*$I61)),"➤",""),"")</f>
        <v/>
      </c>
      <c r="SP61" s="76" t="str">
        <f aca="false">IF($I61&gt;0%,IF(AND(SP$16&gt;=$F61,SP$16&lt;$F61+($G61*$I61)),"➤",""),"")</f>
        <v/>
      </c>
      <c r="SQ61" s="76" t="str">
        <f aca="false">IF($I61&gt;0%,IF(AND(SQ$16&gt;=$F61,SQ$16&lt;$F61+($G61*$I61)),"➤",""),"")</f>
        <v/>
      </c>
      <c r="SR61" s="76" t="str">
        <f aca="false">IF($I61&gt;0%,IF(AND(SR$16&gt;=$F61,SR$16&lt;$F61+($G61*$I61)),"➤",""),"")</f>
        <v/>
      </c>
      <c r="SS61" s="76" t="str">
        <f aca="false">IF($I61&gt;0%,IF(AND(SS$16&gt;=$F61,SS$16&lt;$F61+($G61*$I61)),"➤",""),"")</f>
        <v/>
      </c>
      <c r="ST61" s="76" t="str">
        <f aca="false">IF($I61&gt;0%,IF(AND(ST$16&gt;=$F61,ST$16&lt;$F61+($G61*$I61)),"➤",""),"")</f>
        <v/>
      </c>
      <c r="SU61" s="76" t="str">
        <f aca="false">IF($I61&gt;0%,IF(AND(SU$16&gt;=$F61,SU$16&lt;$F61+($G61*$I61)),"➤",""),"")</f>
        <v/>
      </c>
      <c r="SV61" s="76" t="str">
        <f aca="false">IF($I61&gt;0%,IF(AND(SV$16&gt;=$F61,SV$16&lt;$F61+($G61*$I61)),"➤",""),"")</f>
        <v/>
      </c>
      <c r="SW61" s="77" t="str">
        <f aca="false">IF($I61&gt;0%,IF(AND(SW$16&gt;=$F61,SW$16&lt;$F61+($G61*$I61)),"➤",""),"")</f>
        <v/>
      </c>
    </row>
    <row r="62" customFormat="false" ht="14.25" hidden="false" customHeight="false" outlineLevel="1" collapsed="false">
      <c r="C62" s="10"/>
      <c r="D62" s="112"/>
      <c r="E62" s="79"/>
      <c r="F62" s="97" t="n">
        <v>44206</v>
      </c>
      <c r="G62" s="81" t="n">
        <v>4</v>
      </c>
      <c r="H62" s="96" t="n">
        <f aca="false">(F62+G62)-1</f>
        <v>44209</v>
      </c>
      <c r="I62" s="98" t="n">
        <v>0</v>
      </c>
      <c r="J62" s="84"/>
      <c r="K62" s="85"/>
      <c r="L62" s="75" t="str">
        <f aca="false">IF($I62&gt;0%,IF(AND(L$16&gt;=$F62,L$16&lt;$F62+($G62*$I62)),"➤",""),"")</f>
        <v/>
      </c>
      <c r="M62" s="76" t="str">
        <f aca="false">IF($I62&gt;0%,IF(AND(M$16&gt;=$F62,M$16&lt;$F62+($G62*$I62)),"➤",""),"")</f>
        <v/>
      </c>
      <c r="N62" s="76" t="str">
        <f aca="false">IF($I62&gt;0%,IF(AND(N$16&gt;=$F62,N$16&lt;$F62+($G62*$I62)),"➤",""),"")</f>
        <v/>
      </c>
      <c r="O62" s="76" t="str">
        <f aca="false">IF($I62&gt;0%,IF(AND(O$16&gt;=$F62,O$16&lt;$F62+($G62*$I62)),"➤",""),"")</f>
        <v/>
      </c>
      <c r="P62" s="76" t="str">
        <f aca="false">IF($I62&gt;0%,IF(AND(P$16&gt;=$F62,P$16&lt;$F62+($G62*$I62)),"➤",""),"")</f>
        <v/>
      </c>
      <c r="Q62" s="76" t="str">
        <f aca="false">IF($I62&gt;0%,IF(AND(Q$16&gt;=$F62,Q$16&lt;$F62+($G62*$I62)),"➤",""),"")</f>
        <v/>
      </c>
      <c r="R62" s="76" t="str">
        <f aca="false">IF($I62&gt;0%,IF(AND(R$16&gt;=$F62,R$16&lt;$F62+($G62*$I62)),"➤",""),"")</f>
        <v/>
      </c>
      <c r="S62" s="76" t="str">
        <f aca="false">IF($I62&gt;0%,IF(AND(S$16&gt;=$F62,S$16&lt;$F62+($G62*$I62)),"➤",""),"")</f>
        <v/>
      </c>
      <c r="T62" s="76" t="str">
        <f aca="false">IF($I62&gt;0%,IF(AND(T$16&gt;=$F62,T$16&lt;$F62+($G62*$I62)),"➤",""),"")</f>
        <v/>
      </c>
      <c r="U62" s="76" t="str">
        <f aca="false">IF($I62&gt;0%,IF(AND(U$16&gt;=$F62,U$16&lt;$F62+($G62*$I62)),"➤",""),"")</f>
        <v/>
      </c>
      <c r="V62" s="76" t="str">
        <f aca="false">IF($I62&gt;0%,IF(AND(V$16&gt;=$F62,V$16&lt;$F62+($G62*$I62)),"➤",""),"")</f>
        <v/>
      </c>
      <c r="W62" s="76" t="str">
        <f aca="false">IF($I62&gt;0%,IF(AND(W$16&gt;=$F62,W$16&lt;$F62+($G62*$I62)),"➤",""),"")</f>
        <v/>
      </c>
      <c r="X62" s="76" t="str">
        <f aca="false">IF($I62&gt;0%,IF(AND(X$16&gt;=$F62,X$16&lt;$F62+($G62*$I62)),"➤",""),"")</f>
        <v/>
      </c>
      <c r="Y62" s="76" t="str">
        <f aca="false">IF($I62&gt;0%,IF(AND(Y$16&gt;=$F62,Y$16&lt;$F62+($G62*$I62)),"➤",""),"")</f>
        <v/>
      </c>
      <c r="Z62" s="76" t="str">
        <f aca="false">IF($I62&gt;0%,IF(AND(Z$16&gt;=$F62,Z$16&lt;$F62+($G62*$I62)),"➤",""),"")</f>
        <v/>
      </c>
      <c r="AA62" s="76" t="str">
        <f aca="false">IF($I62&gt;0%,IF(AND(AA$16&gt;=$F62,AA$16&lt;$F62+($G62*$I62)),"➤",""),"")</f>
        <v/>
      </c>
      <c r="AB62" s="76" t="str">
        <f aca="false">IF($I62&gt;0%,IF(AND(AB$16&gt;=$F62,AB$16&lt;$F62+($G62*$I62)),"➤",""),"")</f>
        <v/>
      </c>
      <c r="AC62" s="76" t="str">
        <f aca="false">IF($I62&gt;0%,IF(AND(AC$16&gt;=$F62,AC$16&lt;$F62+($G62*$I62)),"➤",""),"")</f>
        <v/>
      </c>
      <c r="AD62" s="76" t="str">
        <f aca="false">IF($I62&gt;0%,IF(AND(AD$16&gt;=$F62,AD$16&lt;$F62+($G62*$I62)),"➤",""),"")</f>
        <v/>
      </c>
      <c r="AE62" s="76" t="str">
        <f aca="false">IF($I62&gt;0%,IF(AND(AE$16&gt;=$F62,AE$16&lt;$F62+($G62*$I62)),"➤",""),"")</f>
        <v/>
      </c>
      <c r="AF62" s="76" t="str">
        <f aca="false">IF($I62&gt;0%,IF(AND(AF$16&gt;=$F62,AF$16&lt;$F62+($G62*$I62)),"➤",""),"")</f>
        <v/>
      </c>
      <c r="AG62" s="76" t="str">
        <f aca="false">IF($I62&gt;0%,IF(AND(AG$16&gt;=$F62,AG$16&lt;$F62+($G62*$I62)),"➤",""),"")</f>
        <v/>
      </c>
      <c r="AH62" s="76" t="str">
        <f aca="false">IF($I62&gt;0%,IF(AND(AH$16&gt;=$F62,AH$16&lt;$F62+($G62*$I62)),"➤",""),"")</f>
        <v/>
      </c>
      <c r="AI62" s="76" t="str">
        <f aca="false">IF($I62&gt;0%,IF(AND(AI$16&gt;=$F62,AI$16&lt;$F62+($G62*$I62)),"➤",""),"")</f>
        <v/>
      </c>
      <c r="AJ62" s="76" t="str">
        <f aca="false">IF($I62&gt;0%,IF(AND(AJ$16&gt;=$F62,AJ$16&lt;$F62+($G62*$I62)),"➤",""),"")</f>
        <v/>
      </c>
      <c r="AK62" s="76" t="str">
        <f aca="false">IF($I62&gt;0%,IF(AND(AK$16&gt;=$F62,AK$16&lt;$F62+($G62*$I62)),"➤",""),"")</f>
        <v/>
      </c>
      <c r="AL62" s="76" t="str">
        <f aca="false">IF($I62&gt;0%,IF(AND(AL$16&gt;=$F62,AL$16&lt;$F62+($G62*$I62)),"➤",""),"")</f>
        <v/>
      </c>
      <c r="AM62" s="76" t="str">
        <f aca="false">IF($I62&gt;0%,IF(AND(AM$16&gt;=$F62,AM$16&lt;$F62+($G62*$I62)),"➤",""),"")</f>
        <v/>
      </c>
      <c r="AN62" s="76" t="str">
        <f aca="false">IF($I62&gt;0%,IF(AND(AN$16&gt;=$F62,AN$16&lt;$F62+($G62*$I62)),"➤",""),"")</f>
        <v/>
      </c>
      <c r="AO62" s="76" t="str">
        <f aca="false">IF($I62&gt;0%,IF(AND(AO$16&gt;=$F62,AO$16&lt;$F62+($G62*$I62)),"➤",""),"")</f>
        <v/>
      </c>
      <c r="AP62" s="76" t="str">
        <f aca="false">IF($I62&gt;0%,IF(AND(AP$16&gt;=$F62,AP$16&lt;$F62+($G62*$I62)),"➤",""),"")</f>
        <v/>
      </c>
      <c r="AQ62" s="76" t="str">
        <f aca="false">IF($I62&gt;0%,IF(AND(AQ$16&gt;=$F62,AQ$16&lt;$F62+($G62*$I62)),"➤",""),"")</f>
        <v/>
      </c>
      <c r="AR62" s="76" t="str">
        <f aca="false">IF($I62&gt;0%,IF(AND(AR$16&gt;=$F62,AR$16&lt;$F62+($G62*$I62)),"➤",""),"")</f>
        <v/>
      </c>
      <c r="AS62" s="76" t="str">
        <f aca="false">IF($I62&gt;0%,IF(AND(AS$16&gt;=$F62,AS$16&lt;$F62+($G62*$I62)),"➤",""),"")</f>
        <v/>
      </c>
      <c r="AT62" s="76" t="str">
        <f aca="false">IF($I62&gt;0%,IF(AND(AT$16&gt;=$F62,AT$16&lt;$F62+($G62*$I62)),"➤",""),"")</f>
        <v/>
      </c>
      <c r="AU62" s="76" t="str">
        <f aca="false">IF($I62&gt;0%,IF(AND(AU$16&gt;=$F62,AU$16&lt;$F62+($G62*$I62)),"➤",""),"")</f>
        <v/>
      </c>
      <c r="AV62" s="76" t="str">
        <f aca="false">IF($I62&gt;0%,IF(AND(AV$16&gt;=$F62,AV$16&lt;$F62+($G62*$I62)),"➤",""),"")</f>
        <v/>
      </c>
      <c r="AW62" s="76" t="str">
        <f aca="false">IF($I62&gt;0%,IF(AND(AW$16&gt;=$F62,AW$16&lt;$F62+($G62*$I62)),"➤",""),"")</f>
        <v/>
      </c>
      <c r="AX62" s="76" t="str">
        <f aca="false">IF($I62&gt;0%,IF(AND(AX$16&gt;=$F62,AX$16&lt;$F62+($G62*$I62)),"➤",""),"")</f>
        <v/>
      </c>
      <c r="AY62" s="76" t="str">
        <f aca="false">IF($I62&gt;0%,IF(AND(AY$16&gt;=$F62,AY$16&lt;$F62+($G62*$I62)),"➤",""),"")</f>
        <v/>
      </c>
      <c r="AZ62" s="76" t="str">
        <f aca="false">IF($I62&gt;0%,IF(AND(AZ$16&gt;=$F62,AZ$16&lt;$F62+($G62*$I62)),"➤",""),"")</f>
        <v/>
      </c>
      <c r="BA62" s="76" t="str">
        <f aca="false">IF($I62&gt;0%,IF(AND(BA$16&gt;=$F62,BA$16&lt;$F62+($G62*$I62)),"➤",""),"")</f>
        <v/>
      </c>
      <c r="BB62" s="76" t="str">
        <f aca="false">IF($I62&gt;0%,IF(AND(BB$16&gt;=$F62,BB$16&lt;$F62+($G62*$I62)),"➤",""),"")</f>
        <v/>
      </c>
      <c r="BC62" s="76" t="str">
        <f aca="false">IF($I62&gt;0%,IF(AND(BC$16&gt;=$F62,BC$16&lt;$F62+($G62*$I62)),"➤",""),"")</f>
        <v/>
      </c>
      <c r="BD62" s="76" t="str">
        <f aca="false">IF($I62&gt;0%,IF(AND(BD$16&gt;=$F62,BD$16&lt;$F62+($G62*$I62)),"➤",""),"")</f>
        <v/>
      </c>
      <c r="BE62" s="76" t="str">
        <f aca="false">IF($I62&gt;0%,IF(AND(BE$16&gt;=$F62,BE$16&lt;$F62+($G62*$I62)),"➤",""),"")</f>
        <v/>
      </c>
      <c r="BF62" s="76" t="str">
        <f aca="false">IF($I62&gt;0%,IF(AND(BF$16&gt;=$F62,BF$16&lt;$F62+($G62*$I62)),"➤",""),"")</f>
        <v/>
      </c>
      <c r="BG62" s="76" t="str">
        <f aca="false">IF($I62&gt;0%,IF(AND(BG$16&gt;=$F62,BG$16&lt;$F62+($G62*$I62)),"➤",""),"")</f>
        <v/>
      </c>
      <c r="BH62" s="76" t="str">
        <f aca="false">IF($I62&gt;0%,IF(AND(BH$16&gt;=$F62,BH$16&lt;$F62+($G62*$I62)),"➤",""),"")</f>
        <v/>
      </c>
      <c r="BI62" s="76" t="str">
        <f aca="false">IF($I62&gt;0%,IF(AND(BI$16&gt;=$F62,BI$16&lt;$F62+($G62*$I62)),"➤",""),"")</f>
        <v/>
      </c>
      <c r="BJ62" s="76" t="str">
        <f aca="false">IF($I62&gt;0%,IF(AND(BJ$16&gt;=$F62,BJ$16&lt;$F62+($G62*$I62)),"➤",""),"")</f>
        <v/>
      </c>
      <c r="BK62" s="76" t="str">
        <f aca="false">IF($I62&gt;0%,IF(AND(BK$16&gt;=$F62,BK$16&lt;$F62+($G62*$I62)),"➤",""),"")</f>
        <v/>
      </c>
      <c r="BL62" s="76" t="str">
        <f aca="false">IF($I62&gt;0%,IF(AND(BL$16&gt;=$F62,BL$16&lt;$F62+($G62*$I62)),"➤",""),"")</f>
        <v/>
      </c>
      <c r="BM62" s="76" t="str">
        <f aca="false">IF($I62&gt;0%,IF(AND(BM$16&gt;=$F62,BM$16&lt;$F62+($G62*$I62)),"➤",""),"")</f>
        <v/>
      </c>
      <c r="BN62" s="76" t="str">
        <f aca="false">IF($I62&gt;0%,IF(AND(BN$16&gt;=$F62,BN$16&lt;$F62+($G62*$I62)),"➤",""),"")</f>
        <v/>
      </c>
      <c r="BO62" s="76" t="str">
        <f aca="false">IF($I62&gt;0%,IF(AND(BO$16&gt;=$F62,BO$16&lt;$F62+($G62*$I62)),"➤",""),"")</f>
        <v/>
      </c>
      <c r="BP62" s="76" t="str">
        <f aca="false">IF($I62&gt;0%,IF(AND(BP$16&gt;=$F62,BP$16&lt;$F62+($G62*$I62)),"➤",""),"")</f>
        <v/>
      </c>
      <c r="BQ62" s="76" t="str">
        <f aca="false">IF($I62&gt;0%,IF(AND(BQ$16&gt;=$F62,BQ$16&lt;$F62+($G62*$I62)),"➤",""),"")</f>
        <v/>
      </c>
      <c r="BR62" s="76" t="str">
        <f aca="false">IF($I62&gt;0%,IF(AND(BR$16&gt;=$F62,BR$16&lt;$F62+($G62*$I62)),"➤",""),"")</f>
        <v/>
      </c>
      <c r="BS62" s="76" t="str">
        <f aca="false">IF($I62&gt;0%,IF(AND(BS$16&gt;=$F62,BS$16&lt;$F62+($G62*$I62)),"➤",""),"")</f>
        <v/>
      </c>
      <c r="BT62" s="76" t="str">
        <f aca="false">IF($I62&gt;0%,IF(AND(BT$16&gt;=$F62,BT$16&lt;$F62+($G62*$I62)),"➤",""),"")</f>
        <v/>
      </c>
      <c r="BU62" s="76" t="str">
        <f aca="false">IF($I62&gt;0%,IF(AND(BU$16&gt;=$F62,BU$16&lt;$F62+($G62*$I62)),"➤",""),"")</f>
        <v/>
      </c>
      <c r="BV62" s="76" t="str">
        <f aca="false">IF($I62&gt;0%,IF(AND(BV$16&gt;=$F62,BV$16&lt;$F62+($G62*$I62)),"➤",""),"")</f>
        <v/>
      </c>
      <c r="BW62" s="76" t="str">
        <f aca="false">IF($I62&gt;0%,IF(AND(BW$16&gt;=$F62,BW$16&lt;$F62+($G62*$I62)),"➤",""),"")</f>
        <v/>
      </c>
      <c r="BX62" s="76" t="str">
        <f aca="false">IF($I62&gt;0%,IF(AND(BX$16&gt;=$F62,BX$16&lt;$F62+($G62*$I62)),"➤",""),"")</f>
        <v/>
      </c>
      <c r="BY62" s="76" t="str">
        <f aca="false">IF($I62&gt;0%,IF(AND(BY$16&gt;=$F62,BY$16&lt;$F62+($G62*$I62)),"➤",""),"")</f>
        <v/>
      </c>
      <c r="BZ62" s="76" t="str">
        <f aca="false">IF($I62&gt;0%,IF(AND(BZ$16&gt;=$F62,BZ$16&lt;$F62+($G62*$I62)),"➤",""),"")</f>
        <v/>
      </c>
      <c r="CA62" s="76" t="str">
        <f aca="false">IF($I62&gt;0%,IF(AND(CA$16&gt;=$F62,CA$16&lt;$F62+($G62*$I62)),"➤",""),"")</f>
        <v/>
      </c>
      <c r="CB62" s="76" t="str">
        <f aca="false">IF($I62&gt;0%,IF(AND(CB$16&gt;=$F62,CB$16&lt;$F62+($G62*$I62)),"➤",""),"")</f>
        <v/>
      </c>
      <c r="CC62" s="76" t="str">
        <f aca="false">IF($I62&gt;0%,IF(AND(CC$16&gt;=$F62,CC$16&lt;$F62+($G62*$I62)),"➤",""),"")</f>
        <v/>
      </c>
      <c r="CD62" s="76" t="str">
        <f aca="false">IF($I62&gt;0%,IF(AND(CD$16&gt;=$F62,CD$16&lt;$F62+($G62*$I62)),"➤",""),"")</f>
        <v/>
      </c>
      <c r="CE62" s="76" t="str">
        <f aca="false">IF($I62&gt;0%,IF(AND(CE$16&gt;=$F62,CE$16&lt;$F62+($G62*$I62)),"➤",""),"")</f>
        <v/>
      </c>
      <c r="CF62" s="76" t="str">
        <f aca="false">IF($I62&gt;0%,IF(AND(CF$16&gt;=$F62,CF$16&lt;$F62+($G62*$I62)),"➤",""),"")</f>
        <v/>
      </c>
      <c r="CG62" s="76" t="str">
        <f aca="false">IF($I62&gt;0%,IF(AND(CG$16&gt;=$F62,CG$16&lt;$F62+($G62*$I62)),"➤",""),"")</f>
        <v/>
      </c>
      <c r="CH62" s="76" t="str">
        <f aca="false">IF($I62&gt;0%,IF(AND(CH$16&gt;=$F62,CH$16&lt;$F62+($G62*$I62)),"➤",""),"")</f>
        <v/>
      </c>
      <c r="CI62" s="76" t="str">
        <f aca="false">IF($I62&gt;0%,IF(AND(CI$16&gt;=$F62,CI$16&lt;$F62+($G62*$I62)),"➤",""),"")</f>
        <v/>
      </c>
      <c r="CJ62" s="76" t="str">
        <f aca="false">IF($I62&gt;0%,IF(AND(CJ$16&gt;=$F62,CJ$16&lt;$F62+($G62*$I62)),"➤",""),"")</f>
        <v/>
      </c>
      <c r="CK62" s="76" t="str">
        <f aca="false">IF($I62&gt;0%,IF(AND(CK$16&gt;=$F62,CK$16&lt;$F62+($G62*$I62)),"➤",""),"")</f>
        <v/>
      </c>
      <c r="CL62" s="76" t="str">
        <f aca="false">IF($I62&gt;0%,IF(AND(CL$16&gt;=$F62,CL$16&lt;$F62+($G62*$I62)),"➤",""),"")</f>
        <v/>
      </c>
      <c r="CM62" s="76" t="str">
        <f aca="false">IF($I62&gt;0%,IF(AND(CM$16&gt;=$F62,CM$16&lt;$F62+($G62*$I62)),"➤",""),"")</f>
        <v/>
      </c>
      <c r="CN62" s="76" t="str">
        <f aca="false">IF($I62&gt;0%,IF(AND(CN$16&gt;=$F62,CN$16&lt;$F62+($G62*$I62)),"➤",""),"")</f>
        <v/>
      </c>
      <c r="CO62" s="76" t="str">
        <f aca="false">IF($I62&gt;0%,IF(AND(CO$16&gt;=$F62,CO$16&lt;$F62+($G62*$I62)),"➤",""),"")</f>
        <v/>
      </c>
      <c r="CP62" s="76" t="str">
        <f aca="false">IF($I62&gt;0%,IF(AND(CP$16&gt;=$F62,CP$16&lt;$F62+($G62*$I62)),"➤",""),"")</f>
        <v/>
      </c>
      <c r="CQ62" s="76" t="str">
        <f aca="false">IF($I62&gt;0%,IF(AND(CQ$16&gt;=$F62,CQ$16&lt;$F62+($G62*$I62)),"➤",""),"")</f>
        <v/>
      </c>
      <c r="CR62" s="76" t="str">
        <f aca="false">IF($I62&gt;0%,IF(AND(CR$16&gt;=$F62,CR$16&lt;$F62+($G62*$I62)),"➤",""),"")</f>
        <v/>
      </c>
      <c r="CS62" s="76" t="str">
        <f aca="false">IF($I62&gt;0%,IF(AND(CS$16&gt;=$F62,CS$16&lt;$F62+($G62*$I62)),"➤",""),"")</f>
        <v/>
      </c>
      <c r="CT62" s="76" t="str">
        <f aca="false">IF($I62&gt;0%,IF(AND(CT$16&gt;=$F62,CT$16&lt;$F62+($G62*$I62)),"➤",""),"")</f>
        <v/>
      </c>
      <c r="CU62" s="76" t="str">
        <f aca="false">IF($I62&gt;0%,IF(AND(CU$16&gt;=$F62,CU$16&lt;$F62+($G62*$I62)),"➤",""),"")</f>
        <v/>
      </c>
      <c r="CV62" s="76" t="str">
        <f aca="false">IF($I62&gt;0%,IF(AND(CV$16&gt;=$F62,CV$16&lt;$F62+($G62*$I62)),"➤",""),"")</f>
        <v/>
      </c>
      <c r="CW62" s="76" t="str">
        <f aca="false">IF($I62&gt;0%,IF(AND(CW$16&gt;=$F62,CW$16&lt;$F62+($G62*$I62)),"➤",""),"")</f>
        <v/>
      </c>
      <c r="CX62" s="76" t="str">
        <f aca="false">IF($I62&gt;0%,IF(AND(CX$16&gt;=$F62,CX$16&lt;$F62+($G62*$I62)),"➤",""),"")</f>
        <v/>
      </c>
      <c r="CY62" s="76" t="str">
        <f aca="false">IF($I62&gt;0%,IF(AND(CY$16&gt;=$F62,CY$16&lt;$F62+($G62*$I62)),"➤",""),"")</f>
        <v/>
      </c>
      <c r="CZ62" s="76" t="str">
        <f aca="false">IF($I62&gt;0%,IF(AND(CZ$16&gt;=$F62,CZ$16&lt;$F62+($G62*$I62)),"➤",""),"")</f>
        <v/>
      </c>
      <c r="DA62" s="76" t="str">
        <f aca="false">IF($I62&gt;0%,IF(AND(DA$16&gt;=$F62,DA$16&lt;$F62+($G62*$I62)),"➤",""),"")</f>
        <v/>
      </c>
      <c r="DB62" s="76" t="str">
        <f aca="false">IF($I62&gt;0%,IF(AND(DB$16&gt;=$F62,DB$16&lt;$F62+($G62*$I62)),"➤",""),"")</f>
        <v/>
      </c>
      <c r="DC62" s="76" t="str">
        <f aca="false">IF($I62&gt;0%,IF(AND(DC$16&gt;=$F62,DC$16&lt;$F62+($G62*$I62)),"➤",""),"")</f>
        <v/>
      </c>
      <c r="DD62" s="76" t="str">
        <f aca="false">IF($I62&gt;0%,IF(AND(DD$16&gt;=$F62,DD$16&lt;$F62+($G62*$I62)),"➤",""),"")</f>
        <v/>
      </c>
      <c r="DE62" s="76" t="str">
        <f aca="false">IF($I62&gt;0%,IF(AND(DE$16&gt;=$F62,DE$16&lt;$F62+($G62*$I62)),"➤",""),"")</f>
        <v/>
      </c>
      <c r="DF62" s="76" t="str">
        <f aca="false">IF($I62&gt;0%,IF(AND(DF$16&gt;=$F62,DF$16&lt;$F62+($G62*$I62)),"➤",""),"")</f>
        <v/>
      </c>
      <c r="DG62" s="76" t="str">
        <f aca="false">IF($I62&gt;0%,IF(AND(DG$16&gt;=$F62,DG$16&lt;$F62+($G62*$I62)),"➤",""),"")</f>
        <v/>
      </c>
      <c r="DH62" s="76" t="str">
        <f aca="false">IF($I62&gt;0%,IF(AND(DH$16&gt;=$F62,DH$16&lt;$F62+($G62*$I62)),"➤",""),"")</f>
        <v/>
      </c>
      <c r="DI62" s="76" t="str">
        <f aca="false">IF($I62&gt;0%,IF(AND(DI$16&gt;=$F62,DI$16&lt;$F62+($G62*$I62)),"➤",""),"")</f>
        <v/>
      </c>
      <c r="DJ62" s="76" t="str">
        <f aca="false">IF($I62&gt;0%,IF(AND(DJ$16&gt;=$F62,DJ$16&lt;$F62+($G62*$I62)),"➤",""),"")</f>
        <v/>
      </c>
      <c r="DK62" s="76" t="str">
        <f aca="false">IF($I62&gt;0%,IF(AND(DK$16&gt;=$F62,DK$16&lt;$F62+($G62*$I62)),"➤",""),"")</f>
        <v/>
      </c>
      <c r="DL62" s="76" t="str">
        <f aca="false">IF($I62&gt;0%,IF(AND(DL$16&gt;=$F62,DL$16&lt;$F62+($G62*$I62)),"➤",""),"")</f>
        <v/>
      </c>
      <c r="DM62" s="76" t="str">
        <f aca="false">IF($I62&gt;0%,IF(AND(DM$16&gt;=$F62,DM$16&lt;$F62+($G62*$I62)),"➤",""),"")</f>
        <v/>
      </c>
      <c r="DN62" s="76" t="str">
        <f aca="false">IF($I62&gt;0%,IF(AND(DN$16&gt;=$F62,DN$16&lt;$F62+($G62*$I62)),"➤",""),"")</f>
        <v/>
      </c>
      <c r="DO62" s="76" t="str">
        <f aca="false">IF($I62&gt;0%,IF(AND(DO$16&gt;=$F62,DO$16&lt;$F62+($G62*$I62)),"➤",""),"")</f>
        <v/>
      </c>
      <c r="DP62" s="76" t="str">
        <f aca="false">IF($I62&gt;0%,IF(AND(DP$16&gt;=$F62,DP$16&lt;$F62+($G62*$I62)),"➤",""),"")</f>
        <v/>
      </c>
      <c r="DQ62" s="76" t="str">
        <f aca="false">IF($I62&gt;0%,IF(AND(DQ$16&gt;=$F62,DQ$16&lt;$F62+($G62*$I62)),"➤",""),"")</f>
        <v/>
      </c>
      <c r="DR62" s="76" t="str">
        <f aca="false">IF($I62&gt;0%,IF(AND(DR$16&gt;=$F62,DR$16&lt;$F62+($G62*$I62)),"➤",""),"")</f>
        <v/>
      </c>
      <c r="DS62" s="76" t="str">
        <f aca="false">IF($I62&gt;0%,IF(AND(DS$16&gt;=$F62,DS$16&lt;$F62+($G62*$I62)),"➤",""),"")</f>
        <v/>
      </c>
      <c r="DT62" s="76" t="str">
        <f aca="false">IF($I62&gt;0%,IF(AND(DT$16&gt;=$F62,DT$16&lt;$F62+($G62*$I62)),"➤",""),"")</f>
        <v/>
      </c>
      <c r="DU62" s="76" t="str">
        <f aca="false">IF($I62&gt;0%,IF(AND(DU$16&gt;=$F62,DU$16&lt;$F62+($G62*$I62)),"➤",""),"")</f>
        <v/>
      </c>
      <c r="DV62" s="76" t="str">
        <f aca="false">IF($I62&gt;0%,IF(AND(DV$16&gt;=$F62,DV$16&lt;$F62+($G62*$I62)),"➤",""),"")</f>
        <v/>
      </c>
      <c r="DW62" s="76" t="str">
        <f aca="false">IF($I62&gt;0%,IF(AND(DW$16&gt;=$F62,DW$16&lt;$F62+($G62*$I62)),"➤",""),"")</f>
        <v/>
      </c>
      <c r="DX62" s="76" t="str">
        <f aca="false">IF($I62&gt;0%,IF(AND(DX$16&gt;=$F62,DX$16&lt;$F62+($G62*$I62)),"➤",""),"")</f>
        <v/>
      </c>
      <c r="DY62" s="76" t="str">
        <f aca="false">IF($I62&gt;0%,IF(AND(DY$16&gt;=$F62,DY$16&lt;$F62+($G62*$I62)),"➤",""),"")</f>
        <v/>
      </c>
      <c r="DZ62" s="76" t="str">
        <f aca="false">IF($I62&gt;0%,IF(AND(DZ$16&gt;=$F62,DZ$16&lt;$F62+($G62*$I62)),"➤",""),"")</f>
        <v/>
      </c>
      <c r="EA62" s="76" t="str">
        <f aca="false">IF($I62&gt;0%,IF(AND(EA$16&gt;=$F62,EA$16&lt;$F62+($G62*$I62)),"➤",""),"")</f>
        <v/>
      </c>
      <c r="EB62" s="76" t="str">
        <f aca="false">IF($I62&gt;0%,IF(AND(EB$16&gt;=$F62,EB$16&lt;$F62+($G62*$I62)),"➤",""),"")</f>
        <v/>
      </c>
      <c r="EC62" s="76" t="str">
        <f aca="false">IF($I62&gt;0%,IF(AND(EC$16&gt;=$F62,EC$16&lt;$F62+($G62*$I62)),"➤",""),"")</f>
        <v/>
      </c>
      <c r="ED62" s="76" t="str">
        <f aca="false">IF($I62&gt;0%,IF(AND(ED$16&gt;=$F62,ED$16&lt;$F62+($G62*$I62)),"➤",""),"")</f>
        <v/>
      </c>
      <c r="EE62" s="76" t="str">
        <f aca="false">IF($I62&gt;0%,IF(AND(EE$16&gt;=$F62,EE$16&lt;$F62+($G62*$I62)),"➤",""),"")</f>
        <v/>
      </c>
      <c r="EF62" s="76" t="str">
        <f aca="false">IF($I62&gt;0%,IF(AND(EF$16&gt;=$F62,EF$16&lt;$F62+($G62*$I62)),"➤",""),"")</f>
        <v/>
      </c>
      <c r="EG62" s="76" t="str">
        <f aca="false">IF($I62&gt;0%,IF(AND(EG$16&gt;=$F62,EG$16&lt;$F62+($G62*$I62)),"➤",""),"")</f>
        <v/>
      </c>
      <c r="EH62" s="76" t="str">
        <f aca="false">IF($I62&gt;0%,IF(AND(EH$16&gt;=$F62,EH$16&lt;$F62+($G62*$I62)),"➤",""),"")</f>
        <v/>
      </c>
      <c r="EI62" s="76" t="str">
        <f aca="false">IF($I62&gt;0%,IF(AND(EI$16&gt;=$F62,EI$16&lt;$F62+($G62*$I62)),"➤",""),"")</f>
        <v/>
      </c>
      <c r="EJ62" s="76" t="str">
        <f aca="false">IF($I62&gt;0%,IF(AND(EJ$16&gt;=$F62,EJ$16&lt;$F62+($G62*$I62)),"➤",""),"")</f>
        <v/>
      </c>
      <c r="EK62" s="76" t="str">
        <f aca="false">IF($I62&gt;0%,IF(AND(EK$16&gt;=$F62,EK$16&lt;$F62+($G62*$I62)),"➤",""),"")</f>
        <v/>
      </c>
      <c r="EL62" s="76" t="str">
        <f aca="false">IF($I62&gt;0%,IF(AND(EL$16&gt;=$F62,EL$16&lt;$F62+($G62*$I62)),"➤",""),"")</f>
        <v/>
      </c>
      <c r="EM62" s="76" t="str">
        <f aca="false">IF($I62&gt;0%,IF(AND(EM$16&gt;=$F62,EM$16&lt;$F62+($G62*$I62)),"➤",""),"")</f>
        <v/>
      </c>
      <c r="EN62" s="76" t="str">
        <f aca="false">IF($I62&gt;0%,IF(AND(EN$16&gt;=$F62,EN$16&lt;$F62+($G62*$I62)),"➤",""),"")</f>
        <v/>
      </c>
      <c r="EO62" s="76" t="str">
        <f aca="false">IF($I62&gt;0%,IF(AND(EO$16&gt;=$F62,EO$16&lt;$F62+($G62*$I62)),"➤",""),"")</f>
        <v/>
      </c>
      <c r="EP62" s="76" t="str">
        <f aca="false">IF($I62&gt;0%,IF(AND(EP$16&gt;=$F62,EP$16&lt;$F62+($G62*$I62)),"➤",""),"")</f>
        <v/>
      </c>
      <c r="EQ62" s="76" t="str">
        <f aca="false">IF($I62&gt;0%,IF(AND(EQ$16&gt;=$F62,EQ$16&lt;$F62+($G62*$I62)),"➤",""),"")</f>
        <v/>
      </c>
      <c r="ER62" s="76" t="str">
        <f aca="false">IF($I62&gt;0%,IF(AND(ER$16&gt;=$F62,ER$16&lt;$F62+($G62*$I62)),"➤",""),"")</f>
        <v/>
      </c>
      <c r="ES62" s="76" t="str">
        <f aca="false">IF($I62&gt;0%,IF(AND(ES$16&gt;=$F62,ES$16&lt;$F62+($G62*$I62)),"➤",""),"")</f>
        <v/>
      </c>
      <c r="ET62" s="76" t="str">
        <f aca="false">IF($I62&gt;0%,IF(AND(ET$16&gt;=$F62,ET$16&lt;$F62+($G62*$I62)),"➤",""),"")</f>
        <v/>
      </c>
      <c r="EU62" s="76" t="str">
        <f aca="false">IF($I62&gt;0%,IF(AND(EU$16&gt;=$F62,EU$16&lt;$F62+($G62*$I62)),"➤",""),"")</f>
        <v/>
      </c>
      <c r="EV62" s="76" t="str">
        <f aca="false">IF($I62&gt;0%,IF(AND(EV$16&gt;=$F62,EV$16&lt;$F62+($G62*$I62)),"➤",""),"")</f>
        <v/>
      </c>
      <c r="EW62" s="76" t="str">
        <f aca="false">IF($I62&gt;0%,IF(AND(EW$16&gt;=$F62,EW$16&lt;$F62+($G62*$I62)),"➤",""),"")</f>
        <v/>
      </c>
      <c r="EX62" s="76" t="str">
        <f aca="false">IF($I62&gt;0%,IF(AND(EX$16&gt;=$F62,EX$16&lt;$F62+($G62*$I62)),"➤",""),"")</f>
        <v/>
      </c>
      <c r="EY62" s="76" t="str">
        <f aca="false">IF($I62&gt;0%,IF(AND(EY$16&gt;=$F62,EY$16&lt;$F62+($G62*$I62)),"➤",""),"")</f>
        <v/>
      </c>
      <c r="EZ62" s="76" t="str">
        <f aca="false">IF($I62&gt;0%,IF(AND(EZ$16&gt;=$F62,EZ$16&lt;$F62+($G62*$I62)),"➤",""),"")</f>
        <v/>
      </c>
      <c r="FA62" s="76" t="str">
        <f aca="false">IF($I62&gt;0%,IF(AND(FA$16&gt;=$F62,FA$16&lt;$F62+($G62*$I62)),"➤",""),"")</f>
        <v/>
      </c>
      <c r="FB62" s="76" t="str">
        <f aca="false">IF($I62&gt;0%,IF(AND(FB$16&gt;=$F62,FB$16&lt;$F62+($G62*$I62)),"➤",""),"")</f>
        <v/>
      </c>
      <c r="FC62" s="76" t="str">
        <f aca="false">IF($I62&gt;0%,IF(AND(FC$16&gt;=$F62,FC$16&lt;$F62+($G62*$I62)),"➤",""),"")</f>
        <v/>
      </c>
      <c r="FD62" s="76" t="str">
        <f aca="false">IF($I62&gt;0%,IF(AND(FD$16&gt;=$F62,FD$16&lt;$F62+($G62*$I62)),"➤",""),"")</f>
        <v/>
      </c>
      <c r="FE62" s="76" t="str">
        <f aca="false">IF($I62&gt;0%,IF(AND(FE$16&gt;=$F62,FE$16&lt;$F62+($G62*$I62)),"➤",""),"")</f>
        <v/>
      </c>
      <c r="FF62" s="76" t="str">
        <f aca="false">IF($I62&gt;0%,IF(AND(FF$16&gt;=$F62,FF$16&lt;$F62+($G62*$I62)),"➤",""),"")</f>
        <v/>
      </c>
      <c r="FG62" s="76" t="str">
        <f aca="false">IF($I62&gt;0%,IF(AND(FG$16&gt;=$F62,FG$16&lt;$F62+($G62*$I62)),"➤",""),"")</f>
        <v/>
      </c>
      <c r="FH62" s="76" t="str">
        <f aca="false">IF($I62&gt;0%,IF(AND(FH$16&gt;=$F62,FH$16&lt;$F62+($G62*$I62)),"➤",""),"")</f>
        <v/>
      </c>
      <c r="FI62" s="76" t="str">
        <f aca="false">IF($I62&gt;0%,IF(AND(FI$16&gt;=$F62,FI$16&lt;$F62+($G62*$I62)),"➤",""),"")</f>
        <v/>
      </c>
      <c r="FJ62" s="76" t="str">
        <f aca="false">IF($I62&gt;0%,IF(AND(FJ$16&gt;=$F62,FJ$16&lt;$F62+($G62*$I62)),"➤",""),"")</f>
        <v/>
      </c>
      <c r="FK62" s="76" t="str">
        <f aca="false">IF($I62&gt;0%,IF(AND(FK$16&gt;=$F62,FK$16&lt;$F62+($G62*$I62)),"➤",""),"")</f>
        <v/>
      </c>
      <c r="FL62" s="76" t="str">
        <f aca="false">IF($I62&gt;0%,IF(AND(FL$16&gt;=$F62,FL$16&lt;$F62+($G62*$I62)),"➤",""),"")</f>
        <v/>
      </c>
      <c r="FM62" s="76" t="str">
        <f aca="false">IF($I62&gt;0%,IF(AND(FM$16&gt;=$F62,FM$16&lt;$F62+($G62*$I62)),"➤",""),"")</f>
        <v/>
      </c>
      <c r="FN62" s="76" t="str">
        <f aca="false">IF($I62&gt;0%,IF(AND(FN$16&gt;=$F62,FN$16&lt;$F62+($G62*$I62)),"➤",""),"")</f>
        <v/>
      </c>
      <c r="FO62" s="76" t="str">
        <f aca="false">IF($I62&gt;0%,IF(AND(FO$16&gt;=$F62,FO$16&lt;$F62+($G62*$I62)),"➤",""),"")</f>
        <v/>
      </c>
      <c r="FP62" s="76" t="str">
        <f aca="false">IF($I62&gt;0%,IF(AND(FP$16&gt;=$F62,FP$16&lt;$F62+($G62*$I62)),"➤",""),"")</f>
        <v/>
      </c>
      <c r="FQ62" s="76" t="str">
        <f aca="false">IF($I62&gt;0%,IF(AND(FQ$16&gt;=$F62,FQ$16&lt;$F62+($G62*$I62)),"➤",""),"")</f>
        <v/>
      </c>
      <c r="FR62" s="76" t="str">
        <f aca="false">IF($I62&gt;0%,IF(AND(FR$16&gt;=$F62,FR$16&lt;$F62+($G62*$I62)),"➤",""),"")</f>
        <v/>
      </c>
      <c r="FS62" s="76" t="str">
        <f aca="false">IF($I62&gt;0%,IF(AND(FS$16&gt;=$F62,FS$16&lt;$F62+($G62*$I62)),"➤",""),"")</f>
        <v/>
      </c>
      <c r="FT62" s="76" t="str">
        <f aca="false">IF($I62&gt;0%,IF(AND(FT$16&gt;=$F62,FT$16&lt;$F62+($G62*$I62)),"➤",""),"")</f>
        <v/>
      </c>
      <c r="FU62" s="76" t="str">
        <f aca="false">IF($I62&gt;0%,IF(AND(FU$16&gt;=$F62,FU$16&lt;$F62+($G62*$I62)),"➤",""),"")</f>
        <v/>
      </c>
      <c r="FV62" s="76" t="str">
        <f aca="false">IF($I62&gt;0%,IF(AND(FV$16&gt;=$F62,FV$16&lt;$F62+($G62*$I62)),"➤",""),"")</f>
        <v/>
      </c>
      <c r="FW62" s="76" t="str">
        <f aca="false">IF($I62&gt;0%,IF(AND(FW$16&gt;=$F62,FW$16&lt;$F62+($G62*$I62)),"➤",""),"")</f>
        <v/>
      </c>
      <c r="FX62" s="76" t="str">
        <f aca="false">IF($I62&gt;0%,IF(AND(FX$16&gt;=$F62,FX$16&lt;$F62+($G62*$I62)),"➤",""),"")</f>
        <v/>
      </c>
      <c r="FY62" s="76" t="str">
        <f aca="false">IF($I62&gt;0%,IF(AND(FY$16&gt;=$F62,FY$16&lt;$F62+($G62*$I62)),"➤",""),"")</f>
        <v/>
      </c>
      <c r="FZ62" s="76" t="str">
        <f aca="false">IF($I62&gt;0%,IF(AND(FZ$16&gt;=$F62,FZ$16&lt;$F62+($G62*$I62)),"➤",""),"")</f>
        <v/>
      </c>
      <c r="GA62" s="76" t="str">
        <f aca="false">IF($I62&gt;0%,IF(AND(GA$16&gt;=$F62,GA$16&lt;$F62+($G62*$I62)),"➤",""),"")</f>
        <v/>
      </c>
      <c r="GB62" s="76" t="str">
        <f aca="false">IF($I62&gt;0%,IF(AND(GB$16&gt;=$F62,GB$16&lt;$F62+($G62*$I62)),"➤",""),"")</f>
        <v/>
      </c>
      <c r="GC62" s="76" t="str">
        <f aca="false">IF($I62&gt;0%,IF(AND(GC$16&gt;=$F62,GC$16&lt;$F62+($G62*$I62)),"➤",""),"")</f>
        <v/>
      </c>
      <c r="GD62" s="76" t="str">
        <f aca="false">IF($I62&gt;0%,IF(AND(GD$16&gt;=$F62,GD$16&lt;$F62+($G62*$I62)),"➤",""),"")</f>
        <v/>
      </c>
      <c r="GE62" s="76" t="str">
        <f aca="false">IF($I62&gt;0%,IF(AND(GE$16&gt;=$F62,GE$16&lt;$F62+($G62*$I62)),"➤",""),"")</f>
        <v/>
      </c>
      <c r="GF62" s="76" t="str">
        <f aca="false">IF($I62&gt;0%,IF(AND(GF$16&gt;=$F62,GF$16&lt;$F62+($G62*$I62)),"➤",""),"")</f>
        <v/>
      </c>
      <c r="GG62" s="76" t="str">
        <f aca="false">IF($I62&gt;0%,IF(AND(GG$16&gt;=$F62,GG$16&lt;$F62+($G62*$I62)),"➤",""),"")</f>
        <v/>
      </c>
      <c r="GH62" s="76" t="str">
        <f aca="false">IF($I62&gt;0%,IF(AND(GH$16&gt;=$F62,GH$16&lt;$F62+($G62*$I62)),"➤",""),"")</f>
        <v/>
      </c>
      <c r="GI62" s="76" t="str">
        <f aca="false">IF($I62&gt;0%,IF(AND(GI$16&gt;=$F62,GI$16&lt;$F62+($G62*$I62)),"➤",""),"")</f>
        <v/>
      </c>
      <c r="GJ62" s="76" t="str">
        <f aca="false">IF($I62&gt;0%,IF(AND(GJ$16&gt;=$F62,GJ$16&lt;$F62+($G62*$I62)),"➤",""),"")</f>
        <v/>
      </c>
      <c r="GK62" s="76" t="str">
        <f aca="false">IF($I62&gt;0%,IF(AND(GK$16&gt;=$F62,GK$16&lt;$F62+($G62*$I62)),"➤",""),"")</f>
        <v/>
      </c>
      <c r="GL62" s="76" t="str">
        <f aca="false">IF($I62&gt;0%,IF(AND(GL$16&gt;=$F62,GL$16&lt;$F62+($G62*$I62)),"➤",""),"")</f>
        <v/>
      </c>
      <c r="GM62" s="76" t="str">
        <f aca="false">IF($I62&gt;0%,IF(AND(GM$16&gt;=$F62,GM$16&lt;$F62+($G62*$I62)),"➤",""),"")</f>
        <v/>
      </c>
      <c r="GN62" s="76" t="str">
        <f aca="false">IF($I62&gt;0%,IF(AND(GN$16&gt;=$F62,GN$16&lt;$F62+($G62*$I62)),"➤",""),"")</f>
        <v/>
      </c>
      <c r="GO62" s="76" t="str">
        <f aca="false">IF($I62&gt;0%,IF(AND(GO$16&gt;=$F62,GO$16&lt;$F62+($G62*$I62)),"➤",""),"")</f>
        <v/>
      </c>
      <c r="GP62" s="76" t="str">
        <f aca="false">IF($I62&gt;0%,IF(AND(GP$16&gt;=$F62,GP$16&lt;$F62+($G62*$I62)),"➤",""),"")</f>
        <v/>
      </c>
      <c r="GQ62" s="76" t="str">
        <f aca="false">IF($I62&gt;0%,IF(AND(GQ$16&gt;=$F62,GQ$16&lt;$F62+($G62*$I62)),"➤",""),"")</f>
        <v/>
      </c>
      <c r="GR62" s="76" t="str">
        <f aca="false">IF($I62&gt;0%,IF(AND(GR$16&gt;=$F62,GR$16&lt;$F62+($G62*$I62)),"➤",""),"")</f>
        <v/>
      </c>
      <c r="GS62" s="76" t="str">
        <f aca="false">IF($I62&gt;0%,IF(AND(GS$16&gt;=$F62,GS$16&lt;$F62+($G62*$I62)),"➤",""),"")</f>
        <v/>
      </c>
      <c r="GT62" s="76" t="str">
        <f aca="false">IF($I62&gt;0%,IF(AND(GT$16&gt;=$F62,GT$16&lt;$F62+($G62*$I62)),"➤",""),"")</f>
        <v/>
      </c>
      <c r="GU62" s="76" t="str">
        <f aca="false">IF($I62&gt;0%,IF(AND(GU$16&gt;=$F62,GU$16&lt;$F62+($G62*$I62)),"➤",""),"")</f>
        <v/>
      </c>
      <c r="GV62" s="76" t="str">
        <f aca="false">IF($I62&gt;0%,IF(AND(GV$16&gt;=$F62,GV$16&lt;$F62+($G62*$I62)),"➤",""),"")</f>
        <v/>
      </c>
      <c r="GW62" s="76" t="str">
        <f aca="false">IF($I62&gt;0%,IF(AND(GW$16&gt;=$F62,GW$16&lt;$F62+($G62*$I62)),"➤",""),"")</f>
        <v/>
      </c>
      <c r="GX62" s="76" t="str">
        <f aca="false">IF($I62&gt;0%,IF(AND(GX$16&gt;=$F62,GX$16&lt;$F62+($G62*$I62)),"➤",""),"")</f>
        <v/>
      </c>
      <c r="GY62" s="76" t="str">
        <f aca="false">IF($I62&gt;0%,IF(AND(GY$16&gt;=$F62,GY$16&lt;$F62+($G62*$I62)),"➤",""),"")</f>
        <v/>
      </c>
      <c r="GZ62" s="76" t="str">
        <f aca="false">IF($I62&gt;0%,IF(AND(GZ$16&gt;=$F62,GZ$16&lt;$F62+($G62*$I62)),"➤",""),"")</f>
        <v/>
      </c>
      <c r="HA62" s="76" t="str">
        <f aca="false">IF($I62&gt;0%,IF(AND(HA$16&gt;=$F62,HA$16&lt;$F62+($G62*$I62)),"➤",""),"")</f>
        <v/>
      </c>
      <c r="HB62" s="76" t="str">
        <f aca="false">IF($I62&gt;0%,IF(AND(HB$16&gt;=$F62,HB$16&lt;$F62+($G62*$I62)),"➤",""),"")</f>
        <v/>
      </c>
      <c r="HC62" s="76" t="str">
        <f aca="false">IF($I62&gt;0%,IF(AND(HC$16&gt;=$F62,HC$16&lt;$F62+($G62*$I62)),"➤",""),"")</f>
        <v/>
      </c>
      <c r="HD62" s="76" t="str">
        <f aca="false">IF($I62&gt;0%,IF(AND(HD$16&gt;=$F62,HD$16&lt;$F62+($G62*$I62)),"➤",""),"")</f>
        <v/>
      </c>
      <c r="HE62" s="76" t="str">
        <f aca="false">IF($I62&gt;0%,IF(AND(HE$16&gt;=$F62,HE$16&lt;$F62+($G62*$I62)),"➤",""),"")</f>
        <v/>
      </c>
      <c r="HF62" s="76" t="str">
        <f aca="false">IF($I62&gt;0%,IF(AND(HF$16&gt;=$F62,HF$16&lt;$F62+($G62*$I62)),"➤",""),"")</f>
        <v/>
      </c>
      <c r="HG62" s="76" t="str">
        <f aca="false">IF($I62&gt;0%,IF(AND(HG$16&gt;=$F62,HG$16&lt;$F62+($G62*$I62)),"➤",""),"")</f>
        <v/>
      </c>
      <c r="HH62" s="76" t="str">
        <f aca="false">IF($I62&gt;0%,IF(AND(HH$16&gt;=$F62,HH$16&lt;$F62+($G62*$I62)),"➤",""),"")</f>
        <v/>
      </c>
      <c r="HI62" s="76" t="str">
        <f aca="false">IF($I62&gt;0%,IF(AND(HI$16&gt;=$F62,HI$16&lt;$F62+($G62*$I62)),"➤",""),"")</f>
        <v/>
      </c>
      <c r="HJ62" s="76" t="str">
        <f aca="false">IF($I62&gt;0%,IF(AND(HJ$16&gt;=$F62,HJ$16&lt;$F62+($G62*$I62)),"➤",""),"")</f>
        <v/>
      </c>
      <c r="HK62" s="76" t="str">
        <f aca="false">IF($I62&gt;0%,IF(AND(HK$16&gt;=$F62,HK$16&lt;$F62+($G62*$I62)),"➤",""),"")</f>
        <v/>
      </c>
      <c r="HL62" s="76" t="str">
        <f aca="false">IF($I62&gt;0%,IF(AND(HL$16&gt;=$F62,HL$16&lt;$F62+($G62*$I62)),"➤",""),"")</f>
        <v/>
      </c>
      <c r="HM62" s="76" t="str">
        <f aca="false">IF($I62&gt;0%,IF(AND(HM$16&gt;=$F62,HM$16&lt;$F62+($G62*$I62)),"➤",""),"")</f>
        <v/>
      </c>
      <c r="HN62" s="76" t="str">
        <f aca="false">IF($I62&gt;0%,IF(AND(HN$16&gt;=$F62,HN$16&lt;$F62+($G62*$I62)),"➤",""),"")</f>
        <v/>
      </c>
      <c r="HO62" s="76" t="str">
        <f aca="false">IF($I62&gt;0%,IF(AND(HO$16&gt;=$F62,HO$16&lt;$F62+($G62*$I62)),"➤",""),"")</f>
        <v/>
      </c>
      <c r="HP62" s="76" t="str">
        <f aca="false">IF($I62&gt;0%,IF(AND(HP$16&gt;=$F62,HP$16&lt;$F62+($G62*$I62)),"➤",""),"")</f>
        <v/>
      </c>
      <c r="HQ62" s="76" t="str">
        <f aca="false">IF($I62&gt;0%,IF(AND(HQ$16&gt;=$F62,HQ$16&lt;$F62+($G62*$I62)),"➤",""),"")</f>
        <v/>
      </c>
      <c r="HR62" s="76" t="str">
        <f aca="false">IF($I62&gt;0%,IF(AND(HR$16&gt;=$F62,HR$16&lt;$F62+($G62*$I62)),"➤",""),"")</f>
        <v/>
      </c>
      <c r="HS62" s="76" t="str">
        <f aca="false">IF($I62&gt;0%,IF(AND(HS$16&gt;=$F62,HS$16&lt;$F62+($G62*$I62)),"➤",""),"")</f>
        <v/>
      </c>
      <c r="HT62" s="76" t="str">
        <f aca="false">IF($I62&gt;0%,IF(AND(HT$16&gt;=$F62,HT$16&lt;$F62+($G62*$I62)),"➤",""),"")</f>
        <v/>
      </c>
      <c r="HU62" s="76" t="str">
        <f aca="false">IF($I62&gt;0%,IF(AND(HU$16&gt;=$F62,HU$16&lt;$F62+($G62*$I62)),"➤",""),"")</f>
        <v/>
      </c>
      <c r="HV62" s="76" t="str">
        <f aca="false">IF($I62&gt;0%,IF(AND(HV$16&gt;=$F62,HV$16&lt;$F62+($G62*$I62)),"➤",""),"")</f>
        <v/>
      </c>
      <c r="HW62" s="76" t="str">
        <f aca="false">IF($I62&gt;0%,IF(AND(HW$16&gt;=$F62,HW$16&lt;$F62+($G62*$I62)),"➤",""),"")</f>
        <v/>
      </c>
      <c r="HX62" s="76" t="str">
        <f aca="false">IF($I62&gt;0%,IF(AND(HX$16&gt;=$F62,HX$16&lt;$F62+($G62*$I62)),"➤",""),"")</f>
        <v/>
      </c>
      <c r="HY62" s="76" t="str">
        <f aca="false">IF($I62&gt;0%,IF(AND(HY$16&gt;=$F62,HY$16&lt;$F62+($G62*$I62)),"➤",""),"")</f>
        <v/>
      </c>
      <c r="HZ62" s="76" t="str">
        <f aca="false">IF($I62&gt;0%,IF(AND(HZ$16&gt;=$F62,HZ$16&lt;$F62+($G62*$I62)),"➤",""),"")</f>
        <v/>
      </c>
      <c r="IA62" s="76" t="str">
        <f aca="false">IF($I62&gt;0%,IF(AND(IA$16&gt;=$F62,IA$16&lt;$F62+($G62*$I62)),"➤",""),"")</f>
        <v/>
      </c>
      <c r="IB62" s="76" t="str">
        <f aca="false">IF($I62&gt;0%,IF(AND(IB$16&gt;=$F62,IB$16&lt;$F62+($G62*$I62)),"➤",""),"")</f>
        <v/>
      </c>
      <c r="IC62" s="76" t="str">
        <f aca="false">IF($I62&gt;0%,IF(AND(IC$16&gt;=$F62,IC$16&lt;$F62+($G62*$I62)),"➤",""),"")</f>
        <v/>
      </c>
      <c r="ID62" s="76" t="str">
        <f aca="false">IF($I62&gt;0%,IF(AND(ID$16&gt;=$F62,ID$16&lt;$F62+($G62*$I62)),"➤",""),"")</f>
        <v/>
      </c>
      <c r="IE62" s="76" t="str">
        <f aca="false">IF($I62&gt;0%,IF(AND(IE$16&gt;=$F62,IE$16&lt;$F62+($G62*$I62)),"➤",""),"")</f>
        <v/>
      </c>
      <c r="IF62" s="76" t="str">
        <f aca="false">IF($I62&gt;0%,IF(AND(IF$16&gt;=$F62,IF$16&lt;$F62+($G62*$I62)),"➤",""),"")</f>
        <v/>
      </c>
      <c r="IG62" s="76" t="str">
        <f aca="false">IF($I62&gt;0%,IF(AND(IG$16&gt;=$F62,IG$16&lt;$F62+($G62*$I62)),"➤",""),"")</f>
        <v/>
      </c>
      <c r="IH62" s="76" t="str">
        <f aca="false">IF($I62&gt;0%,IF(AND(IH$16&gt;=$F62,IH$16&lt;$F62+($G62*$I62)),"➤",""),"")</f>
        <v/>
      </c>
      <c r="II62" s="76" t="str">
        <f aca="false">IF($I62&gt;0%,IF(AND(II$16&gt;=$F62,II$16&lt;$F62+($G62*$I62)),"➤",""),"")</f>
        <v/>
      </c>
      <c r="IJ62" s="76" t="str">
        <f aca="false">IF($I62&gt;0%,IF(AND(IJ$16&gt;=$F62,IJ$16&lt;$F62+($G62*$I62)),"➤",""),"")</f>
        <v/>
      </c>
      <c r="IK62" s="76" t="str">
        <f aca="false">IF($I62&gt;0%,IF(AND(IK$16&gt;=$F62,IK$16&lt;$F62+($G62*$I62)),"➤",""),"")</f>
        <v/>
      </c>
      <c r="IL62" s="76" t="str">
        <f aca="false">IF($I62&gt;0%,IF(AND(IL$16&gt;=$F62,IL$16&lt;$F62+($G62*$I62)),"➤",""),"")</f>
        <v/>
      </c>
      <c r="IM62" s="76" t="str">
        <f aca="false">IF($I62&gt;0%,IF(AND(IM$16&gt;=$F62,IM$16&lt;$F62+($G62*$I62)),"➤",""),"")</f>
        <v/>
      </c>
      <c r="IN62" s="76" t="str">
        <f aca="false">IF($I62&gt;0%,IF(AND(IN$16&gt;=$F62,IN$16&lt;$F62+($G62*$I62)),"➤",""),"")</f>
        <v/>
      </c>
      <c r="IO62" s="76" t="str">
        <f aca="false">IF($I62&gt;0%,IF(AND(IO$16&gt;=$F62,IO$16&lt;$F62+($G62*$I62)),"➤",""),"")</f>
        <v/>
      </c>
      <c r="IP62" s="76" t="str">
        <f aca="false">IF($I62&gt;0%,IF(AND(IP$16&gt;=$F62,IP$16&lt;$F62+($G62*$I62)),"➤",""),"")</f>
        <v/>
      </c>
      <c r="IQ62" s="76" t="str">
        <f aca="false">IF($I62&gt;0%,IF(AND(IQ$16&gt;=$F62,IQ$16&lt;$F62+($G62*$I62)),"➤",""),"")</f>
        <v/>
      </c>
      <c r="IR62" s="76" t="str">
        <f aca="false">IF($I62&gt;0%,IF(AND(IR$16&gt;=$F62,IR$16&lt;$F62+($G62*$I62)),"➤",""),"")</f>
        <v/>
      </c>
      <c r="IS62" s="76" t="str">
        <f aca="false">IF($I62&gt;0%,IF(AND(IS$16&gt;=$F62,IS$16&lt;$F62+($G62*$I62)),"➤",""),"")</f>
        <v/>
      </c>
      <c r="IT62" s="76" t="str">
        <f aca="false">IF($I62&gt;0%,IF(AND(IT$16&gt;=$F62,IT$16&lt;$F62+($G62*$I62)),"➤",""),"")</f>
        <v/>
      </c>
      <c r="IU62" s="76" t="str">
        <f aca="false">IF($I62&gt;0%,IF(AND(IU$16&gt;=$F62,IU$16&lt;$F62+($G62*$I62)),"➤",""),"")</f>
        <v/>
      </c>
      <c r="IV62" s="76" t="str">
        <f aca="false">IF($I62&gt;0%,IF(AND(IV$16&gt;=$F62,IV$16&lt;$F62+($G62*$I62)),"➤",""),"")</f>
        <v/>
      </c>
      <c r="IW62" s="76" t="str">
        <f aca="false">IF($I62&gt;0%,IF(AND(IW$16&gt;=$F62,IW$16&lt;$F62+($G62*$I62)),"➤",""),"")</f>
        <v/>
      </c>
      <c r="IX62" s="76" t="str">
        <f aca="false">IF($I62&gt;0%,IF(AND(IX$16&gt;=$F62,IX$16&lt;$F62+($G62*$I62)),"➤",""),"")</f>
        <v/>
      </c>
      <c r="IY62" s="76" t="str">
        <f aca="false">IF($I62&gt;0%,IF(AND(IY$16&gt;=$F62,IY$16&lt;$F62+($G62*$I62)),"➤",""),"")</f>
        <v/>
      </c>
      <c r="IZ62" s="76" t="str">
        <f aca="false">IF($I62&gt;0%,IF(AND(IZ$16&gt;=$F62,IZ$16&lt;$F62+($G62*$I62)),"➤",""),"")</f>
        <v/>
      </c>
      <c r="JA62" s="76" t="str">
        <f aca="false">IF($I62&gt;0%,IF(AND(JA$16&gt;=$F62,JA$16&lt;$F62+($G62*$I62)),"➤",""),"")</f>
        <v/>
      </c>
      <c r="JB62" s="76" t="str">
        <f aca="false">IF($I62&gt;0%,IF(AND(JB$16&gt;=$F62,JB$16&lt;$F62+($G62*$I62)),"➤",""),"")</f>
        <v/>
      </c>
      <c r="JC62" s="76" t="str">
        <f aca="false">IF($I62&gt;0%,IF(AND(JC$16&gt;=$F62,JC$16&lt;$F62+($G62*$I62)),"➤",""),"")</f>
        <v/>
      </c>
      <c r="JD62" s="76" t="str">
        <f aca="false">IF($I62&gt;0%,IF(AND(JD$16&gt;=$F62,JD$16&lt;$F62+($G62*$I62)),"➤",""),"")</f>
        <v/>
      </c>
      <c r="JE62" s="76" t="str">
        <f aca="false">IF($I62&gt;0%,IF(AND(JE$16&gt;=$F62,JE$16&lt;$F62+($G62*$I62)),"➤",""),"")</f>
        <v/>
      </c>
      <c r="JF62" s="76" t="str">
        <f aca="false">IF($I62&gt;0%,IF(AND(JF$16&gt;=$F62,JF$16&lt;$F62+($G62*$I62)),"➤",""),"")</f>
        <v/>
      </c>
      <c r="JG62" s="76" t="str">
        <f aca="false">IF($I62&gt;0%,IF(AND(JG$16&gt;=$F62,JG$16&lt;$F62+($G62*$I62)),"➤",""),"")</f>
        <v/>
      </c>
      <c r="JH62" s="76" t="str">
        <f aca="false">IF($I62&gt;0%,IF(AND(JH$16&gt;=$F62,JH$16&lt;$F62+($G62*$I62)),"➤",""),"")</f>
        <v/>
      </c>
      <c r="JI62" s="76" t="str">
        <f aca="false">IF($I62&gt;0%,IF(AND(JI$16&gt;=$F62,JI$16&lt;$F62+($G62*$I62)),"➤",""),"")</f>
        <v/>
      </c>
      <c r="JJ62" s="76" t="str">
        <f aca="false">IF($I62&gt;0%,IF(AND(JJ$16&gt;=$F62,JJ$16&lt;$F62+($G62*$I62)),"➤",""),"")</f>
        <v/>
      </c>
      <c r="JK62" s="76" t="str">
        <f aca="false">IF($I62&gt;0%,IF(AND(JK$16&gt;=$F62,JK$16&lt;$F62+($G62*$I62)),"➤",""),"")</f>
        <v/>
      </c>
      <c r="JL62" s="76" t="str">
        <f aca="false">IF($I62&gt;0%,IF(AND(JL$16&gt;=$F62,JL$16&lt;$F62+($G62*$I62)),"➤",""),"")</f>
        <v/>
      </c>
      <c r="JM62" s="76" t="str">
        <f aca="false">IF($I62&gt;0%,IF(AND(JM$16&gt;=$F62,JM$16&lt;$F62+($G62*$I62)),"➤",""),"")</f>
        <v/>
      </c>
      <c r="JN62" s="76" t="str">
        <f aca="false">IF($I62&gt;0%,IF(AND(JN$16&gt;=$F62,JN$16&lt;$F62+($G62*$I62)),"➤",""),"")</f>
        <v/>
      </c>
      <c r="JO62" s="76" t="str">
        <f aca="false">IF($I62&gt;0%,IF(AND(JO$16&gt;=$F62,JO$16&lt;$F62+($G62*$I62)),"➤",""),"")</f>
        <v/>
      </c>
      <c r="JP62" s="76" t="str">
        <f aca="false">IF($I62&gt;0%,IF(AND(JP$16&gt;=$F62,JP$16&lt;$F62+($G62*$I62)),"➤",""),"")</f>
        <v/>
      </c>
      <c r="JQ62" s="76" t="str">
        <f aca="false">IF($I62&gt;0%,IF(AND(JQ$16&gt;=$F62,JQ$16&lt;$F62+($G62*$I62)),"➤",""),"")</f>
        <v/>
      </c>
      <c r="JR62" s="76" t="str">
        <f aca="false">IF($I62&gt;0%,IF(AND(JR$16&gt;=$F62,JR$16&lt;$F62+($G62*$I62)),"➤",""),"")</f>
        <v/>
      </c>
      <c r="JS62" s="76" t="str">
        <f aca="false">IF($I62&gt;0%,IF(AND(JS$16&gt;=$F62,JS$16&lt;$F62+($G62*$I62)),"➤",""),"")</f>
        <v/>
      </c>
      <c r="JT62" s="76" t="str">
        <f aca="false">IF($I62&gt;0%,IF(AND(JT$16&gt;=$F62,JT$16&lt;$F62+($G62*$I62)),"➤",""),"")</f>
        <v/>
      </c>
      <c r="JU62" s="76" t="str">
        <f aca="false">IF($I62&gt;0%,IF(AND(JU$16&gt;=$F62,JU$16&lt;$F62+($G62*$I62)),"➤",""),"")</f>
        <v/>
      </c>
      <c r="JV62" s="76" t="str">
        <f aca="false">IF($I62&gt;0%,IF(AND(JV$16&gt;=$F62,JV$16&lt;$F62+($G62*$I62)),"➤",""),"")</f>
        <v/>
      </c>
      <c r="JW62" s="76" t="str">
        <f aca="false">IF($I62&gt;0%,IF(AND(JW$16&gt;=$F62,JW$16&lt;$F62+($G62*$I62)),"➤",""),"")</f>
        <v/>
      </c>
      <c r="JX62" s="76" t="str">
        <f aca="false">IF($I62&gt;0%,IF(AND(JX$16&gt;=$F62,JX$16&lt;$F62+($G62*$I62)),"➤",""),"")</f>
        <v/>
      </c>
      <c r="JY62" s="76" t="str">
        <f aca="false">IF($I62&gt;0%,IF(AND(JY$16&gt;=$F62,JY$16&lt;$F62+($G62*$I62)),"➤",""),"")</f>
        <v/>
      </c>
      <c r="JZ62" s="76" t="str">
        <f aca="false">IF($I62&gt;0%,IF(AND(JZ$16&gt;=$F62,JZ$16&lt;$F62+($G62*$I62)),"➤",""),"")</f>
        <v/>
      </c>
      <c r="KA62" s="76" t="str">
        <f aca="false">IF($I62&gt;0%,IF(AND(KA$16&gt;=$F62,KA$16&lt;$F62+($G62*$I62)),"➤",""),"")</f>
        <v/>
      </c>
      <c r="KB62" s="76" t="str">
        <f aca="false">IF($I62&gt;0%,IF(AND(KB$16&gt;=$F62,KB$16&lt;$F62+($G62*$I62)),"➤",""),"")</f>
        <v/>
      </c>
      <c r="KC62" s="76" t="str">
        <f aca="false">IF($I62&gt;0%,IF(AND(KC$16&gt;=$F62,KC$16&lt;$F62+($G62*$I62)),"➤",""),"")</f>
        <v/>
      </c>
      <c r="KD62" s="76" t="str">
        <f aca="false">IF($I62&gt;0%,IF(AND(KD$16&gt;=$F62,KD$16&lt;$F62+($G62*$I62)),"➤",""),"")</f>
        <v/>
      </c>
      <c r="KE62" s="76" t="str">
        <f aca="false">IF($I62&gt;0%,IF(AND(KE$16&gt;=$F62,KE$16&lt;$F62+($G62*$I62)),"➤",""),"")</f>
        <v/>
      </c>
      <c r="KF62" s="76" t="str">
        <f aca="false">IF($I62&gt;0%,IF(AND(KF$16&gt;=$F62,KF$16&lt;$F62+($G62*$I62)),"➤",""),"")</f>
        <v/>
      </c>
      <c r="KG62" s="76" t="str">
        <f aca="false">IF($I62&gt;0%,IF(AND(KG$16&gt;=$F62,KG$16&lt;$F62+($G62*$I62)),"➤",""),"")</f>
        <v/>
      </c>
      <c r="KH62" s="76" t="str">
        <f aca="false">IF($I62&gt;0%,IF(AND(KH$16&gt;=$F62,KH$16&lt;$F62+($G62*$I62)),"➤",""),"")</f>
        <v/>
      </c>
      <c r="KI62" s="76" t="str">
        <f aca="false">IF($I62&gt;0%,IF(AND(KI$16&gt;=$F62,KI$16&lt;$F62+($G62*$I62)),"➤",""),"")</f>
        <v/>
      </c>
      <c r="KJ62" s="76" t="str">
        <f aca="false">IF($I62&gt;0%,IF(AND(KJ$16&gt;=$F62,KJ$16&lt;$F62+($G62*$I62)),"➤",""),"")</f>
        <v/>
      </c>
      <c r="KK62" s="76" t="str">
        <f aca="false">IF($I62&gt;0%,IF(AND(KK$16&gt;=$F62,KK$16&lt;$F62+($G62*$I62)),"➤",""),"")</f>
        <v/>
      </c>
      <c r="KL62" s="76" t="str">
        <f aca="false">IF($I62&gt;0%,IF(AND(KL$16&gt;=$F62,KL$16&lt;$F62+($G62*$I62)),"➤",""),"")</f>
        <v/>
      </c>
      <c r="KM62" s="76" t="str">
        <f aca="false">IF($I62&gt;0%,IF(AND(KM$16&gt;=$F62,KM$16&lt;$F62+($G62*$I62)),"➤",""),"")</f>
        <v/>
      </c>
      <c r="KN62" s="76" t="str">
        <f aca="false">IF($I62&gt;0%,IF(AND(KN$16&gt;=$F62,KN$16&lt;$F62+($G62*$I62)),"➤",""),"")</f>
        <v/>
      </c>
      <c r="KO62" s="76" t="str">
        <f aca="false">IF($I62&gt;0%,IF(AND(KO$16&gt;=$F62,KO$16&lt;$F62+($G62*$I62)),"➤",""),"")</f>
        <v/>
      </c>
      <c r="KP62" s="76" t="str">
        <f aca="false">IF($I62&gt;0%,IF(AND(KP$16&gt;=$F62,KP$16&lt;$F62+($G62*$I62)),"➤",""),"")</f>
        <v/>
      </c>
      <c r="KQ62" s="76" t="str">
        <f aca="false">IF($I62&gt;0%,IF(AND(KQ$16&gt;=$F62,KQ$16&lt;$F62+($G62*$I62)),"➤",""),"")</f>
        <v/>
      </c>
      <c r="KR62" s="76" t="str">
        <f aca="false">IF($I62&gt;0%,IF(AND(KR$16&gt;=$F62,KR$16&lt;$F62+($G62*$I62)),"➤",""),"")</f>
        <v/>
      </c>
      <c r="KS62" s="76" t="str">
        <f aca="false">IF($I62&gt;0%,IF(AND(KS$16&gt;=$F62,KS$16&lt;$F62+($G62*$I62)),"➤",""),"")</f>
        <v/>
      </c>
      <c r="KT62" s="76" t="str">
        <f aca="false">IF($I62&gt;0%,IF(AND(KT$16&gt;=$F62,KT$16&lt;$F62+($G62*$I62)),"➤",""),"")</f>
        <v/>
      </c>
      <c r="KU62" s="76" t="str">
        <f aca="false">IF($I62&gt;0%,IF(AND(KU$16&gt;=$F62,KU$16&lt;$F62+($G62*$I62)),"➤",""),"")</f>
        <v/>
      </c>
      <c r="KV62" s="76" t="str">
        <f aca="false">IF($I62&gt;0%,IF(AND(KV$16&gt;=$F62,KV$16&lt;$F62+($G62*$I62)),"➤",""),"")</f>
        <v/>
      </c>
      <c r="KW62" s="76" t="str">
        <f aca="false">IF($I62&gt;0%,IF(AND(KW$16&gt;=$F62,KW$16&lt;$F62+($G62*$I62)),"➤",""),"")</f>
        <v/>
      </c>
      <c r="KX62" s="76" t="str">
        <f aca="false">IF($I62&gt;0%,IF(AND(KX$16&gt;=$F62,KX$16&lt;$F62+($G62*$I62)),"➤",""),"")</f>
        <v/>
      </c>
      <c r="KY62" s="76" t="str">
        <f aca="false">IF($I62&gt;0%,IF(AND(KY$16&gt;=$F62,KY$16&lt;$F62+($G62*$I62)),"➤",""),"")</f>
        <v/>
      </c>
      <c r="KZ62" s="76" t="str">
        <f aca="false">IF($I62&gt;0%,IF(AND(KZ$16&gt;=$F62,KZ$16&lt;$F62+($G62*$I62)),"➤",""),"")</f>
        <v/>
      </c>
      <c r="LA62" s="76" t="str">
        <f aca="false">IF($I62&gt;0%,IF(AND(LA$16&gt;=$F62,LA$16&lt;$F62+($G62*$I62)),"➤",""),"")</f>
        <v/>
      </c>
      <c r="LB62" s="76" t="str">
        <f aca="false">IF($I62&gt;0%,IF(AND(LB$16&gt;=$F62,LB$16&lt;$F62+($G62*$I62)),"➤",""),"")</f>
        <v/>
      </c>
      <c r="LC62" s="76" t="str">
        <f aca="false">IF($I62&gt;0%,IF(AND(LC$16&gt;=$F62,LC$16&lt;$F62+($G62*$I62)),"➤",""),"")</f>
        <v/>
      </c>
      <c r="LD62" s="76" t="str">
        <f aca="false">IF($I62&gt;0%,IF(AND(LD$16&gt;=$F62,LD$16&lt;$F62+($G62*$I62)),"➤",""),"")</f>
        <v/>
      </c>
      <c r="LE62" s="76" t="str">
        <f aca="false">IF($I62&gt;0%,IF(AND(LE$16&gt;=$F62,LE$16&lt;$F62+($G62*$I62)),"➤",""),"")</f>
        <v/>
      </c>
      <c r="LF62" s="76" t="str">
        <f aca="false">IF($I62&gt;0%,IF(AND(LF$16&gt;=$F62,LF$16&lt;$F62+($G62*$I62)),"➤",""),"")</f>
        <v/>
      </c>
      <c r="LG62" s="76" t="str">
        <f aca="false">IF($I62&gt;0%,IF(AND(LG$16&gt;=$F62,LG$16&lt;$F62+($G62*$I62)),"➤",""),"")</f>
        <v/>
      </c>
      <c r="LH62" s="76" t="str">
        <f aca="false">IF($I62&gt;0%,IF(AND(LH$16&gt;=$F62,LH$16&lt;$F62+($G62*$I62)),"➤",""),"")</f>
        <v/>
      </c>
      <c r="LI62" s="76" t="str">
        <f aca="false">IF($I62&gt;0%,IF(AND(LI$16&gt;=$F62,LI$16&lt;$F62+($G62*$I62)),"➤",""),"")</f>
        <v/>
      </c>
      <c r="LJ62" s="76" t="str">
        <f aca="false">IF($I62&gt;0%,IF(AND(LJ$16&gt;=$F62,LJ$16&lt;$F62+($G62*$I62)),"➤",""),"")</f>
        <v/>
      </c>
      <c r="LK62" s="76" t="str">
        <f aca="false">IF($I62&gt;0%,IF(AND(LK$16&gt;=$F62,LK$16&lt;$F62+($G62*$I62)),"➤",""),"")</f>
        <v/>
      </c>
      <c r="LL62" s="76" t="str">
        <f aca="false">IF($I62&gt;0%,IF(AND(LL$16&gt;=$F62,LL$16&lt;$F62+($G62*$I62)),"➤",""),"")</f>
        <v/>
      </c>
      <c r="LM62" s="76" t="str">
        <f aca="false">IF($I62&gt;0%,IF(AND(LM$16&gt;=$F62,LM$16&lt;$F62+($G62*$I62)),"➤",""),"")</f>
        <v/>
      </c>
      <c r="LN62" s="76" t="str">
        <f aca="false">IF($I62&gt;0%,IF(AND(LN$16&gt;=$F62,LN$16&lt;$F62+($G62*$I62)),"➤",""),"")</f>
        <v/>
      </c>
      <c r="LO62" s="76" t="str">
        <f aca="false">IF($I62&gt;0%,IF(AND(LO$16&gt;=$F62,LO$16&lt;$F62+($G62*$I62)),"➤",""),"")</f>
        <v/>
      </c>
      <c r="LP62" s="76" t="str">
        <f aca="false">IF($I62&gt;0%,IF(AND(LP$16&gt;=$F62,LP$16&lt;$F62+($G62*$I62)),"➤",""),"")</f>
        <v/>
      </c>
      <c r="LQ62" s="76" t="str">
        <f aca="false">IF($I62&gt;0%,IF(AND(LQ$16&gt;=$F62,LQ$16&lt;$F62+($G62*$I62)),"➤",""),"")</f>
        <v/>
      </c>
      <c r="LR62" s="76" t="str">
        <f aca="false">IF($I62&gt;0%,IF(AND(LR$16&gt;=$F62,LR$16&lt;$F62+($G62*$I62)),"➤",""),"")</f>
        <v/>
      </c>
      <c r="LS62" s="76" t="str">
        <f aca="false">IF($I62&gt;0%,IF(AND(LS$16&gt;=$F62,LS$16&lt;$F62+($G62*$I62)),"➤",""),"")</f>
        <v/>
      </c>
      <c r="LT62" s="76" t="str">
        <f aca="false">IF($I62&gt;0%,IF(AND(LT$16&gt;=$F62,LT$16&lt;$F62+($G62*$I62)),"➤",""),"")</f>
        <v/>
      </c>
      <c r="LU62" s="76" t="str">
        <f aca="false">IF($I62&gt;0%,IF(AND(LU$16&gt;=$F62,LU$16&lt;$F62+($G62*$I62)),"➤",""),"")</f>
        <v/>
      </c>
      <c r="LV62" s="76" t="str">
        <f aca="false">IF($I62&gt;0%,IF(AND(LV$16&gt;=$F62,LV$16&lt;$F62+($G62*$I62)),"➤",""),"")</f>
        <v/>
      </c>
      <c r="LW62" s="76" t="str">
        <f aca="false">IF($I62&gt;0%,IF(AND(LW$16&gt;=$F62,LW$16&lt;$F62+($G62*$I62)),"➤",""),"")</f>
        <v/>
      </c>
      <c r="LX62" s="76" t="str">
        <f aca="false">IF($I62&gt;0%,IF(AND(LX$16&gt;=$F62,LX$16&lt;$F62+($G62*$I62)),"➤",""),"")</f>
        <v/>
      </c>
      <c r="LY62" s="76" t="str">
        <f aca="false">IF($I62&gt;0%,IF(AND(LY$16&gt;=$F62,LY$16&lt;$F62+($G62*$I62)),"➤",""),"")</f>
        <v/>
      </c>
      <c r="LZ62" s="76" t="str">
        <f aca="false">IF($I62&gt;0%,IF(AND(LZ$16&gt;=$F62,LZ$16&lt;$F62+($G62*$I62)),"➤",""),"")</f>
        <v/>
      </c>
      <c r="MA62" s="76" t="str">
        <f aca="false">IF($I62&gt;0%,IF(AND(MA$16&gt;=$F62,MA$16&lt;$F62+($G62*$I62)),"➤",""),"")</f>
        <v/>
      </c>
      <c r="MB62" s="76" t="str">
        <f aca="false">IF($I62&gt;0%,IF(AND(MB$16&gt;=$F62,MB$16&lt;$F62+($G62*$I62)),"➤",""),"")</f>
        <v/>
      </c>
      <c r="MC62" s="76" t="str">
        <f aca="false">IF($I62&gt;0%,IF(AND(MC$16&gt;=$F62,MC$16&lt;$F62+($G62*$I62)),"➤",""),"")</f>
        <v/>
      </c>
      <c r="MD62" s="76" t="str">
        <f aca="false">IF($I62&gt;0%,IF(AND(MD$16&gt;=$F62,MD$16&lt;$F62+($G62*$I62)),"➤",""),"")</f>
        <v/>
      </c>
      <c r="ME62" s="76" t="str">
        <f aca="false">IF($I62&gt;0%,IF(AND(ME$16&gt;=$F62,ME$16&lt;$F62+($G62*$I62)),"➤",""),"")</f>
        <v/>
      </c>
      <c r="MF62" s="76" t="str">
        <f aca="false">IF($I62&gt;0%,IF(AND(MF$16&gt;=$F62,MF$16&lt;$F62+($G62*$I62)),"➤",""),"")</f>
        <v/>
      </c>
      <c r="MG62" s="76" t="str">
        <f aca="false">IF($I62&gt;0%,IF(AND(MG$16&gt;=$F62,MG$16&lt;$F62+($G62*$I62)),"➤",""),"")</f>
        <v/>
      </c>
      <c r="MH62" s="76" t="str">
        <f aca="false">IF($I62&gt;0%,IF(AND(MH$16&gt;=$F62,MH$16&lt;$F62+($G62*$I62)),"➤",""),"")</f>
        <v/>
      </c>
      <c r="MI62" s="76" t="str">
        <f aca="false">IF($I62&gt;0%,IF(AND(MI$16&gt;=$F62,MI$16&lt;$F62+($G62*$I62)),"➤",""),"")</f>
        <v/>
      </c>
      <c r="MJ62" s="76" t="str">
        <f aca="false">IF($I62&gt;0%,IF(AND(MJ$16&gt;=$F62,MJ$16&lt;$F62+($G62*$I62)),"➤",""),"")</f>
        <v/>
      </c>
      <c r="MK62" s="76" t="str">
        <f aca="false">IF($I62&gt;0%,IF(AND(MK$16&gt;=$F62,MK$16&lt;$F62+($G62*$I62)),"➤",""),"")</f>
        <v/>
      </c>
      <c r="ML62" s="76" t="str">
        <f aca="false">IF($I62&gt;0%,IF(AND(ML$16&gt;=$F62,ML$16&lt;$F62+($G62*$I62)),"➤",""),"")</f>
        <v/>
      </c>
      <c r="MM62" s="76" t="str">
        <f aca="false">IF($I62&gt;0%,IF(AND(MM$16&gt;=$F62,MM$16&lt;$F62+($G62*$I62)),"➤",""),"")</f>
        <v/>
      </c>
      <c r="MN62" s="76" t="str">
        <f aca="false">IF($I62&gt;0%,IF(AND(MN$16&gt;=$F62,MN$16&lt;$F62+($G62*$I62)),"➤",""),"")</f>
        <v/>
      </c>
      <c r="MO62" s="76" t="str">
        <f aca="false">IF($I62&gt;0%,IF(AND(MO$16&gt;=$F62,MO$16&lt;$F62+($G62*$I62)),"➤",""),"")</f>
        <v/>
      </c>
      <c r="MP62" s="76" t="str">
        <f aca="false">IF($I62&gt;0%,IF(AND(MP$16&gt;=$F62,MP$16&lt;$F62+($G62*$I62)),"➤",""),"")</f>
        <v/>
      </c>
      <c r="MQ62" s="76" t="str">
        <f aca="false">IF($I62&gt;0%,IF(AND(MQ$16&gt;=$F62,MQ$16&lt;$F62+($G62*$I62)),"➤",""),"")</f>
        <v/>
      </c>
      <c r="MR62" s="76" t="str">
        <f aca="false">IF($I62&gt;0%,IF(AND(MR$16&gt;=$F62,MR$16&lt;$F62+($G62*$I62)),"➤",""),"")</f>
        <v/>
      </c>
      <c r="MS62" s="76" t="str">
        <f aca="false">IF($I62&gt;0%,IF(AND(MS$16&gt;=$F62,MS$16&lt;$F62+($G62*$I62)),"➤",""),"")</f>
        <v/>
      </c>
      <c r="MT62" s="76" t="str">
        <f aca="false">IF($I62&gt;0%,IF(AND(MT$16&gt;=$F62,MT$16&lt;$F62+($G62*$I62)),"➤",""),"")</f>
        <v/>
      </c>
      <c r="MU62" s="76" t="str">
        <f aca="false">IF($I62&gt;0%,IF(AND(MU$16&gt;=$F62,MU$16&lt;$F62+($G62*$I62)),"➤",""),"")</f>
        <v/>
      </c>
      <c r="MV62" s="76" t="str">
        <f aca="false">IF($I62&gt;0%,IF(AND(MV$16&gt;=$F62,MV$16&lt;$F62+($G62*$I62)),"➤",""),"")</f>
        <v/>
      </c>
      <c r="MW62" s="76" t="str">
        <f aca="false">IF($I62&gt;0%,IF(AND(MW$16&gt;=$F62,MW$16&lt;$F62+($G62*$I62)),"➤",""),"")</f>
        <v/>
      </c>
      <c r="MX62" s="76" t="str">
        <f aca="false">IF($I62&gt;0%,IF(AND(MX$16&gt;=$F62,MX$16&lt;$F62+($G62*$I62)),"➤",""),"")</f>
        <v/>
      </c>
      <c r="MY62" s="76" t="str">
        <f aca="false">IF($I62&gt;0%,IF(AND(MY$16&gt;=$F62,MY$16&lt;$F62+($G62*$I62)),"➤",""),"")</f>
        <v/>
      </c>
      <c r="MZ62" s="76" t="str">
        <f aca="false">IF($I62&gt;0%,IF(AND(MZ$16&gt;=$F62,MZ$16&lt;$F62+($G62*$I62)),"➤",""),"")</f>
        <v/>
      </c>
      <c r="NA62" s="76" t="str">
        <f aca="false">IF($I62&gt;0%,IF(AND(NA$16&gt;=$F62,NA$16&lt;$F62+($G62*$I62)),"➤",""),"")</f>
        <v/>
      </c>
      <c r="NB62" s="76" t="str">
        <f aca="false">IF($I62&gt;0%,IF(AND(NB$16&gt;=$F62,NB$16&lt;$F62+($G62*$I62)),"➤",""),"")</f>
        <v/>
      </c>
      <c r="NC62" s="76" t="str">
        <f aca="false">IF($I62&gt;0%,IF(AND(NC$16&gt;=$F62,NC$16&lt;$F62+($G62*$I62)),"➤",""),"")</f>
        <v/>
      </c>
      <c r="ND62" s="76" t="str">
        <f aca="false">IF($I62&gt;0%,IF(AND(ND$16&gt;=$F62,ND$16&lt;$F62+($G62*$I62)),"➤",""),"")</f>
        <v/>
      </c>
      <c r="NE62" s="76" t="str">
        <f aca="false">IF($I62&gt;0%,IF(AND(NE$16&gt;=$F62,NE$16&lt;$F62+($G62*$I62)),"➤",""),"")</f>
        <v/>
      </c>
      <c r="NF62" s="76" t="str">
        <f aca="false">IF($I62&gt;0%,IF(AND(NF$16&gt;=$F62,NF$16&lt;$F62+($G62*$I62)),"➤",""),"")</f>
        <v/>
      </c>
      <c r="NG62" s="76" t="str">
        <f aca="false">IF($I62&gt;0%,IF(AND(NG$16&gt;=$F62,NG$16&lt;$F62+($G62*$I62)),"➤",""),"")</f>
        <v/>
      </c>
      <c r="NH62" s="76" t="str">
        <f aca="false">IF($I62&gt;0%,IF(AND(NH$16&gt;=$F62,NH$16&lt;$F62+($G62*$I62)),"➤",""),"")</f>
        <v/>
      </c>
      <c r="NI62" s="76" t="str">
        <f aca="false">IF($I62&gt;0%,IF(AND(NI$16&gt;=$F62,NI$16&lt;$F62+($G62*$I62)),"➤",""),"")</f>
        <v/>
      </c>
      <c r="NJ62" s="76" t="str">
        <f aca="false">IF($I62&gt;0%,IF(AND(NJ$16&gt;=$F62,NJ$16&lt;$F62+($G62*$I62)),"➤",""),"")</f>
        <v/>
      </c>
      <c r="NK62" s="76" t="str">
        <f aca="false">IF($I62&gt;0%,IF(AND(NK$16&gt;=$F62,NK$16&lt;$F62+($G62*$I62)),"➤",""),"")</f>
        <v/>
      </c>
      <c r="NL62" s="76" t="str">
        <f aca="false">IF($I62&gt;0%,IF(AND(NL$16&gt;=$F62,NL$16&lt;$F62+($G62*$I62)),"➤",""),"")</f>
        <v/>
      </c>
      <c r="NM62" s="76" t="str">
        <f aca="false">IF($I62&gt;0%,IF(AND(NM$16&gt;=$F62,NM$16&lt;$F62+($G62*$I62)),"➤",""),"")</f>
        <v/>
      </c>
      <c r="NN62" s="76" t="str">
        <f aca="false">IF($I62&gt;0%,IF(AND(NN$16&gt;=$F62,NN$16&lt;$F62+($G62*$I62)),"➤",""),"")</f>
        <v/>
      </c>
      <c r="NO62" s="76" t="str">
        <f aca="false">IF($I62&gt;0%,IF(AND(NO$16&gt;=$F62,NO$16&lt;$F62+($G62*$I62)),"➤",""),"")</f>
        <v/>
      </c>
      <c r="NP62" s="76" t="str">
        <f aca="false">IF($I62&gt;0%,IF(AND(NP$16&gt;=$F62,NP$16&lt;$F62+($G62*$I62)),"➤",""),"")</f>
        <v/>
      </c>
      <c r="NQ62" s="76" t="str">
        <f aca="false">IF($I62&gt;0%,IF(AND(NQ$16&gt;=$F62,NQ$16&lt;$F62+($G62*$I62)),"➤",""),"")</f>
        <v/>
      </c>
      <c r="NR62" s="76" t="str">
        <f aca="false">IF($I62&gt;0%,IF(AND(NR$16&gt;=$F62,NR$16&lt;$F62+($G62*$I62)),"➤",""),"")</f>
        <v/>
      </c>
      <c r="NS62" s="76" t="str">
        <f aca="false">IF($I62&gt;0%,IF(AND(NS$16&gt;=$F62,NS$16&lt;$F62+($G62*$I62)),"➤",""),"")</f>
        <v/>
      </c>
      <c r="NT62" s="76" t="str">
        <f aca="false">IF($I62&gt;0%,IF(AND(NT$16&gt;=$F62,NT$16&lt;$F62+($G62*$I62)),"➤",""),"")</f>
        <v/>
      </c>
      <c r="NU62" s="76" t="str">
        <f aca="false">IF($I62&gt;0%,IF(AND(NU$16&gt;=$F62,NU$16&lt;$F62+($G62*$I62)),"➤",""),"")</f>
        <v/>
      </c>
      <c r="NV62" s="76" t="str">
        <f aca="false">IF($I62&gt;0%,IF(AND(NV$16&gt;=$F62,NV$16&lt;$F62+($G62*$I62)),"➤",""),"")</f>
        <v/>
      </c>
      <c r="NW62" s="76" t="str">
        <f aca="false">IF($I62&gt;0%,IF(AND(NW$16&gt;=$F62,NW$16&lt;$F62+($G62*$I62)),"➤",""),"")</f>
        <v/>
      </c>
      <c r="NX62" s="76" t="str">
        <f aca="false">IF($I62&gt;0%,IF(AND(NX$16&gt;=$F62,NX$16&lt;$F62+($G62*$I62)),"➤",""),"")</f>
        <v/>
      </c>
      <c r="NY62" s="76" t="str">
        <f aca="false">IF($I62&gt;0%,IF(AND(NY$16&gt;=$F62,NY$16&lt;$F62+($G62*$I62)),"➤",""),"")</f>
        <v/>
      </c>
      <c r="NZ62" s="76" t="str">
        <f aca="false">IF($I62&gt;0%,IF(AND(NZ$16&gt;=$F62,NZ$16&lt;$F62+($G62*$I62)),"➤",""),"")</f>
        <v/>
      </c>
      <c r="OA62" s="76" t="str">
        <f aca="false">IF($I62&gt;0%,IF(AND(OA$16&gt;=$F62,OA$16&lt;$F62+($G62*$I62)),"➤",""),"")</f>
        <v/>
      </c>
      <c r="OB62" s="76" t="str">
        <f aca="false">IF($I62&gt;0%,IF(AND(OB$16&gt;=$F62,OB$16&lt;$F62+($G62*$I62)),"➤",""),"")</f>
        <v/>
      </c>
      <c r="OC62" s="76" t="str">
        <f aca="false">IF($I62&gt;0%,IF(AND(OC$16&gt;=$F62,OC$16&lt;$F62+($G62*$I62)),"➤",""),"")</f>
        <v/>
      </c>
      <c r="OD62" s="76" t="str">
        <f aca="false">IF($I62&gt;0%,IF(AND(OD$16&gt;=$F62,OD$16&lt;$F62+($G62*$I62)),"➤",""),"")</f>
        <v/>
      </c>
      <c r="OE62" s="76" t="str">
        <f aca="false">IF($I62&gt;0%,IF(AND(OE$16&gt;=$F62,OE$16&lt;$F62+($G62*$I62)),"➤",""),"")</f>
        <v/>
      </c>
      <c r="OF62" s="76" t="str">
        <f aca="false">IF($I62&gt;0%,IF(AND(OF$16&gt;=$F62,OF$16&lt;$F62+($G62*$I62)),"➤",""),"")</f>
        <v/>
      </c>
      <c r="OG62" s="76" t="str">
        <f aca="false">IF($I62&gt;0%,IF(AND(OG$16&gt;=$F62,OG$16&lt;$F62+($G62*$I62)),"➤",""),"")</f>
        <v/>
      </c>
      <c r="OH62" s="76" t="str">
        <f aca="false">IF($I62&gt;0%,IF(AND(OH$16&gt;=$F62,OH$16&lt;$F62+($G62*$I62)),"➤",""),"")</f>
        <v/>
      </c>
      <c r="OI62" s="76" t="str">
        <f aca="false">IF($I62&gt;0%,IF(AND(OI$16&gt;=$F62,OI$16&lt;$F62+($G62*$I62)),"➤",""),"")</f>
        <v/>
      </c>
      <c r="OJ62" s="76" t="str">
        <f aca="false">IF($I62&gt;0%,IF(AND(OJ$16&gt;=$F62,OJ$16&lt;$F62+($G62*$I62)),"➤",""),"")</f>
        <v/>
      </c>
      <c r="OK62" s="76" t="str">
        <f aca="false">IF($I62&gt;0%,IF(AND(OK$16&gt;=$F62,OK$16&lt;$F62+($G62*$I62)),"➤",""),"")</f>
        <v/>
      </c>
      <c r="OL62" s="76" t="str">
        <f aca="false">IF($I62&gt;0%,IF(AND(OL$16&gt;=$F62,OL$16&lt;$F62+($G62*$I62)),"➤",""),"")</f>
        <v/>
      </c>
      <c r="OM62" s="76" t="str">
        <f aca="false">IF($I62&gt;0%,IF(AND(OM$16&gt;=$F62,OM$16&lt;$F62+($G62*$I62)),"➤",""),"")</f>
        <v/>
      </c>
      <c r="ON62" s="76" t="str">
        <f aca="false">IF($I62&gt;0%,IF(AND(ON$16&gt;=$F62,ON$16&lt;$F62+($G62*$I62)),"➤",""),"")</f>
        <v/>
      </c>
      <c r="OO62" s="76" t="str">
        <f aca="false">IF($I62&gt;0%,IF(AND(OO$16&gt;=$F62,OO$16&lt;$F62+($G62*$I62)),"➤",""),"")</f>
        <v/>
      </c>
      <c r="OP62" s="76" t="str">
        <f aca="false">IF($I62&gt;0%,IF(AND(OP$16&gt;=$F62,OP$16&lt;$F62+($G62*$I62)),"➤",""),"")</f>
        <v/>
      </c>
      <c r="OQ62" s="76" t="str">
        <f aca="false">IF($I62&gt;0%,IF(AND(OQ$16&gt;=$F62,OQ$16&lt;$F62+($G62*$I62)),"➤",""),"")</f>
        <v/>
      </c>
      <c r="OR62" s="76" t="str">
        <f aca="false">IF($I62&gt;0%,IF(AND(OR$16&gt;=$F62,OR$16&lt;$F62+($G62*$I62)),"➤",""),"")</f>
        <v/>
      </c>
      <c r="OS62" s="76" t="str">
        <f aca="false">IF($I62&gt;0%,IF(AND(OS$16&gt;=$F62,OS$16&lt;$F62+($G62*$I62)),"➤",""),"")</f>
        <v/>
      </c>
      <c r="OT62" s="76" t="str">
        <f aca="false">IF($I62&gt;0%,IF(AND(OT$16&gt;=$F62,OT$16&lt;$F62+($G62*$I62)),"➤",""),"")</f>
        <v/>
      </c>
      <c r="OU62" s="76" t="str">
        <f aca="false">IF($I62&gt;0%,IF(AND(OU$16&gt;=$F62,OU$16&lt;$F62+($G62*$I62)),"➤",""),"")</f>
        <v/>
      </c>
      <c r="OV62" s="76" t="str">
        <f aca="false">IF($I62&gt;0%,IF(AND(OV$16&gt;=$F62,OV$16&lt;$F62+($G62*$I62)),"➤",""),"")</f>
        <v/>
      </c>
      <c r="OW62" s="76" t="str">
        <f aca="false">IF($I62&gt;0%,IF(AND(OW$16&gt;=$F62,OW$16&lt;$F62+($G62*$I62)),"➤",""),"")</f>
        <v/>
      </c>
      <c r="OX62" s="76" t="str">
        <f aca="false">IF($I62&gt;0%,IF(AND(OX$16&gt;=$F62,OX$16&lt;$F62+($G62*$I62)),"➤",""),"")</f>
        <v/>
      </c>
      <c r="OY62" s="76" t="str">
        <f aca="false">IF($I62&gt;0%,IF(AND(OY$16&gt;=$F62,OY$16&lt;$F62+($G62*$I62)),"➤",""),"")</f>
        <v/>
      </c>
      <c r="OZ62" s="76" t="str">
        <f aca="false">IF($I62&gt;0%,IF(AND(OZ$16&gt;=$F62,OZ$16&lt;$F62+($G62*$I62)),"➤",""),"")</f>
        <v/>
      </c>
      <c r="PA62" s="76" t="str">
        <f aca="false">IF($I62&gt;0%,IF(AND(PA$16&gt;=$F62,PA$16&lt;$F62+($G62*$I62)),"➤",""),"")</f>
        <v/>
      </c>
      <c r="PB62" s="76" t="str">
        <f aca="false">IF($I62&gt;0%,IF(AND(PB$16&gt;=$F62,PB$16&lt;$F62+($G62*$I62)),"➤",""),"")</f>
        <v/>
      </c>
      <c r="PC62" s="76" t="str">
        <f aca="false">IF($I62&gt;0%,IF(AND(PC$16&gt;=$F62,PC$16&lt;$F62+($G62*$I62)),"➤",""),"")</f>
        <v/>
      </c>
      <c r="PD62" s="76" t="str">
        <f aca="false">IF($I62&gt;0%,IF(AND(PD$16&gt;=$F62,PD$16&lt;$F62+($G62*$I62)),"➤",""),"")</f>
        <v/>
      </c>
      <c r="PE62" s="76" t="str">
        <f aca="false">IF($I62&gt;0%,IF(AND(PE$16&gt;=$F62,PE$16&lt;$F62+($G62*$I62)),"➤",""),"")</f>
        <v/>
      </c>
      <c r="PF62" s="76" t="str">
        <f aca="false">IF($I62&gt;0%,IF(AND(PF$16&gt;=$F62,PF$16&lt;$F62+($G62*$I62)),"➤",""),"")</f>
        <v/>
      </c>
      <c r="PG62" s="76" t="str">
        <f aca="false">IF($I62&gt;0%,IF(AND(PG$16&gt;=$F62,PG$16&lt;$F62+($G62*$I62)),"➤",""),"")</f>
        <v/>
      </c>
      <c r="PH62" s="76" t="str">
        <f aca="false">IF($I62&gt;0%,IF(AND(PH$16&gt;=$F62,PH$16&lt;$F62+($G62*$I62)),"➤",""),"")</f>
        <v/>
      </c>
      <c r="PI62" s="76" t="str">
        <f aca="false">IF($I62&gt;0%,IF(AND(PI$16&gt;=$F62,PI$16&lt;$F62+($G62*$I62)),"➤",""),"")</f>
        <v/>
      </c>
      <c r="PJ62" s="76" t="str">
        <f aca="false">IF($I62&gt;0%,IF(AND(PJ$16&gt;=$F62,PJ$16&lt;$F62+($G62*$I62)),"➤",""),"")</f>
        <v/>
      </c>
      <c r="PK62" s="76" t="str">
        <f aca="false">IF($I62&gt;0%,IF(AND(PK$16&gt;=$F62,PK$16&lt;$F62+($G62*$I62)),"➤",""),"")</f>
        <v/>
      </c>
      <c r="PL62" s="76" t="str">
        <f aca="false">IF($I62&gt;0%,IF(AND(PL$16&gt;=$F62,PL$16&lt;$F62+($G62*$I62)),"➤",""),"")</f>
        <v/>
      </c>
      <c r="PM62" s="76" t="str">
        <f aca="false">IF($I62&gt;0%,IF(AND(PM$16&gt;=$F62,PM$16&lt;$F62+($G62*$I62)),"➤",""),"")</f>
        <v/>
      </c>
      <c r="PN62" s="76" t="str">
        <f aca="false">IF($I62&gt;0%,IF(AND(PN$16&gt;=$F62,PN$16&lt;$F62+($G62*$I62)),"➤",""),"")</f>
        <v/>
      </c>
      <c r="PO62" s="76" t="str">
        <f aca="false">IF($I62&gt;0%,IF(AND(PO$16&gt;=$F62,PO$16&lt;$F62+($G62*$I62)),"➤",""),"")</f>
        <v/>
      </c>
      <c r="PP62" s="76" t="str">
        <f aca="false">IF($I62&gt;0%,IF(AND(PP$16&gt;=$F62,PP$16&lt;$F62+($G62*$I62)),"➤",""),"")</f>
        <v/>
      </c>
      <c r="PQ62" s="76" t="str">
        <f aca="false">IF($I62&gt;0%,IF(AND(PQ$16&gt;=$F62,PQ$16&lt;$F62+($G62*$I62)),"➤",""),"")</f>
        <v/>
      </c>
      <c r="PR62" s="76" t="str">
        <f aca="false">IF($I62&gt;0%,IF(AND(PR$16&gt;=$F62,PR$16&lt;$F62+($G62*$I62)),"➤",""),"")</f>
        <v/>
      </c>
      <c r="PS62" s="76" t="str">
        <f aca="false">IF($I62&gt;0%,IF(AND(PS$16&gt;=$F62,PS$16&lt;$F62+($G62*$I62)),"➤",""),"")</f>
        <v/>
      </c>
      <c r="PT62" s="76" t="str">
        <f aca="false">IF($I62&gt;0%,IF(AND(PT$16&gt;=$F62,PT$16&lt;$F62+($G62*$I62)),"➤",""),"")</f>
        <v/>
      </c>
      <c r="PU62" s="76" t="str">
        <f aca="false">IF($I62&gt;0%,IF(AND(PU$16&gt;=$F62,PU$16&lt;$F62+($G62*$I62)),"➤",""),"")</f>
        <v/>
      </c>
      <c r="PV62" s="76" t="str">
        <f aca="false">IF($I62&gt;0%,IF(AND(PV$16&gt;=$F62,PV$16&lt;$F62+($G62*$I62)),"➤",""),"")</f>
        <v/>
      </c>
      <c r="PW62" s="76" t="str">
        <f aca="false">IF($I62&gt;0%,IF(AND(PW$16&gt;=$F62,PW$16&lt;$F62+($G62*$I62)),"➤",""),"")</f>
        <v/>
      </c>
      <c r="PX62" s="76" t="str">
        <f aca="false">IF($I62&gt;0%,IF(AND(PX$16&gt;=$F62,PX$16&lt;$F62+($G62*$I62)),"➤",""),"")</f>
        <v/>
      </c>
      <c r="PY62" s="76" t="str">
        <f aca="false">IF($I62&gt;0%,IF(AND(PY$16&gt;=$F62,PY$16&lt;$F62+($G62*$I62)),"➤",""),"")</f>
        <v/>
      </c>
      <c r="PZ62" s="76" t="str">
        <f aca="false">IF($I62&gt;0%,IF(AND(PZ$16&gt;=$F62,PZ$16&lt;$F62+($G62*$I62)),"➤",""),"")</f>
        <v/>
      </c>
      <c r="QA62" s="76" t="str">
        <f aca="false">IF($I62&gt;0%,IF(AND(QA$16&gt;=$F62,QA$16&lt;$F62+($G62*$I62)),"➤",""),"")</f>
        <v/>
      </c>
      <c r="QB62" s="76" t="str">
        <f aca="false">IF($I62&gt;0%,IF(AND(QB$16&gt;=$F62,QB$16&lt;$F62+($G62*$I62)),"➤",""),"")</f>
        <v/>
      </c>
      <c r="QC62" s="76" t="str">
        <f aca="false">IF($I62&gt;0%,IF(AND(QC$16&gt;=$F62,QC$16&lt;$F62+($G62*$I62)),"➤",""),"")</f>
        <v/>
      </c>
      <c r="QD62" s="76" t="str">
        <f aca="false">IF($I62&gt;0%,IF(AND(QD$16&gt;=$F62,QD$16&lt;$F62+($G62*$I62)),"➤",""),"")</f>
        <v/>
      </c>
      <c r="QE62" s="76" t="str">
        <f aca="false">IF($I62&gt;0%,IF(AND(QE$16&gt;=$F62,QE$16&lt;$F62+($G62*$I62)),"➤",""),"")</f>
        <v/>
      </c>
      <c r="QF62" s="76" t="str">
        <f aca="false">IF($I62&gt;0%,IF(AND(QF$16&gt;=$F62,QF$16&lt;$F62+($G62*$I62)),"➤",""),"")</f>
        <v/>
      </c>
      <c r="QG62" s="76" t="str">
        <f aca="false">IF($I62&gt;0%,IF(AND(QG$16&gt;=$F62,QG$16&lt;$F62+($G62*$I62)),"➤",""),"")</f>
        <v/>
      </c>
      <c r="QH62" s="76" t="str">
        <f aca="false">IF($I62&gt;0%,IF(AND(QH$16&gt;=$F62,QH$16&lt;$F62+($G62*$I62)),"➤",""),"")</f>
        <v/>
      </c>
      <c r="QI62" s="76" t="str">
        <f aca="false">IF($I62&gt;0%,IF(AND(QI$16&gt;=$F62,QI$16&lt;$F62+($G62*$I62)),"➤",""),"")</f>
        <v/>
      </c>
      <c r="QJ62" s="76" t="str">
        <f aca="false">IF($I62&gt;0%,IF(AND(QJ$16&gt;=$F62,QJ$16&lt;$F62+($G62*$I62)),"➤",""),"")</f>
        <v/>
      </c>
      <c r="QK62" s="76" t="str">
        <f aca="false">IF($I62&gt;0%,IF(AND(QK$16&gt;=$F62,QK$16&lt;$F62+($G62*$I62)),"➤",""),"")</f>
        <v/>
      </c>
      <c r="QL62" s="76" t="str">
        <f aca="false">IF($I62&gt;0%,IF(AND(QL$16&gt;=$F62,QL$16&lt;$F62+($G62*$I62)),"➤",""),"")</f>
        <v/>
      </c>
      <c r="QM62" s="76" t="str">
        <f aca="false">IF($I62&gt;0%,IF(AND(QM$16&gt;=$F62,QM$16&lt;$F62+($G62*$I62)),"➤",""),"")</f>
        <v/>
      </c>
      <c r="QN62" s="76" t="str">
        <f aca="false">IF($I62&gt;0%,IF(AND(QN$16&gt;=$F62,QN$16&lt;$F62+($G62*$I62)),"➤",""),"")</f>
        <v/>
      </c>
      <c r="QO62" s="76" t="str">
        <f aca="false">IF($I62&gt;0%,IF(AND(QO$16&gt;=$F62,QO$16&lt;$F62+($G62*$I62)),"➤",""),"")</f>
        <v/>
      </c>
      <c r="QP62" s="76" t="str">
        <f aca="false">IF($I62&gt;0%,IF(AND(QP$16&gt;=$F62,QP$16&lt;$F62+($G62*$I62)),"➤",""),"")</f>
        <v/>
      </c>
      <c r="QQ62" s="76" t="str">
        <f aca="false">IF($I62&gt;0%,IF(AND(QQ$16&gt;=$F62,QQ$16&lt;$F62+($G62*$I62)),"➤",""),"")</f>
        <v/>
      </c>
      <c r="QR62" s="76" t="str">
        <f aca="false">IF($I62&gt;0%,IF(AND(QR$16&gt;=$F62,QR$16&lt;$F62+($G62*$I62)),"➤",""),"")</f>
        <v/>
      </c>
      <c r="QS62" s="76" t="str">
        <f aca="false">IF($I62&gt;0%,IF(AND(QS$16&gt;=$F62,QS$16&lt;$F62+($G62*$I62)),"➤",""),"")</f>
        <v/>
      </c>
      <c r="QT62" s="76" t="str">
        <f aca="false">IF($I62&gt;0%,IF(AND(QT$16&gt;=$F62,QT$16&lt;$F62+($G62*$I62)),"➤",""),"")</f>
        <v/>
      </c>
      <c r="QU62" s="76" t="str">
        <f aca="false">IF($I62&gt;0%,IF(AND(QU$16&gt;=$F62,QU$16&lt;$F62+($G62*$I62)),"➤",""),"")</f>
        <v/>
      </c>
      <c r="QV62" s="76" t="str">
        <f aca="false">IF($I62&gt;0%,IF(AND(QV$16&gt;=$F62,QV$16&lt;$F62+($G62*$I62)),"➤",""),"")</f>
        <v/>
      </c>
      <c r="QW62" s="76" t="str">
        <f aca="false">IF($I62&gt;0%,IF(AND(QW$16&gt;=$F62,QW$16&lt;$F62+($G62*$I62)),"➤",""),"")</f>
        <v/>
      </c>
      <c r="QX62" s="76" t="str">
        <f aca="false">IF($I62&gt;0%,IF(AND(QX$16&gt;=$F62,QX$16&lt;$F62+($G62*$I62)),"➤",""),"")</f>
        <v/>
      </c>
      <c r="QY62" s="76" t="str">
        <f aca="false">IF($I62&gt;0%,IF(AND(QY$16&gt;=$F62,QY$16&lt;$F62+($G62*$I62)),"➤",""),"")</f>
        <v/>
      </c>
      <c r="QZ62" s="76" t="str">
        <f aca="false">IF($I62&gt;0%,IF(AND(QZ$16&gt;=$F62,QZ$16&lt;$F62+($G62*$I62)),"➤",""),"")</f>
        <v/>
      </c>
      <c r="RA62" s="76" t="str">
        <f aca="false">IF($I62&gt;0%,IF(AND(RA$16&gt;=$F62,RA$16&lt;$F62+($G62*$I62)),"➤",""),"")</f>
        <v/>
      </c>
      <c r="RB62" s="76" t="str">
        <f aca="false">IF($I62&gt;0%,IF(AND(RB$16&gt;=$F62,RB$16&lt;$F62+($G62*$I62)),"➤",""),"")</f>
        <v/>
      </c>
      <c r="RC62" s="76" t="str">
        <f aca="false">IF($I62&gt;0%,IF(AND(RC$16&gt;=$F62,RC$16&lt;$F62+($G62*$I62)),"➤",""),"")</f>
        <v/>
      </c>
      <c r="RD62" s="76" t="str">
        <f aca="false">IF($I62&gt;0%,IF(AND(RD$16&gt;=$F62,RD$16&lt;$F62+($G62*$I62)),"➤",""),"")</f>
        <v/>
      </c>
      <c r="RE62" s="76" t="str">
        <f aca="false">IF($I62&gt;0%,IF(AND(RE$16&gt;=$F62,RE$16&lt;$F62+($G62*$I62)),"➤",""),"")</f>
        <v/>
      </c>
      <c r="RF62" s="76" t="str">
        <f aca="false">IF($I62&gt;0%,IF(AND(RF$16&gt;=$F62,RF$16&lt;$F62+($G62*$I62)),"➤",""),"")</f>
        <v/>
      </c>
      <c r="RG62" s="76" t="str">
        <f aca="false">IF($I62&gt;0%,IF(AND(RG$16&gt;=$F62,RG$16&lt;$F62+($G62*$I62)),"➤",""),"")</f>
        <v/>
      </c>
      <c r="RH62" s="76" t="str">
        <f aca="false">IF($I62&gt;0%,IF(AND(RH$16&gt;=$F62,RH$16&lt;$F62+($G62*$I62)),"➤",""),"")</f>
        <v/>
      </c>
      <c r="RI62" s="76" t="str">
        <f aca="false">IF($I62&gt;0%,IF(AND(RI$16&gt;=$F62,RI$16&lt;$F62+($G62*$I62)),"➤",""),"")</f>
        <v/>
      </c>
      <c r="RJ62" s="76" t="str">
        <f aca="false">IF($I62&gt;0%,IF(AND(RJ$16&gt;=$F62,RJ$16&lt;$F62+($G62*$I62)),"➤",""),"")</f>
        <v/>
      </c>
      <c r="RK62" s="76" t="str">
        <f aca="false">IF($I62&gt;0%,IF(AND(RK$16&gt;=$F62,RK$16&lt;$F62+($G62*$I62)),"➤",""),"")</f>
        <v/>
      </c>
      <c r="RL62" s="76" t="str">
        <f aca="false">IF($I62&gt;0%,IF(AND(RL$16&gt;=$F62,RL$16&lt;$F62+($G62*$I62)),"➤",""),"")</f>
        <v/>
      </c>
      <c r="RM62" s="76" t="str">
        <f aca="false">IF($I62&gt;0%,IF(AND(RM$16&gt;=$F62,RM$16&lt;$F62+($G62*$I62)),"➤",""),"")</f>
        <v/>
      </c>
      <c r="RN62" s="76" t="str">
        <f aca="false">IF($I62&gt;0%,IF(AND(RN$16&gt;=$F62,RN$16&lt;$F62+($G62*$I62)),"➤",""),"")</f>
        <v/>
      </c>
      <c r="RO62" s="76" t="str">
        <f aca="false">IF($I62&gt;0%,IF(AND(RO$16&gt;=$F62,RO$16&lt;$F62+($G62*$I62)),"➤",""),"")</f>
        <v/>
      </c>
      <c r="RP62" s="76" t="str">
        <f aca="false">IF($I62&gt;0%,IF(AND(RP$16&gt;=$F62,RP$16&lt;$F62+($G62*$I62)),"➤",""),"")</f>
        <v/>
      </c>
      <c r="RQ62" s="76" t="str">
        <f aca="false">IF($I62&gt;0%,IF(AND(RQ$16&gt;=$F62,RQ$16&lt;$F62+($G62*$I62)),"➤",""),"")</f>
        <v/>
      </c>
      <c r="RR62" s="76" t="str">
        <f aca="false">IF($I62&gt;0%,IF(AND(RR$16&gt;=$F62,RR$16&lt;$F62+($G62*$I62)),"➤",""),"")</f>
        <v/>
      </c>
      <c r="RS62" s="76" t="str">
        <f aca="false">IF($I62&gt;0%,IF(AND(RS$16&gt;=$F62,RS$16&lt;$F62+($G62*$I62)),"➤",""),"")</f>
        <v/>
      </c>
      <c r="RT62" s="76" t="str">
        <f aca="false">IF($I62&gt;0%,IF(AND(RT$16&gt;=$F62,RT$16&lt;$F62+($G62*$I62)),"➤",""),"")</f>
        <v/>
      </c>
      <c r="RU62" s="76" t="str">
        <f aca="false">IF($I62&gt;0%,IF(AND(RU$16&gt;=$F62,RU$16&lt;$F62+($G62*$I62)),"➤",""),"")</f>
        <v/>
      </c>
      <c r="RV62" s="76" t="str">
        <f aca="false">IF($I62&gt;0%,IF(AND(RV$16&gt;=$F62,RV$16&lt;$F62+($G62*$I62)),"➤",""),"")</f>
        <v/>
      </c>
      <c r="RW62" s="76" t="str">
        <f aca="false">IF($I62&gt;0%,IF(AND(RW$16&gt;=$F62,RW$16&lt;$F62+($G62*$I62)),"➤",""),"")</f>
        <v/>
      </c>
      <c r="RX62" s="76" t="str">
        <f aca="false">IF($I62&gt;0%,IF(AND(RX$16&gt;=$F62,RX$16&lt;$F62+($G62*$I62)),"➤",""),"")</f>
        <v/>
      </c>
      <c r="RY62" s="76" t="str">
        <f aca="false">IF($I62&gt;0%,IF(AND(RY$16&gt;=$F62,RY$16&lt;$F62+($G62*$I62)),"➤",""),"")</f>
        <v/>
      </c>
      <c r="RZ62" s="76" t="str">
        <f aca="false">IF($I62&gt;0%,IF(AND(RZ$16&gt;=$F62,RZ$16&lt;$F62+($G62*$I62)),"➤",""),"")</f>
        <v/>
      </c>
      <c r="SA62" s="76" t="str">
        <f aca="false">IF($I62&gt;0%,IF(AND(SA$16&gt;=$F62,SA$16&lt;$F62+($G62*$I62)),"➤",""),"")</f>
        <v/>
      </c>
      <c r="SB62" s="76" t="str">
        <f aca="false">IF($I62&gt;0%,IF(AND(SB$16&gt;=$F62,SB$16&lt;$F62+($G62*$I62)),"➤",""),"")</f>
        <v/>
      </c>
      <c r="SC62" s="76" t="str">
        <f aca="false">IF($I62&gt;0%,IF(AND(SC$16&gt;=$F62,SC$16&lt;$F62+($G62*$I62)),"➤",""),"")</f>
        <v/>
      </c>
      <c r="SD62" s="76" t="str">
        <f aca="false">IF($I62&gt;0%,IF(AND(SD$16&gt;=$F62,SD$16&lt;$F62+($G62*$I62)),"➤",""),"")</f>
        <v/>
      </c>
      <c r="SE62" s="76" t="str">
        <f aca="false">IF($I62&gt;0%,IF(AND(SE$16&gt;=$F62,SE$16&lt;$F62+($G62*$I62)),"➤",""),"")</f>
        <v/>
      </c>
      <c r="SF62" s="76" t="str">
        <f aca="false">IF($I62&gt;0%,IF(AND(SF$16&gt;=$F62,SF$16&lt;$F62+($G62*$I62)),"➤",""),"")</f>
        <v/>
      </c>
      <c r="SG62" s="76" t="str">
        <f aca="false">IF($I62&gt;0%,IF(AND(SG$16&gt;=$F62,SG$16&lt;$F62+($G62*$I62)),"➤",""),"")</f>
        <v/>
      </c>
      <c r="SH62" s="76" t="str">
        <f aca="false">IF($I62&gt;0%,IF(AND(SH$16&gt;=$F62,SH$16&lt;$F62+($G62*$I62)),"➤",""),"")</f>
        <v/>
      </c>
      <c r="SI62" s="76" t="str">
        <f aca="false">IF($I62&gt;0%,IF(AND(SI$16&gt;=$F62,SI$16&lt;$F62+($G62*$I62)),"➤",""),"")</f>
        <v/>
      </c>
      <c r="SJ62" s="76" t="str">
        <f aca="false">IF($I62&gt;0%,IF(AND(SJ$16&gt;=$F62,SJ$16&lt;$F62+($G62*$I62)),"➤",""),"")</f>
        <v/>
      </c>
      <c r="SK62" s="76" t="str">
        <f aca="false">IF($I62&gt;0%,IF(AND(SK$16&gt;=$F62,SK$16&lt;$F62+($G62*$I62)),"➤",""),"")</f>
        <v/>
      </c>
      <c r="SL62" s="76" t="str">
        <f aca="false">IF($I62&gt;0%,IF(AND(SL$16&gt;=$F62,SL$16&lt;$F62+($G62*$I62)),"➤",""),"")</f>
        <v/>
      </c>
      <c r="SM62" s="76" t="str">
        <f aca="false">IF($I62&gt;0%,IF(AND(SM$16&gt;=$F62,SM$16&lt;$F62+($G62*$I62)),"➤",""),"")</f>
        <v/>
      </c>
      <c r="SN62" s="76" t="str">
        <f aca="false">IF($I62&gt;0%,IF(AND(SN$16&gt;=$F62,SN$16&lt;$F62+($G62*$I62)),"➤",""),"")</f>
        <v/>
      </c>
      <c r="SO62" s="76" t="str">
        <f aca="false">IF($I62&gt;0%,IF(AND(SO$16&gt;=$F62,SO$16&lt;$F62+($G62*$I62)),"➤",""),"")</f>
        <v/>
      </c>
      <c r="SP62" s="76" t="str">
        <f aca="false">IF($I62&gt;0%,IF(AND(SP$16&gt;=$F62,SP$16&lt;$F62+($G62*$I62)),"➤",""),"")</f>
        <v/>
      </c>
      <c r="SQ62" s="76" t="str">
        <f aca="false">IF($I62&gt;0%,IF(AND(SQ$16&gt;=$F62,SQ$16&lt;$F62+($G62*$I62)),"➤",""),"")</f>
        <v/>
      </c>
      <c r="SR62" s="76" t="str">
        <f aca="false">IF($I62&gt;0%,IF(AND(SR$16&gt;=$F62,SR$16&lt;$F62+($G62*$I62)),"➤",""),"")</f>
        <v/>
      </c>
      <c r="SS62" s="76" t="str">
        <f aca="false">IF($I62&gt;0%,IF(AND(SS$16&gt;=$F62,SS$16&lt;$F62+($G62*$I62)),"➤",""),"")</f>
        <v/>
      </c>
      <c r="ST62" s="76" t="str">
        <f aca="false">IF($I62&gt;0%,IF(AND(ST$16&gt;=$F62,ST$16&lt;$F62+($G62*$I62)),"➤",""),"")</f>
        <v/>
      </c>
      <c r="SU62" s="76" t="str">
        <f aca="false">IF($I62&gt;0%,IF(AND(SU$16&gt;=$F62,SU$16&lt;$F62+($G62*$I62)),"➤",""),"")</f>
        <v/>
      </c>
      <c r="SV62" s="76" t="str">
        <f aca="false">IF($I62&gt;0%,IF(AND(SV$16&gt;=$F62,SV$16&lt;$F62+($G62*$I62)),"➤",""),"")</f>
        <v/>
      </c>
      <c r="SW62" s="77" t="str">
        <f aca="false">IF($I62&gt;0%,IF(AND(SW$16&gt;=$F62,SW$16&lt;$F62+($G62*$I62)),"➤",""),"")</f>
        <v/>
      </c>
    </row>
    <row r="63" customFormat="false" ht="14.25" hidden="false" customHeight="false" outlineLevel="0" collapsed="false">
      <c r="C63" s="10"/>
      <c r="D63" s="113"/>
      <c r="E63" s="114"/>
      <c r="F63" s="115" t="n">
        <v>44211</v>
      </c>
      <c r="G63" s="116" t="n">
        <v>4</v>
      </c>
      <c r="H63" s="117" t="n">
        <f aca="false">(F63+G63)-1</f>
        <v>44214</v>
      </c>
      <c r="I63" s="118" t="n">
        <v>0</v>
      </c>
      <c r="J63" s="119"/>
      <c r="K63" s="120"/>
      <c r="L63" s="121" t="str">
        <f aca="false">IF($I63&gt;0%,IF(AND(L$16&gt;=$F63,L$16&lt;$F63+($G63*$I63)),"➤",""),"")</f>
        <v/>
      </c>
      <c r="M63" s="122" t="str">
        <f aca="false">IF($I63&gt;0%,IF(AND(M$16&gt;=$F63,M$16&lt;$F63+($G63*$I63)),"➤",""),"")</f>
        <v/>
      </c>
      <c r="N63" s="122" t="str">
        <f aca="false">IF($I63&gt;0%,IF(AND(N$16&gt;=$F63,N$16&lt;$F63+($G63*$I63)),"➤",""),"")</f>
        <v/>
      </c>
      <c r="O63" s="122" t="str">
        <f aca="false">IF($I63&gt;0%,IF(AND(O$16&gt;=$F63,O$16&lt;$F63+($G63*$I63)),"➤",""),"")</f>
        <v/>
      </c>
      <c r="P63" s="122" t="str">
        <f aca="false">IF($I63&gt;0%,IF(AND(P$16&gt;=$F63,P$16&lt;$F63+($G63*$I63)),"➤",""),"")</f>
        <v/>
      </c>
      <c r="Q63" s="122" t="str">
        <f aca="false">IF($I63&gt;0%,IF(AND(Q$16&gt;=$F63,Q$16&lt;$F63+($G63*$I63)),"➤",""),"")</f>
        <v/>
      </c>
      <c r="R63" s="122" t="str">
        <f aca="false">IF($I63&gt;0%,IF(AND(R$16&gt;=$F63,R$16&lt;$F63+($G63*$I63)),"➤",""),"")</f>
        <v/>
      </c>
      <c r="S63" s="122" t="str">
        <f aca="false">IF($I63&gt;0%,IF(AND(S$16&gt;=$F63,S$16&lt;$F63+($G63*$I63)),"➤",""),"")</f>
        <v/>
      </c>
      <c r="T63" s="122" t="str">
        <f aca="false">IF($I63&gt;0%,IF(AND(T$16&gt;=$F63,T$16&lt;$F63+($G63*$I63)),"➤",""),"")</f>
        <v/>
      </c>
      <c r="U63" s="122" t="str">
        <f aca="false">IF($I63&gt;0%,IF(AND(U$16&gt;=$F63,U$16&lt;$F63+($G63*$I63)),"➤",""),"")</f>
        <v/>
      </c>
      <c r="V63" s="122" t="str">
        <f aca="false">IF($I63&gt;0%,IF(AND(V$16&gt;=$F63,V$16&lt;$F63+($G63*$I63)),"➤",""),"")</f>
        <v/>
      </c>
      <c r="W63" s="122" t="str">
        <f aca="false">IF($I63&gt;0%,IF(AND(W$16&gt;=$F63,W$16&lt;$F63+($G63*$I63)),"➤",""),"")</f>
        <v/>
      </c>
      <c r="X63" s="122" t="str">
        <f aca="false">IF($I63&gt;0%,IF(AND(X$16&gt;=$F63,X$16&lt;$F63+($G63*$I63)),"➤",""),"")</f>
        <v/>
      </c>
      <c r="Y63" s="122" t="str">
        <f aca="false">IF($I63&gt;0%,IF(AND(Y$16&gt;=$F63,Y$16&lt;$F63+($G63*$I63)),"➤",""),"")</f>
        <v/>
      </c>
      <c r="Z63" s="122" t="str">
        <f aca="false">IF($I63&gt;0%,IF(AND(Z$16&gt;=$F63,Z$16&lt;$F63+($G63*$I63)),"➤",""),"")</f>
        <v/>
      </c>
      <c r="AA63" s="122" t="str">
        <f aca="false">IF($I63&gt;0%,IF(AND(AA$16&gt;=$F63,AA$16&lt;$F63+($G63*$I63)),"➤",""),"")</f>
        <v/>
      </c>
      <c r="AB63" s="122" t="str">
        <f aca="false">IF($I63&gt;0%,IF(AND(AB$16&gt;=$F63,AB$16&lt;$F63+($G63*$I63)),"➤",""),"")</f>
        <v/>
      </c>
      <c r="AC63" s="122" t="str">
        <f aca="false">IF($I63&gt;0%,IF(AND(AC$16&gt;=$F63,AC$16&lt;$F63+($G63*$I63)),"➤",""),"")</f>
        <v/>
      </c>
      <c r="AD63" s="122" t="str">
        <f aca="false">IF($I63&gt;0%,IF(AND(AD$16&gt;=$F63,AD$16&lt;$F63+($G63*$I63)),"➤",""),"")</f>
        <v/>
      </c>
      <c r="AE63" s="122" t="str">
        <f aca="false">IF($I63&gt;0%,IF(AND(AE$16&gt;=$F63,AE$16&lt;$F63+($G63*$I63)),"➤",""),"")</f>
        <v/>
      </c>
      <c r="AF63" s="122" t="str">
        <f aca="false">IF($I63&gt;0%,IF(AND(AF$16&gt;=$F63,AF$16&lt;$F63+($G63*$I63)),"➤",""),"")</f>
        <v/>
      </c>
      <c r="AG63" s="122" t="str">
        <f aca="false">IF($I63&gt;0%,IF(AND(AG$16&gt;=$F63,AG$16&lt;$F63+($G63*$I63)),"➤",""),"")</f>
        <v/>
      </c>
      <c r="AH63" s="122" t="str">
        <f aca="false">IF($I63&gt;0%,IF(AND(AH$16&gt;=$F63,AH$16&lt;$F63+($G63*$I63)),"➤",""),"")</f>
        <v/>
      </c>
      <c r="AI63" s="122" t="str">
        <f aca="false">IF($I63&gt;0%,IF(AND(AI$16&gt;=$F63,AI$16&lt;$F63+($G63*$I63)),"➤",""),"")</f>
        <v/>
      </c>
      <c r="AJ63" s="122" t="str">
        <f aca="false">IF($I63&gt;0%,IF(AND(AJ$16&gt;=$F63,AJ$16&lt;$F63+($G63*$I63)),"➤",""),"")</f>
        <v/>
      </c>
      <c r="AK63" s="122" t="str">
        <f aca="false">IF($I63&gt;0%,IF(AND(AK$16&gt;=$F63,AK$16&lt;$F63+($G63*$I63)),"➤",""),"")</f>
        <v/>
      </c>
      <c r="AL63" s="122" t="str">
        <f aca="false">IF($I63&gt;0%,IF(AND(AL$16&gt;=$F63,AL$16&lt;$F63+($G63*$I63)),"➤",""),"")</f>
        <v/>
      </c>
      <c r="AM63" s="122" t="str">
        <f aca="false">IF($I63&gt;0%,IF(AND(AM$16&gt;=$F63,AM$16&lt;$F63+($G63*$I63)),"➤",""),"")</f>
        <v/>
      </c>
      <c r="AN63" s="122" t="str">
        <f aca="false">IF($I63&gt;0%,IF(AND(AN$16&gt;=$F63,AN$16&lt;$F63+($G63*$I63)),"➤",""),"")</f>
        <v/>
      </c>
      <c r="AO63" s="122" t="str">
        <f aca="false">IF($I63&gt;0%,IF(AND(AO$16&gt;=$F63,AO$16&lt;$F63+($G63*$I63)),"➤",""),"")</f>
        <v/>
      </c>
      <c r="AP63" s="122" t="str">
        <f aca="false">IF($I63&gt;0%,IF(AND(AP$16&gt;=$F63,AP$16&lt;$F63+($G63*$I63)),"➤",""),"")</f>
        <v/>
      </c>
      <c r="AQ63" s="122" t="str">
        <f aca="false">IF($I63&gt;0%,IF(AND(AQ$16&gt;=$F63,AQ$16&lt;$F63+($G63*$I63)),"➤",""),"")</f>
        <v/>
      </c>
      <c r="AR63" s="122" t="str">
        <f aca="false">IF($I63&gt;0%,IF(AND(AR$16&gt;=$F63,AR$16&lt;$F63+($G63*$I63)),"➤",""),"")</f>
        <v/>
      </c>
      <c r="AS63" s="122" t="str">
        <f aca="false">IF($I63&gt;0%,IF(AND(AS$16&gt;=$F63,AS$16&lt;$F63+($G63*$I63)),"➤",""),"")</f>
        <v/>
      </c>
      <c r="AT63" s="122" t="str">
        <f aca="false">IF($I63&gt;0%,IF(AND(AT$16&gt;=$F63,AT$16&lt;$F63+($G63*$I63)),"➤",""),"")</f>
        <v/>
      </c>
      <c r="AU63" s="122" t="str">
        <f aca="false">IF($I63&gt;0%,IF(AND(AU$16&gt;=$F63,AU$16&lt;$F63+($G63*$I63)),"➤",""),"")</f>
        <v/>
      </c>
      <c r="AV63" s="122" t="str">
        <f aca="false">IF($I63&gt;0%,IF(AND(AV$16&gt;=$F63,AV$16&lt;$F63+($G63*$I63)),"➤",""),"")</f>
        <v/>
      </c>
      <c r="AW63" s="122" t="str">
        <f aca="false">IF($I63&gt;0%,IF(AND(AW$16&gt;=$F63,AW$16&lt;$F63+($G63*$I63)),"➤",""),"")</f>
        <v/>
      </c>
      <c r="AX63" s="122" t="str">
        <f aca="false">IF($I63&gt;0%,IF(AND(AX$16&gt;=$F63,AX$16&lt;$F63+($G63*$I63)),"➤",""),"")</f>
        <v/>
      </c>
      <c r="AY63" s="122" t="str">
        <f aca="false">IF($I63&gt;0%,IF(AND(AY$16&gt;=$F63,AY$16&lt;$F63+($G63*$I63)),"➤",""),"")</f>
        <v/>
      </c>
      <c r="AZ63" s="122" t="str">
        <f aca="false">IF($I63&gt;0%,IF(AND(AZ$16&gt;=$F63,AZ$16&lt;$F63+($G63*$I63)),"➤",""),"")</f>
        <v/>
      </c>
      <c r="BA63" s="122" t="str">
        <f aca="false">IF($I63&gt;0%,IF(AND(BA$16&gt;=$F63,BA$16&lt;$F63+($G63*$I63)),"➤",""),"")</f>
        <v/>
      </c>
      <c r="BB63" s="122" t="str">
        <f aca="false">IF($I63&gt;0%,IF(AND(BB$16&gt;=$F63,BB$16&lt;$F63+($G63*$I63)),"➤",""),"")</f>
        <v/>
      </c>
      <c r="BC63" s="122" t="str">
        <f aca="false">IF($I63&gt;0%,IF(AND(BC$16&gt;=$F63,BC$16&lt;$F63+($G63*$I63)),"➤",""),"")</f>
        <v/>
      </c>
      <c r="BD63" s="122" t="str">
        <f aca="false">IF($I63&gt;0%,IF(AND(BD$16&gt;=$F63,BD$16&lt;$F63+($G63*$I63)),"➤",""),"")</f>
        <v/>
      </c>
      <c r="BE63" s="122" t="str">
        <f aca="false">IF($I63&gt;0%,IF(AND(BE$16&gt;=$F63,BE$16&lt;$F63+($G63*$I63)),"➤",""),"")</f>
        <v/>
      </c>
      <c r="BF63" s="122" t="str">
        <f aca="false">IF($I63&gt;0%,IF(AND(BF$16&gt;=$F63,BF$16&lt;$F63+($G63*$I63)),"➤",""),"")</f>
        <v/>
      </c>
      <c r="BG63" s="122" t="str">
        <f aca="false">IF($I63&gt;0%,IF(AND(BG$16&gt;=$F63,BG$16&lt;$F63+($G63*$I63)),"➤",""),"")</f>
        <v/>
      </c>
      <c r="BH63" s="122" t="str">
        <f aca="false">IF($I63&gt;0%,IF(AND(BH$16&gt;=$F63,BH$16&lt;$F63+($G63*$I63)),"➤",""),"")</f>
        <v/>
      </c>
      <c r="BI63" s="122" t="str">
        <f aca="false">IF($I63&gt;0%,IF(AND(BI$16&gt;=$F63,BI$16&lt;$F63+($G63*$I63)),"➤",""),"")</f>
        <v/>
      </c>
      <c r="BJ63" s="122" t="str">
        <f aca="false">IF($I63&gt;0%,IF(AND(BJ$16&gt;=$F63,BJ$16&lt;$F63+($G63*$I63)),"➤",""),"")</f>
        <v/>
      </c>
      <c r="BK63" s="122" t="str">
        <f aca="false">IF($I63&gt;0%,IF(AND(BK$16&gt;=$F63,BK$16&lt;$F63+($G63*$I63)),"➤",""),"")</f>
        <v/>
      </c>
      <c r="BL63" s="122" t="str">
        <f aca="false">IF($I63&gt;0%,IF(AND(BL$16&gt;=$F63,BL$16&lt;$F63+($G63*$I63)),"➤",""),"")</f>
        <v/>
      </c>
      <c r="BM63" s="122" t="str">
        <f aca="false">IF($I63&gt;0%,IF(AND(BM$16&gt;=$F63,BM$16&lt;$F63+($G63*$I63)),"➤",""),"")</f>
        <v/>
      </c>
      <c r="BN63" s="122" t="str">
        <f aca="false">IF($I63&gt;0%,IF(AND(BN$16&gt;=$F63,BN$16&lt;$F63+($G63*$I63)),"➤",""),"")</f>
        <v/>
      </c>
      <c r="BO63" s="122" t="str">
        <f aca="false">IF($I63&gt;0%,IF(AND(BO$16&gt;=$F63,BO$16&lt;$F63+($G63*$I63)),"➤",""),"")</f>
        <v/>
      </c>
      <c r="BP63" s="122" t="str">
        <f aca="false">IF($I63&gt;0%,IF(AND(BP$16&gt;=$F63,BP$16&lt;$F63+($G63*$I63)),"➤",""),"")</f>
        <v/>
      </c>
      <c r="BQ63" s="122" t="str">
        <f aca="false">IF($I63&gt;0%,IF(AND(BQ$16&gt;=$F63,BQ$16&lt;$F63+($G63*$I63)),"➤",""),"")</f>
        <v/>
      </c>
      <c r="BR63" s="122" t="str">
        <f aca="false">IF($I63&gt;0%,IF(AND(BR$16&gt;=$F63,BR$16&lt;$F63+($G63*$I63)),"➤",""),"")</f>
        <v/>
      </c>
      <c r="BS63" s="122" t="str">
        <f aca="false">IF($I63&gt;0%,IF(AND(BS$16&gt;=$F63,BS$16&lt;$F63+($G63*$I63)),"➤",""),"")</f>
        <v/>
      </c>
      <c r="BT63" s="122" t="str">
        <f aca="false">IF($I63&gt;0%,IF(AND(BT$16&gt;=$F63,BT$16&lt;$F63+($G63*$I63)),"➤",""),"")</f>
        <v/>
      </c>
      <c r="BU63" s="122" t="str">
        <f aca="false">IF($I63&gt;0%,IF(AND(BU$16&gt;=$F63,BU$16&lt;$F63+($G63*$I63)),"➤",""),"")</f>
        <v/>
      </c>
      <c r="BV63" s="122" t="str">
        <f aca="false">IF($I63&gt;0%,IF(AND(BV$16&gt;=$F63,BV$16&lt;$F63+($G63*$I63)),"➤",""),"")</f>
        <v/>
      </c>
      <c r="BW63" s="122" t="str">
        <f aca="false">IF($I63&gt;0%,IF(AND(BW$16&gt;=$F63,BW$16&lt;$F63+($G63*$I63)),"➤",""),"")</f>
        <v/>
      </c>
      <c r="BX63" s="122" t="str">
        <f aca="false">IF($I63&gt;0%,IF(AND(BX$16&gt;=$F63,BX$16&lt;$F63+($G63*$I63)),"➤",""),"")</f>
        <v/>
      </c>
      <c r="BY63" s="122" t="str">
        <f aca="false">IF($I63&gt;0%,IF(AND(BY$16&gt;=$F63,BY$16&lt;$F63+($G63*$I63)),"➤",""),"")</f>
        <v/>
      </c>
      <c r="BZ63" s="122" t="str">
        <f aca="false">IF($I63&gt;0%,IF(AND(BZ$16&gt;=$F63,BZ$16&lt;$F63+($G63*$I63)),"➤",""),"")</f>
        <v/>
      </c>
      <c r="CA63" s="122" t="str">
        <f aca="false">IF($I63&gt;0%,IF(AND(CA$16&gt;=$F63,CA$16&lt;$F63+($G63*$I63)),"➤",""),"")</f>
        <v/>
      </c>
      <c r="CB63" s="122" t="str">
        <f aca="false">IF($I63&gt;0%,IF(AND(CB$16&gt;=$F63,CB$16&lt;$F63+($G63*$I63)),"➤",""),"")</f>
        <v/>
      </c>
      <c r="CC63" s="122" t="str">
        <f aca="false">IF($I63&gt;0%,IF(AND(CC$16&gt;=$F63,CC$16&lt;$F63+($G63*$I63)),"➤",""),"")</f>
        <v/>
      </c>
      <c r="CD63" s="122" t="str">
        <f aca="false">IF($I63&gt;0%,IF(AND(CD$16&gt;=$F63,CD$16&lt;$F63+($G63*$I63)),"➤",""),"")</f>
        <v/>
      </c>
      <c r="CE63" s="122" t="str">
        <f aca="false">IF($I63&gt;0%,IF(AND(CE$16&gt;=$F63,CE$16&lt;$F63+($G63*$I63)),"➤",""),"")</f>
        <v/>
      </c>
      <c r="CF63" s="122" t="str">
        <f aca="false">IF($I63&gt;0%,IF(AND(CF$16&gt;=$F63,CF$16&lt;$F63+($G63*$I63)),"➤",""),"")</f>
        <v/>
      </c>
      <c r="CG63" s="122" t="str">
        <f aca="false">IF($I63&gt;0%,IF(AND(CG$16&gt;=$F63,CG$16&lt;$F63+($G63*$I63)),"➤",""),"")</f>
        <v/>
      </c>
      <c r="CH63" s="122" t="str">
        <f aca="false">IF($I63&gt;0%,IF(AND(CH$16&gt;=$F63,CH$16&lt;$F63+($G63*$I63)),"➤",""),"")</f>
        <v/>
      </c>
      <c r="CI63" s="122" t="str">
        <f aca="false">IF($I63&gt;0%,IF(AND(CI$16&gt;=$F63,CI$16&lt;$F63+($G63*$I63)),"➤",""),"")</f>
        <v/>
      </c>
      <c r="CJ63" s="122" t="str">
        <f aca="false">IF($I63&gt;0%,IF(AND(CJ$16&gt;=$F63,CJ$16&lt;$F63+($G63*$I63)),"➤",""),"")</f>
        <v/>
      </c>
      <c r="CK63" s="122" t="str">
        <f aca="false">IF($I63&gt;0%,IF(AND(CK$16&gt;=$F63,CK$16&lt;$F63+($G63*$I63)),"➤",""),"")</f>
        <v/>
      </c>
      <c r="CL63" s="122" t="str">
        <f aca="false">IF($I63&gt;0%,IF(AND(CL$16&gt;=$F63,CL$16&lt;$F63+($G63*$I63)),"➤",""),"")</f>
        <v/>
      </c>
      <c r="CM63" s="122" t="str">
        <f aca="false">IF($I63&gt;0%,IF(AND(CM$16&gt;=$F63,CM$16&lt;$F63+($G63*$I63)),"➤",""),"")</f>
        <v/>
      </c>
      <c r="CN63" s="122" t="str">
        <f aca="false">IF($I63&gt;0%,IF(AND(CN$16&gt;=$F63,CN$16&lt;$F63+($G63*$I63)),"➤",""),"")</f>
        <v/>
      </c>
      <c r="CO63" s="122" t="str">
        <f aca="false">IF($I63&gt;0%,IF(AND(CO$16&gt;=$F63,CO$16&lt;$F63+($G63*$I63)),"➤",""),"")</f>
        <v/>
      </c>
      <c r="CP63" s="122" t="str">
        <f aca="false">IF($I63&gt;0%,IF(AND(CP$16&gt;=$F63,CP$16&lt;$F63+($G63*$I63)),"➤",""),"")</f>
        <v/>
      </c>
      <c r="CQ63" s="122" t="str">
        <f aca="false">IF($I63&gt;0%,IF(AND(CQ$16&gt;=$F63,CQ$16&lt;$F63+($G63*$I63)),"➤",""),"")</f>
        <v/>
      </c>
      <c r="CR63" s="122" t="str">
        <f aca="false">IF($I63&gt;0%,IF(AND(CR$16&gt;=$F63,CR$16&lt;$F63+($G63*$I63)),"➤",""),"")</f>
        <v/>
      </c>
      <c r="CS63" s="122" t="str">
        <f aca="false">IF($I63&gt;0%,IF(AND(CS$16&gt;=$F63,CS$16&lt;$F63+($G63*$I63)),"➤",""),"")</f>
        <v/>
      </c>
      <c r="CT63" s="122" t="str">
        <f aca="false">IF($I63&gt;0%,IF(AND(CT$16&gt;=$F63,CT$16&lt;$F63+($G63*$I63)),"➤",""),"")</f>
        <v/>
      </c>
      <c r="CU63" s="122" t="str">
        <f aca="false">IF($I63&gt;0%,IF(AND(CU$16&gt;=$F63,CU$16&lt;$F63+($G63*$I63)),"➤",""),"")</f>
        <v/>
      </c>
      <c r="CV63" s="122" t="str">
        <f aca="false">IF($I63&gt;0%,IF(AND(CV$16&gt;=$F63,CV$16&lt;$F63+($G63*$I63)),"➤",""),"")</f>
        <v/>
      </c>
      <c r="CW63" s="122" t="str">
        <f aca="false">IF($I63&gt;0%,IF(AND(CW$16&gt;=$F63,CW$16&lt;$F63+($G63*$I63)),"➤",""),"")</f>
        <v/>
      </c>
      <c r="CX63" s="122" t="str">
        <f aca="false">IF($I63&gt;0%,IF(AND(CX$16&gt;=$F63,CX$16&lt;$F63+($G63*$I63)),"➤",""),"")</f>
        <v/>
      </c>
      <c r="CY63" s="122" t="str">
        <f aca="false">IF($I63&gt;0%,IF(AND(CY$16&gt;=$F63,CY$16&lt;$F63+($G63*$I63)),"➤",""),"")</f>
        <v/>
      </c>
      <c r="CZ63" s="122" t="str">
        <f aca="false">IF($I63&gt;0%,IF(AND(CZ$16&gt;=$F63,CZ$16&lt;$F63+($G63*$I63)),"➤",""),"")</f>
        <v/>
      </c>
      <c r="DA63" s="122" t="str">
        <f aca="false">IF($I63&gt;0%,IF(AND(DA$16&gt;=$F63,DA$16&lt;$F63+($G63*$I63)),"➤",""),"")</f>
        <v/>
      </c>
      <c r="DB63" s="122" t="str">
        <f aca="false">IF($I63&gt;0%,IF(AND(DB$16&gt;=$F63,DB$16&lt;$F63+($G63*$I63)),"➤",""),"")</f>
        <v/>
      </c>
      <c r="DC63" s="122" t="str">
        <f aca="false">IF($I63&gt;0%,IF(AND(DC$16&gt;=$F63,DC$16&lt;$F63+($G63*$I63)),"➤",""),"")</f>
        <v/>
      </c>
      <c r="DD63" s="122" t="str">
        <f aca="false">IF($I63&gt;0%,IF(AND(DD$16&gt;=$F63,DD$16&lt;$F63+($G63*$I63)),"➤",""),"")</f>
        <v/>
      </c>
      <c r="DE63" s="122" t="str">
        <f aca="false">IF($I63&gt;0%,IF(AND(DE$16&gt;=$F63,DE$16&lt;$F63+($G63*$I63)),"➤",""),"")</f>
        <v/>
      </c>
      <c r="DF63" s="122" t="str">
        <f aca="false">IF($I63&gt;0%,IF(AND(DF$16&gt;=$F63,DF$16&lt;$F63+($G63*$I63)),"➤",""),"")</f>
        <v/>
      </c>
      <c r="DG63" s="122" t="str">
        <f aca="false">IF($I63&gt;0%,IF(AND(DG$16&gt;=$F63,DG$16&lt;$F63+($G63*$I63)),"➤",""),"")</f>
        <v/>
      </c>
      <c r="DH63" s="122" t="str">
        <f aca="false">IF($I63&gt;0%,IF(AND(DH$16&gt;=$F63,DH$16&lt;$F63+($G63*$I63)),"➤",""),"")</f>
        <v/>
      </c>
      <c r="DI63" s="122" t="str">
        <f aca="false">IF($I63&gt;0%,IF(AND(DI$16&gt;=$F63,DI$16&lt;$F63+($G63*$I63)),"➤",""),"")</f>
        <v/>
      </c>
      <c r="DJ63" s="122" t="str">
        <f aca="false">IF($I63&gt;0%,IF(AND(DJ$16&gt;=$F63,DJ$16&lt;$F63+($G63*$I63)),"➤",""),"")</f>
        <v/>
      </c>
      <c r="DK63" s="122" t="str">
        <f aca="false">IF($I63&gt;0%,IF(AND(DK$16&gt;=$F63,DK$16&lt;$F63+($G63*$I63)),"➤",""),"")</f>
        <v/>
      </c>
      <c r="DL63" s="122" t="str">
        <f aca="false">IF($I63&gt;0%,IF(AND(DL$16&gt;=$F63,DL$16&lt;$F63+($G63*$I63)),"➤",""),"")</f>
        <v/>
      </c>
      <c r="DM63" s="122" t="str">
        <f aca="false">IF($I63&gt;0%,IF(AND(DM$16&gt;=$F63,DM$16&lt;$F63+($G63*$I63)),"➤",""),"")</f>
        <v/>
      </c>
      <c r="DN63" s="122" t="str">
        <f aca="false">IF($I63&gt;0%,IF(AND(DN$16&gt;=$F63,DN$16&lt;$F63+($G63*$I63)),"➤",""),"")</f>
        <v/>
      </c>
      <c r="DO63" s="122" t="str">
        <f aca="false">IF($I63&gt;0%,IF(AND(DO$16&gt;=$F63,DO$16&lt;$F63+($G63*$I63)),"➤",""),"")</f>
        <v/>
      </c>
      <c r="DP63" s="122" t="str">
        <f aca="false">IF($I63&gt;0%,IF(AND(DP$16&gt;=$F63,DP$16&lt;$F63+($G63*$I63)),"➤",""),"")</f>
        <v/>
      </c>
      <c r="DQ63" s="122" t="str">
        <f aca="false">IF($I63&gt;0%,IF(AND(DQ$16&gt;=$F63,DQ$16&lt;$F63+($G63*$I63)),"➤",""),"")</f>
        <v/>
      </c>
      <c r="DR63" s="122" t="str">
        <f aca="false">IF($I63&gt;0%,IF(AND(DR$16&gt;=$F63,DR$16&lt;$F63+($G63*$I63)),"➤",""),"")</f>
        <v/>
      </c>
      <c r="DS63" s="122" t="str">
        <f aca="false">IF($I63&gt;0%,IF(AND(DS$16&gt;=$F63,DS$16&lt;$F63+($G63*$I63)),"➤",""),"")</f>
        <v/>
      </c>
      <c r="DT63" s="122" t="str">
        <f aca="false">IF($I63&gt;0%,IF(AND(DT$16&gt;=$F63,DT$16&lt;$F63+($G63*$I63)),"➤",""),"")</f>
        <v/>
      </c>
      <c r="DU63" s="122" t="str">
        <f aca="false">IF($I63&gt;0%,IF(AND(DU$16&gt;=$F63,DU$16&lt;$F63+($G63*$I63)),"➤",""),"")</f>
        <v/>
      </c>
      <c r="DV63" s="122" t="str">
        <f aca="false">IF($I63&gt;0%,IF(AND(DV$16&gt;=$F63,DV$16&lt;$F63+($G63*$I63)),"➤",""),"")</f>
        <v/>
      </c>
      <c r="DW63" s="122" t="str">
        <f aca="false">IF($I63&gt;0%,IF(AND(DW$16&gt;=$F63,DW$16&lt;$F63+($G63*$I63)),"➤",""),"")</f>
        <v/>
      </c>
      <c r="DX63" s="122" t="str">
        <f aca="false">IF($I63&gt;0%,IF(AND(DX$16&gt;=$F63,DX$16&lt;$F63+($G63*$I63)),"➤",""),"")</f>
        <v/>
      </c>
      <c r="DY63" s="122" t="str">
        <f aca="false">IF($I63&gt;0%,IF(AND(DY$16&gt;=$F63,DY$16&lt;$F63+($G63*$I63)),"➤",""),"")</f>
        <v/>
      </c>
      <c r="DZ63" s="122" t="str">
        <f aca="false">IF($I63&gt;0%,IF(AND(DZ$16&gt;=$F63,DZ$16&lt;$F63+($G63*$I63)),"➤",""),"")</f>
        <v/>
      </c>
      <c r="EA63" s="122" t="str">
        <f aca="false">IF($I63&gt;0%,IF(AND(EA$16&gt;=$F63,EA$16&lt;$F63+($G63*$I63)),"➤",""),"")</f>
        <v/>
      </c>
      <c r="EB63" s="122" t="str">
        <f aca="false">IF($I63&gt;0%,IF(AND(EB$16&gt;=$F63,EB$16&lt;$F63+($G63*$I63)),"➤",""),"")</f>
        <v/>
      </c>
      <c r="EC63" s="122" t="str">
        <f aca="false">IF($I63&gt;0%,IF(AND(EC$16&gt;=$F63,EC$16&lt;$F63+($G63*$I63)),"➤",""),"")</f>
        <v/>
      </c>
      <c r="ED63" s="122" t="str">
        <f aca="false">IF($I63&gt;0%,IF(AND(ED$16&gt;=$F63,ED$16&lt;$F63+($G63*$I63)),"➤",""),"")</f>
        <v/>
      </c>
      <c r="EE63" s="122" t="str">
        <f aca="false">IF($I63&gt;0%,IF(AND(EE$16&gt;=$F63,EE$16&lt;$F63+($G63*$I63)),"➤",""),"")</f>
        <v/>
      </c>
      <c r="EF63" s="122" t="str">
        <f aca="false">IF($I63&gt;0%,IF(AND(EF$16&gt;=$F63,EF$16&lt;$F63+($G63*$I63)),"➤",""),"")</f>
        <v/>
      </c>
      <c r="EG63" s="122" t="str">
        <f aca="false">IF($I63&gt;0%,IF(AND(EG$16&gt;=$F63,EG$16&lt;$F63+($G63*$I63)),"➤",""),"")</f>
        <v/>
      </c>
      <c r="EH63" s="122" t="str">
        <f aca="false">IF($I63&gt;0%,IF(AND(EH$16&gt;=$F63,EH$16&lt;$F63+($G63*$I63)),"➤",""),"")</f>
        <v/>
      </c>
      <c r="EI63" s="122" t="str">
        <f aca="false">IF($I63&gt;0%,IF(AND(EI$16&gt;=$F63,EI$16&lt;$F63+($G63*$I63)),"➤",""),"")</f>
        <v/>
      </c>
      <c r="EJ63" s="122" t="str">
        <f aca="false">IF($I63&gt;0%,IF(AND(EJ$16&gt;=$F63,EJ$16&lt;$F63+($G63*$I63)),"➤",""),"")</f>
        <v/>
      </c>
      <c r="EK63" s="122" t="str">
        <f aca="false">IF($I63&gt;0%,IF(AND(EK$16&gt;=$F63,EK$16&lt;$F63+($G63*$I63)),"➤",""),"")</f>
        <v/>
      </c>
      <c r="EL63" s="122" t="str">
        <f aca="false">IF($I63&gt;0%,IF(AND(EL$16&gt;=$F63,EL$16&lt;$F63+($G63*$I63)),"➤",""),"")</f>
        <v/>
      </c>
      <c r="EM63" s="122" t="str">
        <f aca="false">IF($I63&gt;0%,IF(AND(EM$16&gt;=$F63,EM$16&lt;$F63+($G63*$I63)),"➤",""),"")</f>
        <v/>
      </c>
      <c r="EN63" s="122" t="str">
        <f aca="false">IF($I63&gt;0%,IF(AND(EN$16&gt;=$F63,EN$16&lt;$F63+($G63*$I63)),"➤",""),"")</f>
        <v/>
      </c>
      <c r="EO63" s="122" t="str">
        <f aca="false">IF($I63&gt;0%,IF(AND(EO$16&gt;=$F63,EO$16&lt;$F63+($G63*$I63)),"➤",""),"")</f>
        <v/>
      </c>
      <c r="EP63" s="122" t="str">
        <f aca="false">IF($I63&gt;0%,IF(AND(EP$16&gt;=$F63,EP$16&lt;$F63+($G63*$I63)),"➤",""),"")</f>
        <v/>
      </c>
      <c r="EQ63" s="122" t="str">
        <f aca="false">IF($I63&gt;0%,IF(AND(EQ$16&gt;=$F63,EQ$16&lt;$F63+($G63*$I63)),"➤",""),"")</f>
        <v/>
      </c>
      <c r="ER63" s="122" t="str">
        <f aca="false">IF($I63&gt;0%,IF(AND(ER$16&gt;=$F63,ER$16&lt;$F63+($G63*$I63)),"➤",""),"")</f>
        <v/>
      </c>
      <c r="ES63" s="122" t="str">
        <f aca="false">IF($I63&gt;0%,IF(AND(ES$16&gt;=$F63,ES$16&lt;$F63+($G63*$I63)),"➤",""),"")</f>
        <v/>
      </c>
      <c r="ET63" s="122" t="str">
        <f aca="false">IF($I63&gt;0%,IF(AND(ET$16&gt;=$F63,ET$16&lt;$F63+($G63*$I63)),"➤",""),"")</f>
        <v/>
      </c>
      <c r="EU63" s="122" t="str">
        <f aca="false">IF($I63&gt;0%,IF(AND(EU$16&gt;=$F63,EU$16&lt;$F63+($G63*$I63)),"➤",""),"")</f>
        <v/>
      </c>
      <c r="EV63" s="122" t="str">
        <f aca="false">IF($I63&gt;0%,IF(AND(EV$16&gt;=$F63,EV$16&lt;$F63+($G63*$I63)),"➤",""),"")</f>
        <v/>
      </c>
      <c r="EW63" s="122" t="str">
        <f aca="false">IF($I63&gt;0%,IF(AND(EW$16&gt;=$F63,EW$16&lt;$F63+($G63*$I63)),"➤",""),"")</f>
        <v/>
      </c>
      <c r="EX63" s="122" t="str">
        <f aca="false">IF($I63&gt;0%,IF(AND(EX$16&gt;=$F63,EX$16&lt;$F63+($G63*$I63)),"➤",""),"")</f>
        <v/>
      </c>
      <c r="EY63" s="122" t="str">
        <f aca="false">IF($I63&gt;0%,IF(AND(EY$16&gt;=$F63,EY$16&lt;$F63+($G63*$I63)),"➤",""),"")</f>
        <v/>
      </c>
      <c r="EZ63" s="122" t="str">
        <f aca="false">IF($I63&gt;0%,IF(AND(EZ$16&gt;=$F63,EZ$16&lt;$F63+($G63*$I63)),"➤",""),"")</f>
        <v/>
      </c>
      <c r="FA63" s="122" t="str">
        <f aca="false">IF($I63&gt;0%,IF(AND(FA$16&gt;=$F63,FA$16&lt;$F63+($G63*$I63)),"➤",""),"")</f>
        <v/>
      </c>
      <c r="FB63" s="122" t="str">
        <f aca="false">IF($I63&gt;0%,IF(AND(FB$16&gt;=$F63,FB$16&lt;$F63+($G63*$I63)),"➤",""),"")</f>
        <v/>
      </c>
      <c r="FC63" s="122" t="str">
        <f aca="false">IF($I63&gt;0%,IF(AND(FC$16&gt;=$F63,FC$16&lt;$F63+($G63*$I63)),"➤",""),"")</f>
        <v/>
      </c>
      <c r="FD63" s="122" t="str">
        <f aca="false">IF($I63&gt;0%,IF(AND(FD$16&gt;=$F63,FD$16&lt;$F63+($G63*$I63)),"➤",""),"")</f>
        <v/>
      </c>
      <c r="FE63" s="122" t="str">
        <f aca="false">IF($I63&gt;0%,IF(AND(FE$16&gt;=$F63,FE$16&lt;$F63+($G63*$I63)),"➤",""),"")</f>
        <v/>
      </c>
      <c r="FF63" s="122" t="str">
        <f aca="false">IF($I63&gt;0%,IF(AND(FF$16&gt;=$F63,FF$16&lt;$F63+($G63*$I63)),"➤",""),"")</f>
        <v/>
      </c>
      <c r="FG63" s="122" t="str">
        <f aca="false">IF($I63&gt;0%,IF(AND(FG$16&gt;=$F63,FG$16&lt;$F63+($G63*$I63)),"➤",""),"")</f>
        <v/>
      </c>
      <c r="FH63" s="122" t="str">
        <f aca="false">IF($I63&gt;0%,IF(AND(FH$16&gt;=$F63,FH$16&lt;$F63+($G63*$I63)),"➤",""),"")</f>
        <v/>
      </c>
      <c r="FI63" s="122" t="str">
        <f aca="false">IF($I63&gt;0%,IF(AND(FI$16&gt;=$F63,FI$16&lt;$F63+($G63*$I63)),"➤",""),"")</f>
        <v/>
      </c>
      <c r="FJ63" s="122" t="str">
        <f aca="false">IF($I63&gt;0%,IF(AND(FJ$16&gt;=$F63,FJ$16&lt;$F63+($G63*$I63)),"➤",""),"")</f>
        <v/>
      </c>
      <c r="FK63" s="122" t="str">
        <f aca="false">IF($I63&gt;0%,IF(AND(FK$16&gt;=$F63,FK$16&lt;$F63+($G63*$I63)),"➤",""),"")</f>
        <v/>
      </c>
      <c r="FL63" s="122" t="str">
        <f aca="false">IF($I63&gt;0%,IF(AND(FL$16&gt;=$F63,FL$16&lt;$F63+($G63*$I63)),"➤",""),"")</f>
        <v/>
      </c>
      <c r="FM63" s="122" t="str">
        <f aca="false">IF($I63&gt;0%,IF(AND(FM$16&gt;=$F63,FM$16&lt;$F63+($G63*$I63)),"➤",""),"")</f>
        <v/>
      </c>
      <c r="FN63" s="122" t="str">
        <f aca="false">IF($I63&gt;0%,IF(AND(FN$16&gt;=$F63,FN$16&lt;$F63+($G63*$I63)),"➤",""),"")</f>
        <v/>
      </c>
      <c r="FO63" s="122" t="str">
        <f aca="false">IF($I63&gt;0%,IF(AND(FO$16&gt;=$F63,FO$16&lt;$F63+($G63*$I63)),"➤",""),"")</f>
        <v/>
      </c>
      <c r="FP63" s="122" t="str">
        <f aca="false">IF($I63&gt;0%,IF(AND(FP$16&gt;=$F63,FP$16&lt;$F63+($G63*$I63)),"➤",""),"")</f>
        <v/>
      </c>
      <c r="FQ63" s="122" t="str">
        <f aca="false">IF($I63&gt;0%,IF(AND(FQ$16&gt;=$F63,FQ$16&lt;$F63+($G63*$I63)),"➤",""),"")</f>
        <v/>
      </c>
      <c r="FR63" s="122" t="str">
        <f aca="false">IF($I63&gt;0%,IF(AND(FR$16&gt;=$F63,FR$16&lt;$F63+($G63*$I63)),"➤",""),"")</f>
        <v/>
      </c>
      <c r="FS63" s="122" t="str">
        <f aca="false">IF($I63&gt;0%,IF(AND(FS$16&gt;=$F63,FS$16&lt;$F63+($G63*$I63)),"➤",""),"")</f>
        <v/>
      </c>
      <c r="FT63" s="122" t="str">
        <f aca="false">IF($I63&gt;0%,IF(AND(FT$16&gt;=$F63,FT$16&lt;$F63+($G63*$I63)),"➤",""),"")</f>
        <v/>
      </c>
      <c r="FU63" s="122" t="str">
        <f aca="false">IF($I63&gt;0%,IF(AND(FU$16&gt;=$F63,FU$16&lt;$F63+($G63*$I63)),"➤",""),"")</f>
        <v/>
      </c>
      <c r="FV63" s="122" t="str">
        <f aca="false">IF($I63&gt;0%,IF(AND(FV$16&gt;=$F63,FV$16&lt;$F63+($G63*$I63)),"➤",""),"")</f>
        <v/>
      </c>
      <c r="FW63" s="122" t="str">
        <f aca="false">IF($I63&gt;0%,IF(AND(FW$16&gt;=$F63,FW$16&lt;$F63+($G63*$I63)),"➤",""),"")</f>
        <v/>
      </c>
      <c r="FX63" s="122" t="str">
        <f aca="false">IF($I63&gt;0%,IF(AND(FX$16&gt;=$F63,FX$16&lt;$F63+($G63*$I63)),"➤",""),"")</f>
        <v/>
      </c>
      <c r="FY63" s="122" t="str">
        <f aca="false">IF($I63&gt;0%,IF(AND(FY$16&gt;=$F63,FY$16&lt;$F63+($G63*$I63)),"➤",""),"")</f>
        <v/>
      </c>
      <c r="FZ63" s="122" t="str">
        <f aca="false">IF($I63&gt;0%,IF(AND(FZ$16&gt;=$F63,FZ$16&lt;$F63+($G63*$I63)),"➤",""),"")</f>
        <v/>
      </c>
      <c r="GA63" s="122" t="str">
        <f aca="false">IF($I63&gt;0%,IF(AND(GA$16&gt;=$F63,GA$16&lt;$F63+($G63*$I63)),"➤",""),"")</f>
        <v/>
      </c>
      <c r="GB63" s="122" t="str">
        <f aca="false">IF($I63&gt;0%,IF(AND(GB$16&gt;=$F63,GB$16&lt;$F63+($G63*$I63)),"➤",""),"")</f>
        <v/>
      </c>
      <c r="GC63" s="122" t="str">
        <f aca="false">IF($I63&gt;0%,IF(AND(GC$16&gt;=$F63,GC$16&lt;$F63+($G63*$I63)),"➤",""),"")</f>
        <v/>
      </c>
      <c r="GD63" s="122" t="str">
        <f aca="false">IF($I63&gt;0%,IF(AND(GD$16&gt;=$F63,GD$16&lt;$F63+($G63*$I63)),"➤",""),"")</f>
        <v/>
      </c>
      <c r="GE63" s="122" t="str">
        <f aca="false">IF($I63&gt;0%,IF(AND(GE$16&gt;=$F63,GE$16&lt;$F63+($G63*$I63)),"➤",""),"")</f>
        <v/>
      </c>
      <c r="GF63" s="122" t="str">
        <f aca="false">IF($I63&gt;0%,IF(AND(GF$16&gt;=$F63,GF$16&lt;$F63+($G63*$I63)),"➤",""),"")</f>
        <v/>
      </c>
      <c r="GG63" s="122" t="str">
        <f aca="false">IF($I63&gt;0%,IF(AND(GG$16&gt;=$F63,GG$16&lt;$F63+($G63*$I63)),"➤",""),"")</f>
        <v/>
      </c>
      <c r="GH63" s="122" t="str">
        <f aca="false">IF($I63&gt;0%,IF(AND(GH$16&gt;=$F63,GH$16&lt;$F63+($G63*$I63)),"➤",""),"")</f>
        <v/>
      </c>
      <c r="GI63" s="122" t="str">
        <f aca="false">IF($I63&gt;0%,IF(AND(GI$16&gt;=$F63,GI$16&lt;$F63+($G63*$I63)),"➤",""),"")</f>
        <v/>
      </c>
      <c r="GJ63" s="122" t="str">
        <f aca="false">IF($I63&gt;0%,IF(AND(GJ$16&gt;=$F63,GJ$16&lt;$F63+($G63*$I63)),"➤",""),"")</f>
        <v/>
      </c>
      <c r="GK63" s="122" t="str">
        <f aca="false">IF($I63&gt;0%,IF(AND(GK$16&gt;=$F63,GK$16&lt;$F63+($G63*$I63)),"➤",""),"")</f>
        <v/>
      </c>
      <c r="GL63" s="122" t="str">
        <f aca="false">IF($I63&gt;0%,IF(AND(GL$16&gt;=$F63,GL$16&lt;$F63+($G63*$I63)),"➤",""),"")</f>
        <v/>
      </c>
      <c r="GM63" s="122" t="str">
        <f aca="false">IF($I63&gt;0%,IF(AND(GM$16&gt;=$F63,GM$16&lt;$F63+($G63*$I63)),"➤",""),"")</f>
        <v/>
      </c>
      <c r="GN63" s="122" t="str">
        <f aca="false">IF($I63&gt;0%,IF(AND(GN$16&gt;=$F63,GN$16&lt;$F63+($G63*$I63)),"➤",""),"")</f>
        <v/>
      </c>
      <c r="GO63" s="122" t="str">
        <f aca="false">IF($I63&gt;0%,IF(AND(GO$16&gt;=$F63,GO$16&lt;$F63+($G63*$I63)),"➤",""),"")</f>
        <v/>
      </c>
      <c r="GP63" s="122" t="str">
        <f aca="false">IF($I63&gt;0%,IF(AND(GP$16&gt;=$F63,GP$16&lt;$F63+($G63*$I63)),"➤",""),"")</f>
        <v/>
      </c>
      <c r="GQ63" s="122" t="str">
        <f aca="false">IF($I63&gt;0%,IF(AND(GQ$16&gt;=$F63,GQ$16&lt;$F63+($G63*$I63)),"➤",""),"")</f>
        <v/>
      </c>
      <c r="GR63" s="122" t="str">
        <f aca="false">IF($I63&gt;0%,IF(AND(GR$16&gt;=$F63,GR$16&lt;$F63+($G63*$I63)),"➤",""),"")</f>
        <v/>
      </c>
      <c r="GS63" s="122" t="str">
        <f aca="false">IF($I63&gt;0%,IF(AND(GS$16&gt;=$F63,GS$16&lt;$F63+($G63*$I63)),"➤",""),"")</f>
        <v/>
      </c>
      <c r="GT63" s="122" t="str">
        <f aca="false">IF($I63&gt;0%,IF(AND(GT$16&gt;=$F63,GT$16&lt;$F63+($G63*$I63)),"➤",""),"")</f>
        <v/>
      </c>
      <c r="GU63" s="122" t="str">
        <f aca="false">IF($I63&gt;0%,IF(AND(GU$16&gt;=$F63,GU$16&lt;$F63+($G63*$I63)),"➤",""),"")</f>
        <v/>
      </c>
      <c r="GV63" s="122" t="str">
        <f aca="false">IF($I63&gt;0%,IF(AND(GV$16&gt;=$F63,GV$16&lt;$F63+($G63*$I63)),"➤",""),"")</f>
        <v/>
      </c>
      <c r="GW63" s="122" t="str">
        <f aca="false">IF($I63&gt;0%,IF(AND(GW$16&gt;=$F63,GW$16&lt;$F63+($G63*$I63)),"➤",""),"")</f>
        <v/>
      </c>
      <c r="GX63" s="122" t="str">
        <f aca="false">IF($I63&gt;0%,IF(AND(GX$16&gt;=$F63,GX$16&lt;$F63+($G63*$I63)),"➤",""),"")</f>
        <v/>
      </c>
      <c r="GY63" s="122" t="str">
        <f aca="false">IF($I63&gt;0%,IF(AND(GY$16&gt;=$F63,GY$16&lt;$F63+($G63*$I63)),"➤",""),"")</f>
        <v/>
      </c>
      <c r="GZ63" s="122" t="str">
        <f aca="false">IF($I63&gt;0%,IF(AND(GZ$16&gt;=$F63,GZ$16&lt;$F63+($G63*$I63)),"➤",""),"")</f>
        <v/>
      </c>
      <c r="HA63" s="122" t="str">
        <f aca="false">IF($I63&gt;0%,IF(AND(HA$16&gt;=$F63,HA$16&lt;$F63+($G63*$I63)),"➤",""),"")</f>
        <v/>
      </c>
      <c r="HB63" s="122" t="str">
        <f aca="false">IF($I63&gt;0%,IF(AND(HB$16&gt;=$F63,HB$16&lt;$F63+($G63*$I63)),"➤",""),"")</f>
        <v/>
      </c>
      <c r="HC63" s="122" t="str">
        <f aca="false">IF($I63&gt;0%,IF(AND(HC$16&gt;=$F63,HC$16&lt;$F63+($G63*$I63)),"➤",""),"")</f>
        <v/>
      </c>
      <c r="HD63" s="122" t="str">
        <f aca="false">IF($I63&gt;0%,IF(AND(HD$16&gt;=$F63,HD$16&lt;$F63+($G63*$I63)),"➤",""),"")</f>
        <v/>
      </c>
      <c r="HE63" s="122" t="str">
        <f aca="false">IF($I63&gt;0%,IF(AND(HE$16&gt;=$F63,HE$16&lt;$F63+($G63*$I63)),"➤",""),"")</f>
        <v/>
      </c>
      <c r="HF63" s="122" t="str">
        <f aca="false">IF($I63&gt;0%,IF(AND(HF$16&gt;=$F63,HF$16&lt;$F63+($G63*$I63)),"➤",""),"")</f>
        <v/>
      </c>
      <c r="HG63" s="122" t="str">
        <f aca="false">IF($I63&gt;0%,IF(AND(HG$16&gt;=$F63,HG$16&lt;$F63+($G63*$I63)),"➤",""),"")</f>
        <v/>
      </c>
      <c r="HH63" s="122" t="str">
        <f aca="false">IF($I63&gt;0%,IF(AND(HH$16&gt;=$F63,HH$16&lt;$F63+($G63*$I63)),"➤",""),"")</f>
        <v/>
      </c>
      <c r="HI63" s="122" t="str">
        <f aca="false">IF($I63&gt;0%,IF(AND(HI$16&gt;=$F63,HI$16&lt;$F63+($G63*$I63)),"➤",""),"")</f>
        <v/>
      </c>
      <c r="HJ63" s="122" t="str">
        <f aca="false">IF($I63&gt;0%,IF(AND(HJ$16&gt;=$F63,HJ$16&lt;$F63+($G63*$I63)),"➤",""),"")</f>
        <v/>
      </c>
      <c r="HK63" s="122" t="str">
        <f aca="false">IF($I63&gt;0%,IF(AND(HK$16&gt;=$F63,HK$16&lt;$F63+($G63*$I63)),"➤",""),"")</f>
        <v/>
      </c>
      <c r="HL63" s="122" t="str">
        <f aca="false">IF($I63&gt;0%,IF(AND(HL$16&gt;=$F63,HL$16&lt;$F63+($G63*$I63)),"➤",""),"")</f>
        <v/>
      </c>
      <c r="HM63" s="122" t="str">
        <f aca="false">IF($I63&gt;0%,IF(AND(HM$16&gt;=$F63,HM$16&lt;$F63+($G63*$I63)),"➤",""),"")</f>
        <v/>
      </c>
      <c r="HN63" s="122" t="str">
        <f aca="false">IF($I63&gt;0%,IF(AND(HN$16&gt;=$F63,HN$16&lt;$F63+($G63*$I63)),"➤",""),"")</f>
        <v/>
      </c>
      <c r="HO63" s="122" t="str">
        <f aca="false">IF($I63&gt;0%,IF(AND(HO$16&gt;=$F63,HO$16&lt;$F63+($G63*$I63)),"➤",""),"")</f>
        <v/>
      </c>
      <c r="HP63" s="122" t="str">
        <f aca="false">IF($I63&gt;0%,IF(AND(HP$16&gt;=$F63,HP$16&lt;$F63+($G63*$I63)),"➤",""),"")</f>
        <v/>
      </c>
      <c r="HQ63" s="122" t="str">
        <f aca="false">IF($I63&gt;0%,IF(AND(HQ$16&gt;=$F63,HQ$16&lt;$F63+($G63*$I63)),"➤",""),"")</f>
        <v/>
      </c>
      <c r="HR63" s="122" t="str">
        <f aca="false">IF($I63&gt;0%,IF(AND(HR$16&gt;=$F63,HR$16&lt;$F63+($G63*$I63)),"➤",""),"")</f>
        <v/>
      </c>
      <c r="HS63" s="122" t="str">
        <f aca="false">IF($I63&gt;0%,IF(AND(HS$16&gt;=$F63,HS$16&lt;$F63+($G63*$I63)),"➤",""),"")</f>
        <v/>
      </c>
      <c r="HT63" s="122" t="str">
        <f aca="false">IF($I63&gt;0%,IF(AND(HT$16&gt;=$F63,HT$16&lt;$F63+($G63*$I63)),"➤",""),"")</f>
        <v/>
      </c>
      <c r="HU63" s="122" t="str">
        <f aca="false">IF($I63&gt;0%,IF(AND(HU$16&gt;=$F63,HU$16&lt;$F63+($G63*$I63)),"➤",""),"")</f>
        <v/>
      </c>
      <c r="HV63" s="122" t="str">
        <f aca="false">IF($I63&gt;0%,IF(AND(HV$16&gt;=$F63,HV$16&lt;$F63+($G63*$I63)),"➤",""),"")</f>
        <v/>
      </c>
      <c r="HW63" s="122" t="str">
        <f aca="false">IF($I63&gt;0%,IF(AND(HW$16&gt;=$F63,HW$16&lt;$F63+($G63*$I63)),"➤",""),"")</f>
        <v/>
      </c>
      <c r="HX63" s="122" t="str">
        <f aca="false">IF($I63&gt;0%,IF(AND(HX$16&gt;=$F63,HX$16&lt;$F63+($G63*$I63)),"➤",""),"")</f>
        <v/>
      </c>
      <c r="HY63" s="122" t="str">
        <f aca="false">IF($I63&gt;0%,IF(AND(HY$16&gt;=$F63,HY$16&lt;$F63+($G63*$I63)),"➤",""),"")</f>
        <v/>
      </c>
      <c r="HZ63" s="122" t="str">
        <f aca="false">IF($I63&gt;0%,IF(AND(HZ$16&gt;=$F63,HZ$16&lt;$F63+($G63*$I63)),"➤",""),"")</f>
        <v/>
      </c>
      <c r="IA63" s="122" t="str">
        <f aca="false">IF($I63&gt;0%,IF(AND(IA$16&gt;=$F63,IA$16&lt;$F63+($G63*$I63)),"➤",""),"")</f>
        <v/>
      </c>
      <c r="IB63" s="122" t="str">
        <f aca="false">IF($I63&gt;0%,IF(AND(IB$16&gt;=$F63,IB$16&lt;$F63+($G63*$I63)),"➤",""),"")</f>
        <v/>
      </c>
      <c r="IC63" s="122" t="str">
        <f aca="false">IF($I63&gt;0%,IF(AND(IC$16&gt;=$F63,IC$16&lt;$F63+($G63*$I63)),"➤",""),"")</f>
        <v/>
      </c>
      <c r="ID63" s="122" t="str">
        <f aca="false">IF($I63&gt;0%,IF(AND(ID$16&gt;=$F63,ID$16&lt;$F63+($G63*$I63)),"➤",""),"")</f>
        <v/>
      </c>
      <c r="IE63" s="122" t="str">
        <f aca="false">IF($I63&gt;0%,IF(AND(IE$16&gt;=$F63,IE$16&lt;$F63+($G63*$I63)),"➤",""),"")</f>
        <v/>
      </c>
      <c r="IF63" s="122" t="str">
        <f aca="false">IF($I63&gt;0%,IF(AND(IF$16&gt;=$F63,IF$16&lt;$F63+($G63*$I63)),"➤",""),"")</f>
        <v/>
      </c>
      <c r="IG63" s="122" t="str">
        <f aca="false">IF($I63&gt;0%,IF(AND(IG$16&gt;=$F63,IG$16&lt;$F63+($G63*$I63)),"➤",""),"")</f>
        <v/>
      </c>
      <c r="IH63" s="122" t="str">
        <f aca="false">IF($I63&gt;0%,IF(AND(IH$16&gt;=$F63,IH$16&lt;$F63+($G63*$I63)),"➤",""),"")</f>
        <v/>
      </c>
      <c r="II63" s="122" t="str">
        <f aca="false">IF($I63&gt;0%,IF(AND(II$16&gt;=$F63,II$16&lt;$F63+($G63*$I63)),"➤",""),"")</f>
        <v/>
      </c>
      <c r="IJ63" s="122" t="str">
        <f aca="false">IF($I63&gt;0%,IF(AND(IJ$16&gt;=$F63,IJ$16&lt;$F63+($G63*$I63)),"➤",""),"")</f>
        <v/>
      </c>
      <c r="IK63" s="122" t="str">
        <f aca="false">IF($I63&gt;0%,IF(AND(IK$16&gt;=$F63,IK$16&lt;$F63+($G63*$I63)),"➤",""),"")</f>
        <v/>
      </c>
      <c r="IL63" s="122" t="str">
        <f aca="false">IF($I63&gt;0%,IF(AND(IL$16&gt;=$F63,IL$16&lt;$F63+($G63*$I63)),"➤",""),"")</f>
        <v/>
      </c>
      <c r="IM63" s="122" t="str">
        <f aca="false">IF($I63&gt;0%,IF(AND(IM$16&gt;=$F63,IM$16&lt;$F63+($G63*$I63)),"➤",""),"")</f>
        <v/>
      </c>
      <c r="IN63" s="122" t="str">
        <f aca="false">IF($I63&gt;0%,IF(AND(IN$16&gt;=$F63,IN$16&lt;$F63+($G63*$I63)),"➤",""),"")</f>
        <v/>
      </c>
      <c r="IO63" s="122" t="str">
        <f aca="false">IF($I63&gt;0%,IF(AND(IO$16&gt;=$F63,IO$16&lt;$F63+($G63*$I63)),"➤",""),"")</f>
        <v/>
      </c>
      <c r="IP63" s="122" t="str">
        <f aca="false">IF($I63&gt;0%,IF(AND(IP$16&gt;=$F63,IP$16&lt;$F63+($G63*$I63)),"➤",""),"")</f>
        <v/>
      </c>
      <c r="IQ63" s="122" t="str">
        <f aca="false">IF($I63&gt;0%,IF(AND(IQ$16&gt;=$F63,IQ$16&lt;$F63+($G63*$I63)),"➤",""),"")</f>
        <v/>
      </c>
      <c r="IR63" s="122" t="str">
        <f aca="false">IF($I63&gt;0%,IF(AND(IR$16&gt;=$F63,IR$16&lt;$F63+($G63*$I63)),"➤",""),"")</f>
        <v/>
      </c>
      <c r="IS63" s="122" t="str">
        <f aca="false">IF($I63&gt;0%,IF(AND(IS$16&gt;=$F63,IS$16&lt;$F63+($G63*$I63)),"➤",""),"")</f>
        <v/>
      </c>
      <c r="IT63" s="122" t="str">
        <f aca="false">IF($I63&gt;0%,IF(AND(IT$16&gt;=$F63,IT$16&lt;$F63+($G63*$I63)),"➤",""),"")</f>
        <v/>
      </c>
      <c r="IU63" s="122" t="str">
        <f aca="false">IF($I63&gt;0%,IF(AND(IU$16&gt;=$F63,IU$16&lt;$F63+($G63*$I63)),"➤",""),"")</f>
        <v/>
      </c>
      <c r="IV63" s="122" t="str">
        <f aca="false">IF($I63&gt;0%,IF(AND(IV$16&gt;=$F63,IV$16&lt;$F63+($G63*$I63)),"➤",""),"")</f>
        <v/>
      </c>
      <c r="IW63" s="122" t="str">
        <f aca="false">IF($I63&gt;0%,IF(AND(IW$16&gt;=$F63,IW$16&lt;$F63+($G63*$I63)),"➤",""),"")</f>
        <v/>
      </c>
      <c r="IX63" s="122" t="str">
        <f aca="false">IF($I63&gt;0%,IF(AND(IX$16&gt;=$F63,IX$16&lt;$F63+($G63*$I63)),"➤",""),"")</f>
        <v/>
      </c>
      <c r="IY63" s="122" t="str">
        <f aca="false">IF($I63&gt;0%,IF(AND(IY$16&gt;=$F63,IY$16&lt;$F63+($G63*$I63)),"➤",""),"")</f>
        <v/>
      </c>
      <c r="IZ63" s="122" t="str">
        <f aca="false">IF($I63&gt;0%,IF(AND(IZ$16&gt;=$F63,IZ$16&lt;$F63+($G63*$I63)),"➤",""),"")</f>
        <v/>
      </c>
      <c r="JA63" s="122" t="str">
        <f aca="false">IF($I63&gt;0%,IF(AND(JA$16&gt;=$F63,JA$16&lt;$F63+($G63*$I63)),"➤",""),"")</f>
        <v/>
      </c>
      <c r="JB63" s="122" t="str">
        <f aca="false">IF($I63&gt;0%,IF(AND(JB$16&gt;=$F63,JB$16&lt;$F63+($G63*$I63)),"➤",""),"")</f>
        <v/>
      </c>
      <c r="JC63" s="122" t="str">
        <f aca="false">IF($I63&gt;0%,IF(AND(JC$16&gt;=$F63,JC$16&lt;$F63+($G63*$I63)),"➤",""),"")</f>
        <v/>
      </c>
      <c r="JD63" s="122" t="str">
        <f aca="false">IF($I63&gt;0%,IF(AND(JD$16&gt;=$F63,JD$16&lt;$F63+($G63*$I63)),"➤",""),"")</f>
        <v/>
      </c>
      <c r="JE63" s="122" t="str">
        <f aca="false">IF($I63&gt;0%,IF(AND(JE$16&gt;=$F63,JE$16&lt;$F63+($G63*$I63)),"➤",""),"")</f>
        <v/>
      </c>
      <c r="JF63" s="122" t="str">
        <f aca="false">IF($I63&gt;0%,IF(AND(JF$16&gt;=$F63,JF$16&lt;$F63+($G63*$I63)),"➤",""),"")</f>
        <v/>
      </c>
      <c r="JG63" s="122" t="str">
        <f aca="false">IF($I63&gt;0%,IF(AND(JG$16&gt;=$F63,JG$16&lt;$F63+($G63*$I63)),"➤",""),"")</f>
        <v/>
      </c>
      <c r="JH63" s="122" t="str">
        <f aca="false">IF($I63&gt;0%,IF(AND(JH$16&gt;=$F63,JH$16&lt;$F63+($G63*$I63)),"➤",""),"")</f>
        <v/>
      </c>
      <c r="JI63" s="122" t="str">
        <f aca="false">IF($I63&gt;0%,IF(AND(JI$16&gt;=$F63,JI$16&lt;$F63+($G63*$I63)),"➤",""),"")</f>
        <v/>
      </c>
      <c r="JJ63" s="122" t="str">
        <f aca="false">IF($I63&gt;0%,IF(AND(JJ$16&gt;=$F63,JJ$16&lt;$F63+($G63*$I63)),"➤",""),"")</f>
        <v/>
      </c>
      <c r="JK63" s="122" t="str">
        <f aca="false">IF($I63&gt;0%,IF(AND(JK$16&gt;=$F63,JK$16&lt;$F63+($G63*$I63)),"➤",""),"")</f>
        <v/>
      </c>
      <c r="JL63" s="122" t="str">
        <f aca="false">IF($I63&gt;0%,IF(AND(JL$16&gt;=$F63,JL$16&lt;$F63+($G63*$I63)),"➤",""),"")</f>
        <v/>
      </c>
      <c r="JM63" s="122" t="str">
        <f aca="false">IF($I63&gt;0%,IF(AND(JM$16&gt;=$F63,JM$16&lt;$F63+($G63*$I63)),"➤",""),"")</f>
        <v/>
      </c>
      <c r="JN63" s="122" t="str">
        <f aca="false">IF($I63&gt;0%,IF(AND(JN$16&gt;=$F63,JN$16&lt;$F63+($G63*$I63)),"➤",""),"")</f>
        <v/>
      </c>
      <c r="JO63" s="122" t="str">
        <f aca="false">IF($I63&gt;0%,IF(AND(JO$16&gt;=$F63,JO$16&lt;$F63+($G63*$I63)),"➤",""),"")</f>
        <v/>
      </c>
      <c r="JP63" s="122" t="str">
        <f aca="false">IF($I63&gt;0%,IF(AND(JP$16&gt;=$F63,JP$16&lt;$F63+($G63*$I63)),"➤",""),"")</f>
        <v/>
      </c>
      <c r="JQ63" s="122" t="str">
        <f aca="false">IF($I63&gt;0%,IF(AND(JQ$16&gt;=$F63,JQ$16&lt;$F63+($G63*$I63)),"➤",""),"")</f>
        <v/>
      </c>
      <c r="JR63" s="122" t="str">
        <f aca="false">IF($I63&gt;0%,IF(AND(JR$16&gt;=$F63,JR$16&lt;$F63+($G63*$I63)),"➤",""),"")</f>
        <v/>
      </c>
      <c r="JS63" s="122" t="str">
        <f aca="false">IF($I63&gt;0%,IF(AND(JS$16&gt;=$F63,JS$16&lt;$F63+($G63*$I63)),"➤",""),"")</f>
        <v/>
      </c>
      <c r="JT63" s="122" t="str">
        <f aca="false">IF($I63&gt;0%,IF(AND(JT$16&gt;=$F63,JT$16&lt;$F63+($G63*$I63)),"➤",""),"")</f>
        <v/>
      </c>
      <c r="JU63" s="122" t="str">
        <f aca="false">IF($I63&gt;0%,IF(AND(JU$16&gt;=$F63,JU$16&lt;$F63+($G63*$I63)),"➤",""),"")</f>
        <v/>
      </c>
      <c r="JV63" s="122" t="str">
        <f aca="false">IF($I63&gt;0%,IF(AND(JV$16&gt;=$F63,JV$16&lt;$F63+($G63*$I63)),"➤",""),"")</f>
        <v/>
      </c>
      <c r="JW63" s="122" t="str">
        <f aca="false">IF($I63&gt;0%,IF(AND(JW$16&gt;=$F63,JW$16&lt;$F63+($G63*$I63)),"➤",""),"")</f>
        <v/>
      </c>
      <c r="JX63" s="122" t="str">
        <f aca="false">IF($I63&gt;0%,IF(AND(JX$16&gt;=$F63,JX$16&lt;$F63+($G63*$I63)),"➤",""),"")</f>
        <v/>
      </c>
      <c r="JY63" s="122" t="str">
        <f aca="false">IF($I63&gt;0%,IF(AND(JY$16&gt;=$F63,JY$16&lt;$F63+($G63*$I63)),"➤",""),"")</f>
        <v/>
      </c>
      <c r="JZ63" s="122" t="str">
        <f aca="false">IF($I63&gt;0%,IF(AND(JZ$16&gt;=$F63,JZ$16&lt;$F63+($G63*$I63)),"➤",""),"")</f>
        <v/>
      </c>
      <c r="KA63" s="122" t="str">
        <f aca="false">IF($I63&gt;0%,IF(AND(KA$16&gt;=$F63,KA$16&lt;$F63+($G63*$I63)),"➤",""),"")</f>
        <v/>
      </c>
      <c r="KB63" s="122" t="str">
        <f aca="false">IF($I63&gt;0%,IF(AND(KB$16&gt;=$F63,KB$16&lt;$F63+($G63*$I63)),"➤",""),"")</f>
        <v/>
      </c>
      <c r="KC63" s="122" t="str">
        <f aca="false">IF($I63&gt;0%,IF(AND(KC$16&gt;=$F63,KC$16&lt;$F63+($G63*$I63)),"➤",""),"")</f>
        <v/>
      </c>
      <c r="KD63" s="122" t="str">
        <f aca="false">IF($I63&gt;0%,IF(AND(KD$16&gt;=$F63,KD$16&lt;$F63+($G63*$I63)),"➤",""),"")</f>
        <v/>
      </c>
      <c r="KE63" s="122" t="str">
        <f aca="false">IF($I63&gt;0%,IF(AND(KE$16&gt;=$F63,KE$16&lt;$F63+($G63*$I63)),"➤",""),"")</f>
        <v/>
      </c>
      <c r="KF63" s="122" t="str">
        <f aca="false">IF($I63&gt;0%,IF(AND(KF$16&gt;=$F63,KF$16&lt;$F63+($G63*$I63)),"➤",""),"")</f>
        <v/>
      </c>
      <c r="KG63" s="122" t="str">
        <f aca="false">IF($I63&gt;0%,IF(AND(KG$16&gt;=$F63,KG$16&lt;$F63+($G63*$I63)),"➤",""),"")</f>
        <v/>
      </c>
      <c r="KH63" s="122" t="str">
        <f aca="false">IF($I63&gt;0%,IF(AND(KH$16&gt;=$F63,KH$16&lt;$F63+($G63*$I63)),"➤",""),"")</f>
        <v/>
      </c>
      <c r="KI63" s="122" t="str">
        <f aca="false">IF($I63&gt;0%,IF(AND(KI$16&gt;=$F63,KI$16&lt;$F63+($G63*$I63)),"➤",""),"")</f>
        <v/>
      </c>
      <c r="KJ63" s="122" t="str">
        <f aca="false">IF($I63&gt;0%,IF(AND(KJ$16&gt;=$F63,KJ$16&lt;$F63+($G63*$I63)),"➤",""),"")</f>
        <v/>
      </c>
      <c r="KK63" s="122" t="str">
        <f aca="false">IF($I63&gt;0%,IF(AND(KK$16&gt;=$F63,KK$16&lt;$F63+($G63*$I63)),"➤",""),"")</f>
        <v/>
      </c>
      <c r="KL63" s="122" t="str">
        <f aca="false">IF($I63&gt;0%,IF(AND(KL$16&gt;=$F63,KL$16&lt;$F63+($G63*$I63)),"➤",""),"")</f>
        <v/>
      </c>
      <c r="KM63" s="122" t="str">
        <f aca="false">IF($I63&gt;0%,IF(AND(KM$16&gt;=$F63,KM$16&lt;$F63+($G63*$I63)),"➤",""),"")</f>
        <v/>
      </c>
      <c r="KN63" s="122" t="str">
        <f aca="false">IF($I63&gt;0%,IF(AND(KN$16&gt;=$F63,KN$16&lt;$F63+($G63*$I63)),"➤",""),"")</f>
        <v/>
      </c>
      <c r="KO63" s="122" t="str">
        <f aca="false">IF($I63&gt;0%,IF(AND(KO$16&gt;=$F63,KO$16&lt;$F63+($G63*$I63)),"➤",""),"")</f>
        <v/>
      </c>
      <c r="KP63" s="122" t="str">
        <f aca="false">IF($I63&gt;0%,IF(AND(KP$16&gt;=$F63,KP$16&lt;$F63+($G63*$I63)),"➤",""),"")</f>
        <v/>
      </c>
      <c r="KQ63" s="122" t="str">
        <f aca="false">IF($I63&gt;0%,IF(AND(KQ$16&gt;=$F63,KQ$16&lt;$F63+($G63*$I63)),"➤",""),"")</f>
        <v/>
      </c>
      <c r="KR63" s="122" t="str">
        <f aca="false">IF($I63&gt;0%,IF(AND(KR$16&gt;=$F63,KR$16&lt;$F63+($G63*$I63)),"➤",""),"")</f>
        <v/>
      </c>
      <c r="KS63" s="122" t="str">
        <f aca="false">IF($I63&gt;0%,IF(AND(KS$16&gt;=$F63,KS$16&lt;$F63+($G63*$I63)),"➤",""),"")</f>
        <v/>
      </c>
      <c r="KT63" s="122" t="str">
        <f aca="false">IF($I63&gt;0%,IF(AND(KT$16&gt;=$F63,KT$16&lt;$F63+($G63*$I63)),"➤",""),"")</f>
        <v/>
      </c>
      <c r="KU63" s="122" t="str">
        <f aca="false">IF($I63&gt;0%,IF(AND(KU$16&gt;=$F63,KU$16&lt;$F63+($G63*$I63)),"➤",""),"")</f>
        <v/>
      </c>
      <c r="KV63" s="122" t="str">
        <f aca="false">IF($I63&gt;0%,IF(AND(KV$16&gt;=$F63,KV$16&lt;$F63+($G63*$I63)),"➤",""),"")</f>
        <v/>
      </c>
      <c r="KW63" s="122" t="str">
        <f aca="false">IF($I63&gt;0%,IF(AND(KW$16&gt;=$F63,KW$16&lt;$F63+($G63*$I63)),"➤",""),"")</f>
        <v/>
      </c>
      <c r="KX63" s="122" t="str">
        <f aca="false">IF($I63&gt;0%,IF(AND(KX$16&gt;=$F63,KX$16&lt;$F63+($G63*$I63)),"➤",""),"")</f>
        <v/>
      </c>
      <c r="KY63" s="122" t="str">
        <f aca="false">IF($I63&gt;0%,IF(AND(KY$16&gt;=$F63,KY$16&lt;$F63+($G63*$I63)),"➤",""),"")</f>
        <v/>
      </c>
      <c r="KZ63" s="122" t="str">
        <f aca="false">IF($I63&gt;0%,IF(AND(KZ$16&gt;=$F63,KZ$16&lt;$F63+($G63*$I63)),"➤",""),"")</f>
        <v/>
      </c>
      <c r="LA63" s="122" t="str">
        <f aca="false">IF($I63&gt;0%,IF(AND(LA$16&gt;=$F63,LA$16&lt;$F63+($G63*$I63)),"➤",""),"")</f>
        <v/>
      </c>
      <c r="LB63" s="122" t="str">
        <f aca="false">IF($I63&gt;0%,IF(AND(LB$16&gt;=$F63,LB$16&lt;$F63+($G63*$I63)),"➤",""),"")</f>
        <v/>
      </c>
      <c r="LC63" s="122" t="str">
        <f aca="false">IF($I63&gt;0%,IF(AND(LC$16&gt;=$F63,LC$16&lt;$F63+($G63*$I63)),"➤",""),"")</f>
        <v/>
      </c>
      <c r="LD63" s="122" t="str">
        <f aca="false">IF($I63&gt;0%,IF(AND(LD$16&gt;=$F63,LD$16&lt;$F63+($G63*$I63)),"➤",""),"")</f>
        <v/>
      </c>
      <c r="LE63" s="122" t="str">
        <f aca="false">IF($I63&gt;0%,IF(AND(LE$16&gt;=$F63,LE$16&lt;$F63+($G63*$I63)),"➤",""),"")</f>
        <v/>
      </c>
      <c r="LF63" s="122" t="str">
        <f aca="false">IF($I63&gt;0%,IF(AND(LF$16&gt;=$F63,LF$16&lt;$F63+($G63*$I63)),"➤",""),"")</f>
        <v/>
      </c>
      <c r="LG63" s="122" t="str">
        <f aca="false">IF($I63&gt;0%,IF(AND(LG$16&gt;=$F63,LG$16&lt;$F63+($G63*$I63)),"➤",""),"")</f>
        <v/>
      </c>
      <c r="LH63" s="122" t="str">
        <f aca="false">IF($I63&gt;0%,IF(AND(LH$16&gt;=$F63,LH$16&lt;$F63+($G63*$I63)),"➤",""),"")</f>
        <v/>
      </c>
      <c r="LI63" s="122" t="str">
        <f aca="false">IF($I63&gt;0%,IF(AND(LI$16&gt;=$F63,LI$16&lt;$F63+($G63*$I63)),"➤",""),"")</f>
        <v/>
      </c>
      <c r="LJ63" s="122" t="str">
        <f aca="false">IF($I63&gt;0%,IF(AND(LJ$16&gt;=$F63,LJ$16&lt;$F63+($G63*$I63)),"➤",""),"")</f>
        <v/>
      </c>
      <c r="LK63" s="122" t="str">
        <f aca="false">IF($I63&gt;0%,IF(AND(LK$16&gt;=$F63,LK$16&lt;$F63+($G63*$I63)),"➤",""),"")</f>
        <v/>
      </c>
      <c r="LL63" s="122" t="str">
        <f aca="false">IF($I63&gt;0%,IF(AND(LL$16&gt;=$F63,LL$16&lt;$F63+($G63*$I63)),"➤",""),"")</f>
        <v/>
      </c>
      <c r="LM63" s="122" t="str">
        <f aca="false">IF($I63&gt;0%,IF(AND(LM$16&gt;=$F63,LM$16&lt;$F63+($G63*$I63)),"➤",""),"")</f>
        <v/>
      </c>
      <c r="LN63" s="122" t="str">
        <f aca="false">IF($I63&gt;0%,IF(AND(LN$16&gt;=$F63,LN$16&lt;$F63+($G63*$I63)),"➤",""),"")</f>
        <v/>
      </c>
      <c r="LO63" s="122" t="str">
        <f aca="false">IF($I63&gt;0%,IF(AND(LO$16&gt;=$F63,LO$16&lt;$F63+($G63*$I63)),"➤",""),"")</f>
        <v/>
      </c>
      <c r="LP63" s="122" t="str">
        <f aca="false">IF($I63&gt;0%,IF(AND(LP$16&gt;=$F63,LP$16&lt;$F63+($G63*$I63)),"➤",""),"")</f>
        <v/>
      </c>
      <c r="LQ63" s="122" t="str">
        <f aca="false">IF($I63&gt;0%,IF(AND(LQ$16&gt;=$F63,LQ$16&lt;$F63+($G63*$I63)),"➤",""),"")</f>
        <v/>
      </c>
      <c r="LR63" s="122" t="str">
        <f aca="false">IF($I63&gt;0%,IF(AND(LR$16&gt;=$F63,LR$16&lt;$F63+($G63*$I63)),"➤",""),"")</f>
        <v/>
      </c>
      <c r="LS63" s="122" t="str">
        <f aca="false">IF($I63&gt;0%,IF(AND(LS$16&gt;=$F63,LS$16&lt;$F63+($G63*$I63)),"➤",""),"")</f>
        <v/>
      </c>
      <c r="LT63" s="122" t="str">
        <f aca="false">IF($I63&gt;0%,IF(AND(LT$16&gt;=$F63,LT$16&lt;$F63+($G63*$I63)),"➤",""),"")</f>
        <v/>
      </c>
      <c r="LU63" s="122" t="str">
        <f aca="false">IF($I63&gt;0%,IF(AND(LU$16&gt;=$F63,LU$16&lt;$F63+($G63*$I63)),"➤",""),"")</f>
        <v/>
      </c>
      <c r="LV63" s="122" t="str">
        <f aca="false">IF($I63&gt;0%,IF(AND(LV$16&gt;=$F63,LV$16&lt;$F63+($G63*$I63)),"➤",""),"")</f>
        <v/>
      </c>
      <c r="LW63" s="122" t="str">
        <f aca="false">IF($I63&gt;0%,IF(AND(LW$16&gt;=$F63,LW$16&lt;$F63+($G63*$I63)),"➤",""),"")</f>
        <v/>
      </c>
      <c r="LX63" s="122" t="str">
        <f aca="false">IF($I63&gt;0%,IF(AND(LX$16&gt;=$F63,LX$16&lt;$F63+($G63*$I63)),"➤",""),"")</f>
        <v/>
      </c>
      <c r="LY63" s="122" t="str">
        <f aca="false">IF($I63&gt;0%,IF(AND(LY$16&gt;=$F63,LY$16&lt;$F63+($G63*$I63)),"➤",""),"")</f>
        <v/>
      </c>
      <c r="LZ63" s="122" t="str">
        <f aca="false">IF($I63&gt;0%,IF(AND(LZ$16&gt;=$F63,LZ$16&lt;$F63+($G63*$I63)),"➤",""),"")</f>
        <v/>
      </c>
      <c r="MA63" s="122" t="str">
        <f aca="false">IF($I63&gt;0%,IF(AND(MA$16&gt;=$F63,MA$16&lt;$F63+($G63*$I63)),"➤",""),"")</f>
        <v/>
      </c>
      <c r="MB63" s="122" t="str">
        <f aca="false">IF($I63&gt;0%,IF(AND(MB$16&gt;=$F63,MB$16&lt;$F63+($G63*$I63)),"➤",""),"")</f>
        <v/>
      </c>
      <c r="MC63" s="122" t="str">
        <f aca="false">IF($I63&gt;0%,IF(AND(MC$16&gt;=$F63,MC$16&lt;$F63+($G63*$I63)),"➤",""),"")</f>
        <v/>
      </c>
      <c r="MD63" s="122" t="str">
        <f aca="false">IF($I63&gt;0%,IF(AND(MD$16&gt;=$F63,MD$16&lt;$F63+($G63*$I63)),"➤",""),"")</f>
        <v/>
      </c>
      <c r="ME63" s="122" t="str">
        <f aca="false">IF($I63&gt;0%,IF(AND(ME$16&gt;=$F63,ME$16&lt;$F63+($G63*$I63)),"➤",""),"")</f>
        <v/>
      </c>
      <c r="MF63" s="122" t="str">
        <f aca="false">IF($I63&gt;0%,IF(AND(MF$16&gt;=$F63,MF$16&lt;$F63+($G63*$I63)),"➤",""),"")</f>
        <v/>
      </c>
      <c r="MG63" s="122" t="str">
        <f aca="false">IF($I63&gt;0%,IF(AND(MG$16&gt;=$F63,MG$16&lt;$F63+($G63*$I63)),"➤",""),"")</f>
        <v/>
      </c>
      <c r="MH63" s="122" t="str">
        <f aca="false">IF($I63&gt;0%,IF(AND(MH$16&gt;=$F63,MH$16&lt;$F63+($G63*$I63)),"➤",""),"")</f>
        <v/>
      </c>
      <c r="MI63" s="122" t="str">
        <f aca="false">IF($I63&gt;0%,IF(AND(MI$16&gt;=$F63,MI$16&lt;$F63+($G63*$I63)),"➤",""),"")</f>
        <v/>
      </c>
      <c r="MJ63" s="122" t="str">
        <f aca="false">IF($I63&gt;0%,IF(AND(MJ$16&gt;=$F63,MJ$16&lt;$F63+($G63*$I63)),"➤",""),"")</f>
        <v/>
      </c>
      <c r="MK63" s="122" t="str">
        <f aca="false">IF($I63&gt;0%,IF(AND(MK$16&gt;=$F63,MK$16&lt;$F63+($G63*$I63)),"➤",""),"")</f>
        <v/>
      </c>
      <c r="ML63" s="122" t="str">
        <f aca="false">IF($I63&gt;0%,IF(AND(ML$16&gt;=$F63,ML$16&lt;$F63+($G63*$I63)),"➤",""),"")</f>
        <v/>
      </c>
      <c r="MM63" s="122" t="str">
        <f aca="false">IF($I63&gt;0%,IF(AND(MM$16&gt;=$F63,MM$16&lt;$F63+($G63*$I63)),"➤",""),"")</f>
        <v/>
      </c>
      <c r="MN63" s="122" t="str">
        <f aca="false">IF($I63&gt;0%,IF(AND(MN$16&gt;=$F63,MN$16&lt;$F63+($G63*$I63)),"➤",""),"")</f>
        <v/>
      </c>
      <c r="MO63" s="122" t="str">
        <f aca="false">IF($I63&gt;0%,IF(AND(MO$16&gt;=$F63,MO$16&lt;$F63+($G63*$I63)),"➤",""),"")</f>
        <v/>
      </c>
      <c r="MP63" s="122" t="str">
        <f aca="false">IF($I63&gt;0%,IF(AND(MP$16&gt;=$F63,MP$16&lt;$F63+($G63*$I63)),"➤",""),"")</f>
        <v/>
      </c>
      <c r="MQ63" s="122" t="str">
        <f aca="false">IF($I63&gt;0%,IF(AND(MQ$16&gt;=$F63,MQ$16&lt;$F63+($G63*$I63)),"➤",""),"")</f>
        <v/>
      </c>
      <c r="MR63" s="122" t="str">
        <f aca="false">IF($I63&gt;0%,IF(AND(MR$16&gt;=$F63,MR$16&lt;$F63+($G63*$I63)),"➤",""),"")</f>
        <v/>
      </c>
      <c r="MS63" s="122" t="str">
        <f aca="false">IF($I63&gt;0%,IF(AND(MS$16&gt;=$F63,MS$16&lt;$F63+($G63*$I63)),"➤",""),"")</f>
        <v/>
      </c>
      <c r="MT63" s="122" t="str">
        <f aca="false">IF($I63&gt;0%,IF(AND(MT$16&gt;=$F63,MT$16&lt;$F63+($G63*$I63)),"➤",""),"")</f>
        <v/>
      </c>
      <c r="MU63" s="122" t="str">
        <f aca="false">IF($I63&gt;0%,IF(AND(MU$16&gt;=$F63,MU$16&lt;$F63+($G63*$I63)),"➤",""),"")</f>
        <v/>
      </c>
      <c r="MV63" s="122" t="str">
        <f aca="false">IF($I63&gt;0%,IF(AND(MV$16&gt;=$F63,MV$16&lt;$F63+($G63*$I63)),"➤",""),"")</f>
        <v/>
      </c>
      <c r="MW63" s="122" t="str">
        <f aca="false">IF($I63&gt;0%,IF(AND(MW$16&gt;=$F63,MW$16&lt;$F63+($G63*$I63)),"➤",""),"")</f>
        <v/>
      </c>
      <c r="MX63" s="122" t="str">
        <f aca="false">IF($I63&gt;0%,IF(AND(MX$16&gt;=$F63,MX$16&lt;$F63+($G63*$I63)),"➤",""),"")</f>
        <v/>
      </c>
      <c r="MY63" s="122" t="str">
        <f aca="false">IF($I63&gt;0%,IF(AND(MY$16&gt;=$F63,MY$16&lt;$F63+($G63*$I63)),"➤",""),"")</f>
        <v/>
      </c>
      <c r="MZ63" s="122" t="str">
        <f aca="false">IF($I63&gt;0%,IF(AND(MZ$16&gt;=$F63,MZ$16&lt;$F63+($G63*$I63)),"➤",""),"")</f>
        <v/>
      </c>
      <c r="NA63" s="122" t="str">
        <f aca="false">IF($I63&gt;0%,IF(AND(NA$16&gt;=$F63,NA$16&lt;$F63+($G63*$I63)),"➤",""),"")</f>
        <v/>
      </c>
      <c r="NB63" s="122" t="str">
        <f aca="false">IF($I63&gt;0%,IF(AND(NB$16&gt;=$F63,NB$16&lt;$F63+($G63*$I63)),"➤",""),"")</f>
        <v/>
      </c>
      <c r="NC63" s="122" t="str">
        <f aca="false">IF($I63&gt;0%,IF(AND(NC$16&gt;=$F63,NC$16&lt;$F63+($G63*$I63)),"➤",""),"")</f>
        <v/>
      </c>
      <c r="ND63" s="122" t="str">
        <f aca="false">IF($I63&gt;0%,IF(AND(ND$16&gt;=$F63,ND$16&lt;$F63+($G63*$I63)),"➤",""),"")</f>
        <v/>
      </c>
      <c r="NE63" s="122" t="str">
        <f aca="false">IF($I63&gt;0%,IF(AND(NE$16&gt;=$F63,NE$16&lt;$F63+($G63*$I63)),"➤",""),"")</f>
        <v/>
      </c>
      <c r="NF63" s="122" t="str">
        <f aca="false">IF($I63&gt;0%,IF(AND(NF$16&gt;=$F63,NF$16&lt;$F63+($G63*$I63)),"➤",""),"")</f>
        <v/>
      </c>
      <c r="NG63" s="122" t="str">
        <f aca="false">IF($I63&gt;0%,IF(AND(NG$16&gt;=$F63,NG$16&lt;$F63+($G63*$I63)),"➤",""),"")</f>
        <v/>
      </c>
      <c r="NH63" s="122" t="str">
        <f aca="false">IF($I63&gt;0%,IF(AND(NH$16&gt;=$F63,NH$16&lt;$F63+($G63*$I63)),"➤",""),"")</f>
        <v/>
      </c>
      <c r="NI63" s="122" t="str">
        <f aca="false">IF($I63&gt;0%,IF(AND(NI$16&gt;=$F63,NI$16&lt;$F63+($G63*$I63)),"➤",""),"")</f>
        <v/>
      </c>
      <c r="NJ63" s="122" t="str">
        <f aca="false">IF($I63&gt;0%,IF(AND(NJ$16&gt;=$F63,NJ$16&lt;$F63+($G63*$I63)),"➤",""),"")</f>
        <v/>
      </c>
      <c r="NK63" s="122" t="str">
        <f aca="false">IF($I63&gt;0%,IF(AND(NK$16&gt;=$F63,NK$16&lt;$F63+($G63*$I63)),"➤",""),"")</f>
        <v/>
      </c>
      <c r="NL63" s="122" t="str">
        <f aca="false">IF($I63&gt;0%,IF(AND(NL$16&gt;=$F63,NL$16&lt;$F63+($G63*$I63)),"➤",""),"")</f>
        <v/>
      </c>
      <c r="NM63" s="122" t="str">
        <f aca="false">IF($I63&gt;0%,IF(AND(NM$16&gt;=$F63,NM$16&lt;$F63+($G63*$I63)),"➤",""),"")</f>
        <v/>
      </c>
      <c r="NN63" s="122" t="str">
        <f aca="false">IF($I63&gt;0%,IF(AND(NN$16&gt;=$F63,NN$16&lt;$F63+($G63*$I63)),"➤",""),"")</f>
        <v/>
      </c>
      <c r="NO63" s="122" t="str">
        <f aca="false">IF($I63&gt;0%,IF(AND(NO$16&gt;=$F63,NO$16&lt;$F63+($G63*$I63)),"➤",""),"")</f>
        <v/>
      </c>
      <c r="NP63" s="122" t="str">
        <f aca="false">IF($I63&gt;0%,IF(AND(NP$16&gt;=$F63,NP$16&lt;$F63+($G63*$I63)),"➤",""),"")</f>
        <v/>
      </c>
      <c r="NQ63" s="122" t="str">
        <f aca="false">IF($I63&gt;0%,IF(AND(NQ$16&gt;=$F63,NQ$16&lt;$F63+($G63*$I63)),"➤",""),"")</f>
        <v/>
      </c>
      <c r="NR63" s="122" t="str">
        <f aca="false">IF($I63&gt;0%,IF(AND(NR$16&gt;=$F63,NR$16&lt;$F63+($G63*$I63)),"➤",""),"")</f>
        <v/>
      </c>
      <c r="NS63" s="122" t="str">
        <f aca="false">IF($I63&gt;0%,IF(AND(NS$16&gt;=$F63,NS$16&lt;$F63+($G63*$I63)),"➤",""),"")</f>
        <v/>
      </c>
      <c r="NT63" s="122" t="str">
        <f aca="false">IF($I63&gt;0%,IF(AND(NT$16&gt;=$F63,NT$16&lt;$F63+($G63*$I63)),"➤",""),"")</f>
        <v/>
      </c>
      <c r="NU63" s="122" t="str">
        <f aca="false">IF($I63&gt;0%,IF(AND(NU$16&gt;=$F63,NU$16&lt;$F63+($G63*$I63)),"➤",""),"")</f>
        <v/>
      </c>
      <c r="NV63" s="122" t="str">
        <f aca="false">IF($I63&gt;0%,IF(AND(NV$16&gt;=$F63,NV$16&lt;$F63+($G63*$I63)),"➤",""),"")</f>
        <v/>
      </c>
      <c r="NW63" s="122" t="str">
        <f aca="false">IF($I63&gt;0%,IF(AND(NW$16&gt;=$F63,NW$16&lt;$F63+($G63*$I63)),"➤",""),"")</f>
        <v/>
      </c>
      <c r="NX63" s="122" t="str">
        <f aca="false">IF($I63&gt;0%,IF(AND(NX$16&gt;=$F63,NX$16&lt;$F63+($G63*$I63)),"➤",""),"")</f>
        <v/>
      </c>
      <c r="NY63" s="122" t="str">
        <f aca="false">IF($I63&gt;0%,IF(AND(NY$16&gt;=$F63,NY$16&lt;$F63+($G63*$I63)),"➤",""),"")</f>
        <v/>
      </c>
      <c r="NZ63" s="122" t="str">
        <f aca="false">IF($I63&gt;0%,IF(AND(NZ$16&gt;=$F63,NZ$16&lt;$F63+($G63*$I63)),"➤",""),"")</f>
        <v/>
      </c>
      <c r="OA63" s="122" t="str">
        <f aca="false">IF($I63&gt;0%,IF(AND(OA$16&gt;=$F63,OA$16&lt;$F63+($G63*$I63)),"➤",""),"")</f>
        <v/>
      </c>
      <c r="OB63" s="122" t="str">
        <f aca="false">IF($I63&gt;0%,IF(AND(OB$16&gt;=$F63,OB$16&lt;$F63+($G63*$I63)),"➤",""),"")</f>
        <v/>
      </c>
      <c r="OC63" s="122" t="str">
        <f aca="false">IF($I63&gt;0%,IF(AND(OC$16&gt;=$F63,OC$16&lt;$F63+($G63*$I63)),"➤",""),"")</f>
        <v/>
      </c>
      <c r="OD63" s="122" t="str">
        <f aca="false">IF($I63&gt;0%,IF(AND(OD$16&gt;=$F63,OD$16&lt;$F63+($G63*$I63)),"➤",""),"")</f>
        <v/>
      </c>
      <c r="OE63" s="122" t="str">
        <f aca="false">IF($I63&gt;0%,IF(AND(OE$16&gt;=$F63,OE$16&lt;$F63+($G63*$I63)),"➤",""),"")</f>
        <v/>
      </c>
      <c r="OF63" s="122" t="str">
        <f aca="false">IF($I63&gt;0%,IF(AND(OF$16&gt;=$F63,OF$16&lt;$F63+($G63*$I63)),"➤",""),"")</f>
        <v/>
      </c>
      <c r="OG63" s="122" t="str">
        <f aca="false">IF($I63&gt;0%,IF(AND(OG$16&gt;=$F63,OG$16&lt;$F63+($G63*$I63)),"➤",""),"")</f>
        <v/>
      </c>
      <c r="OH63" s="122" t="str">
        <f aca="false">IF($I63&gt;0%,IF(AND(OH$16&gt;=$F63,OH$16&lt;$F63+($G63*$I63)),"➤",""),"")</f>
        <v/>
      </c>
      <c r="OI63" s="122" t="str">
        <f aca="false">IF($I63&gt;0%,IF(AND(OI$16&gt;=$F63,OI$16&lt;$F63+($G63*$I63)),"➤",""),"")</f>
        <v/>
      </c>
      <c r="OJ63" s="122" t="str">
        <f aca="false">IF($I63&gt;0%,IF(AND(OJ$16&gt;=$F63,OJ$16&lt;$F63+($G63*$I63)),"➤",""),"")</f>
        <v/>
      </c>
      <c r="OK63" s="122" t="str">
        <f aca="false">IF($I63&gt;0%,IF(AND(OK$16&gt;=$F63,OK$16&lt;$F63+($G63*$I63)),"➤",""),"")</f>
        <v/>
      </c>
      <c r="OL63" s="122" t="str">
        <f aca="false">IF($I63&gt;0%,IF(AND(OL$16&gt;=$F63,OL$16&lt;$F63+($G63*$I63)),"➤",""),"")</f>
        <v/>
      </c>
      <c r="OM63" s="122" t="str">
        <f aca="false">IF($I63&gt;0%,IF(AND(OM$16&gt;=$F63,OM$16&lt;$F63+($G63*$I63)),"➤",""),"")</f>
        <v/>
      </c>
      <c r="ON63" s="122" t="str">
        <f aca="false">IF($I63&gt;0%,IF(AND(ON$16&gt;=$F63,ON$16&lt;$F63+($G63*$I63)),"➤",""),"")</f>
        <v/>
      </c>
      <c r="OO63" s="122" t="str">
        <f aca="false">IF($I63&gt;0%,IF(AND(OO$16&gt;=$F63,OO$16&lt;$F63+($G63*$I63)),"➤",""),"")</f>
        <v/>
      </c>
      <c r="OP63" s="122" t="str">
        <f aca="false">IF($I63&gt;0%,IF(AND(OP$16&gt;=$F63,OP$16&lt;$F63+($G63*$I63)),"➤",""),"")</f>
        <v/>
      </c>
      <c r="OQ63" s="122" t="str">
        <f aca="false">IF($I63&gt;0%,IF(AND(OQ$16&gt;=$F63,OQ$16&lt;$F63+($G63*$I63)),"➤",""),"")</f>
        <v/>
      </c>
      <c r="OR63" s="122" t="str">
        <f aca="false">IF($I63&gt;0%,IF(AND(OR$16&gt;=$F63,OR$16&lt;$F63+($G63*$I63)),"➤",""),"")</f>
        <v/>
      </c>
      <c r="OS63" s="122" t="str">
        <f aca="false">IF($I63&gt;0%,IF(AND(OS$16&gt;=$F63,OS$16&lt;$F63+($G63*$I63)),"➤",""),"")</f>
        <v/>
      </c>
      <c r="OT63" s="122" t="str">
        <f aca="false">IF($I63&gt;0%,IF(AND(OT$16&gt;=$F63,OT$16&lt;$F63+($G63*$I63)),"➤",""),"")</f>
        <v/>
      </c>
      <c r="OU63" s="122" t="str">
        <f aca="false">IF($I63&gt;0%,IF(AND(OU$16&gt;=$F63,OU$16&lt;$F63+($G63*$I63)),"➤",""),"")</f>
        <v/>
      </c>
      <c r="OV63" s="122" t="str">
        <f aca="false">IF($I63&gt;0%,IF(AND(OV$16&gt;=$F63,OV$16&lt;$F63+($G63*$I63)),"➤",""),"")</f>
        <v/>
      </c>
      <c r="OW63" s="122" t="str">
        <f aca="false">IF($I63&gt;0%,IF(AND(OW$16&gt;=$F63,OW$16&lt;$F63+($G63*$I63)),"➤",""),"")</f>
        <v/>
      </c>
      <c r="OX63" s="122" t="str">
        <f aca="false">IF($I63&gt;0%,IF(AND(OX$16&gt;=$F63,OX$16&lt;$F63+($G63*$I63)),"➤",""),"")</f>
        <v/>
      </c>
      <c r="OY63" s="122" t="str">
        <f aca="false">IF($I63&gt;0%,IF(AND(OY$16&gt;=$F63,OY$16&lt;$F63+($G63*$I63)),"➤",""),"")</f>
        <v/>
      </c>
      <c r="OZ63" s="122" t="str">
        <f aca="false">IF($I63&gt;0%,IF(AND(OZ$16&gt;=$F63,OZ$16&lt;$F63+($G63*$I63)),"➤",""),"")</f>
        <v/>
      </c>
      <c r="PA63" s="122" t="str">
        <f aca="false">IF($I63&gt;0%,IF(AND(PA$16&gt;=$F63,PA$16&lt;$F63+($G63*$I63)),"➤",""),"")</f>
        <v/>
      </c>
      <c r="PB63" s="122" t="str">
        <f aca="false">IF($I63&gt;0%,IF(AND(PB$16&gt;=$F63,PB$16&lt;$F63+($G63*$I63)),"➤",""),"")</f>
        <v/>
      </c>
      <c r="PC63" s="122" t="str">
        <f aca="false">IF($I63&gt;0%,IF(AND(PC$16&gt;=$F63,PC$16&lt;$F63+($G63*$I63)),"➤",""),"")</f>
        <v/>
      </c>
      <c r="PD63" s="122" t="str">
        <f aca="false">IF($I63&gt;0%,IF(AND(PD$16&gt;=$F63,PD$16&lt;$F63+($G63*$I63)),"➤",""),"")</f>
        <v/>
      </c>
      <c r="PE63" s="122" t="str">
        <f aca="false">IF($I63&gt;0%,IF(AND(PE$16&gt;=$F63,PE$16&lt;$F63+($G63*$I63)),"➤",""),"")</f>
        <v/>
      </c>
      <c r="PF63" s="122" t="str">
        <f aca="false">IF($I63&gt;0%,IF(AND(PF$16&gt;=$F63,PF$16&lt;$F63+($G63*$I63)),"➤",""),"")</f>
        <v/>
      </c>
      <c r="PG63" s="122" t="str">
        <f aca="false">IF($I63&gt;0%,IF(AND(PG$16&gt;=$F63,PG$16&lt;$F63+($G63*$I63)),"➤",""),"")</f>
        <v/>
      </c>
      <c r="PH63" s="122" t="str">
        <f aca="false">IF($I63&gt;0%,IF(AND(PH$16&gt;=$F63,PH$16&lt;$F63+($G63*$I63)),"➤",""),"")</f>
        <v/>
      </c>
      <c r="PI63" s="122" t="str">
        <f aca="false">IF($I63&gt;0%,IF(AND(PI$16&gt;=$F63,PI$16&lt;$F63+($G63*$I63)),"➤",""),"")</f>
        <v/>
      </c>
      <c r="PJ63" s="122" t="str">
        <f aca="false">IF($I63&gt;0%,IF(AND(PJ$16&gt;=$F63,PJ$16&lt;$F63+($G63*$I63)),"➤",""),"")</f>
        <v/>
      </c>
      <c r="PK63" s="122" t="str">
        <f aca="false">IF($I63&gt;0%,IF(AND(PK$16&gt;=$F63,PK$16&lt;$F63+($G63*$I63)),"➤",""),"")</f>
        <v/>
      </c>
      <c r="PL63" s="122" t="str">
        <f aca="false">IF($I63&gt;0%,IF(AND(PL$16&gt;=$F63,PL$16&lt;$F63+($G63*$I63)),"➤",""),"")</f>
        <v/>
      </c>
      <c r="PM63" s="122" t="str">
        <f aca="false">IF($I63&gt;0%,IF(AND(PM$16&gt;=$F63,PM$16&lt;$F63+($G63*$I63)),"➤",""),"")</f>
        <v/>
      </c>
      <c r="PN63" s="122" t="str">
        <f aca="false">IF($I63&gt;0%,IF(AND(PN$16&gt;=$F63,PN$16&lt;$F63+($G63*$I63)),"➤",""),"")</f>
        <v/>
      </c>
      <c r="PO63" s="122" t="str">
        <f aca="false">IF($I63&gt;0%,IF(AND(PO$16&gt;=$F63,PO$16&lt;$F63+($G63*$I63)),"➤",""),"")</f>
        <v/>
      </c>
      <c r="PP63" s="122" t="str">
        <f aca="false">IF($I63&gt;0%,IF(AND(PP$16&gt;=$F63,PP$16&lt;$F63+($G63*$I63)),"➤",""),"")</f>
        <v/>
      </c>
      <c r="PQ63" s="122" t="str">
        <f aca="false">IF($I63&gt;0%,IF(AND(PQ$16&gt;=$F63,PQ$16&lt;$F63+($G63*$I63)),"➤",""),"")</f>
        <v/>
      </c>
      <c r="PR63" s="122" t="str">
        <f aca="false">IF($I63&gt;0%,IF(AND(PR$16&gt;=$F63,PR$16&lt;$F63+($G63*$I63)),"➤",""),"")</f>
        <v/>
      </c>
      <c r="PS63" s="122" t="str">
        <f aca="false">IF($I63&gt;0%,IF(AND(PS$16&gt;=$F63,PS$16&lt;$F63+($G63*$I63)),"➤",""),"")</f>
        <v/>
      </c>
      <c r="PT63" s="122" t="str">
        <f aca="false">IF($I63&gt;0%,IF(AND(PT$16&gt;=$F63,PT$16&lt;$F63+($G63*$I63)),"➤",""),"")</f>
        <v/>
      </c>
      <c r="PU63" s="122" t="str">
        <f aca="false">IF($I63&gt;0%,IF(AND(PU$16&gt;=$F63,PU$16&lt;$F63+($G63*$I63)),"➤",""),"")</f>
        <v/>
      </c>
      <c r="PV63" s="122" t="str">
        <f aca="false">IF($I63&gt;0%,IF(AND(PV$16&gt;=$F63,PV$16&lt;$F63+($G63*$I63)),"➤",""),"")</f>
        <v/>
      </c>
      <c r="PW63" s="122" t="str">
        <f aca="false">IF($I63&gt;0%,IF(AND(PW$16&gt;=$F63,PW$16&lt;$F63+($G63*$I63)),"➤",""),"")</f>
        <v/>
      </c>
      <c r="PX63" s="122" t="str">
        <f aca="false">IF($I63&gt;0%,IF(AND(PX$16&gt;=$F63,PX$16&lt;$F63+($G63*$I63)),"➤",""),"")</f>
        <v/>
      </c>
      <c r="PY63" s="122" t="str">
        <f aca="false">IF($I63&gt;0%,IF(AND(PY$16&gt;=$F63,PY$16&lt;$F63+($G63*$I63)),"➤",""),"")</f>
        <v/>
      </c>
      <c r="PZ63" s="122" t="str">
        <f aca="false">IF($I63&gt;0%,IF(AND(PZ$16&gt;=$F63,PZ$16&lt;$F63+($G63*$I63)),"➤",""),"")</f>
        <v/>
      </c>
      <c r="QA63" s="122" t="str">
        <f aca="false">IF($I63&gt;0%,IF(AND(QA$16&gt;=$F63,QA$16&lt;$F63+($G63*$I63)),"➤",""),"")</f>
        <v/>
      </c>
      <c r="QB63" s="122" t="str">
        <f aca="false">IF($I63&gt;0%,IF(AND(QB$16&gt;=$F63,QB$16&lt;$F63+($G63*$I63)),"➤",""),"")</f>
        <v/>
      </c>
      <c r="QC63" s="122" t="str">
        <f aca="false">IF($I63&gt;0%,IF(AND(QC$16&gt;=$F63,QC$16&lt;$F63+($G63*$I63)),"➤",""),"")</f>
        <v/>
      </c>
      <c r="QD63" s="122" t="str">
        <f aca="false">IF($I63&gt;0%,IF(AND(QD$16&gt;=$F63,QD$16&lt;$F63+($G63*$I63)),"➤",""),"")</f>
        <v/>
      </c>
      <c r="QE63" s="122" t="str">
        <f aca="false">IF($I63&gt;0%,IF(AND(QE$16&gt;=$F63,QE$16&lt;$F63+($G63*$I63)),"➤",""),"")</f>
        <v/>
      </c>
      <c r="QF63" s="122" t="str">
        <f aca="false">IF($I63&gt;0%,IF(AND(QF$16&gt;=$F63,QF$16&lt;$F63+($G63*$I63)),"➤",""),"")</f>
        <v/>
      </c>
      <c r="QG63" s="122" t="str">
        <f aca="false">IF($I63&gt;0%,IF(AND(QG$16&gt;=$F63,QG$16&lt;$F63+($G63*$I63)),"➤",""),"")</f>
        <v/>
      </c>
      <c r="QH63" s="122" t="str">
        <f aca="false">IF($I63&gt;0%,IF(AND(QH$16&gt;=$F63,QH$16&lt;$F63+($G63*$I63)),"➤",""),"")</f>
        <v/>
      </c>
      <c r="QI63" s="122" t="str">
        <f aca="false">IF($I63&gt;0%,IF(AND(QI$16&gt;=$F63,QI$16&lt;$F63+($G63*$I63)),"➤",""),"")</f>
        <v/>
      </c>
      <c r="QJ63" s="122" t="str">
        <f aca="false">IF($I63&gt;0%,IF(AND(QJ$16&gt;=$F63,QJ$16&lt;$F63+($G63*$I63)),"➤",""),"")</f>
        <v/>
      </c>
      <c r="QK63" s="122" t="str">
        <f aca="false">IF($I63&gt;0%,IF(AND(QK$16&gt;=$F63,QK$16&lt;$F63+($G63*$I63)),"➤",""),"")</f>
        <v/>
      </c>
      <c r="QL63" s="122" t="str">
        <f aca="false">IF($I63&gt;0%,IF(AND(QL$16&gt;=$F63,QL$16&lt;$F63+($G63*$I63)),"➤",""),"")</f>
        <v/>
      </c>
      <c r="QM63" s="122" t="str">
        <f aca="false">IF($I63&gt;0%,IF(AND(QM$16&gt;=$F63,QM$16&lt;$F63+($G63*$I63)),"➤",""),"")</f>
        <v/>
      </c>
      <c r="QN63" s="122" t="str">
        <f aca="false">IF($I63&gt;0%,IF(AND(QN$16&gt;=$F63,QN$16&lt;$F63+($G63*$I63)),"➤",""),"")</f>
        <v/>
      </c>
      <c r="QO63" s="122" t="str">
        <f aca="false">IF($I63&gt;0%,IF(AND(QO$16&gt;=$F63,QO$16&lt;$F63+($G63*$I63)),"➤",""),"")</f>
        <v/>
      </c>
      <c r="QP63" s="122" t="str">
        <f aca="false">IF($I63&gt;0%,IF(AND(QP$16&gt;=$F63,QP$16&lt;$F63+($G63*$I63)),"➤",""),"")</f>
        <v/>
      </c>
      <c r="QQ63" s="122" t="str">
        <f aca="false">IF($I63&gt;0%,IF(AND(QQ$16&gt;=$F63,QQ$16&lt;$F63+($G63*$I63)),"➤",""),"")</f>
        <v/>
      </c>
      <c r="QR63" s="122" t="str">
        <f aca="false">IF($I63&gt;0%,IF(AND(QR$16&gt;=$F63,QR$16&lt;$F63+($G63*$I63)),"➤",""),"")</f>
        <v/>
      </c>
      <c r="QS63" s="122" t="str">
        <f aca="false">IF($I63&gt;0%,IF(AND(QS$16&gt;=$F63,QS$16&lt;$F63+($G63*$I63)),"➤",""),"")</f>
        <v/>
      </c>
      <c r="QT63" s="122" t="str">
        <f aca="false">IF($I63&gt;0%,IF(AND(QT$16&gt;=$F63,QT$16&lt;$F63+($G63*$I63)),"➤",""),"")</f>
        <v/>
      </c>
      <c r="QU63" s="122" t="str">
        <f aca="false">IF($I63&gt;0%,IF(AND(QU$16&gt;=$F63,QU$16&lt;$F63+($G63*$I63)),"➤",""),"")</f>
        <v/>
      </c>
      <c r="QV63" s="122" t="str">
        <f aca="false">IF($I63&gt;0%,IF(AND(QV$16&gt;=$F63,QV$16&lt;$F63+($G63*$I63)),"➤",""),"")</f>
        <v/>
      </c>
      <c r="QW63" s="122" t="str">
        <f aca="false">IF($I63&gt;0%,IF(AND(QW$16&gt;=$F63,QW$16&lt;$F63+($G63*$I63)),"➤",""),"")</f>
        <v/>
      </c>
      <c r="QX63" s="122" t="str">
        <f aca="false">IF($I63&gt;0%,IF(AND(QX$16&gt;=$F63,QX$16&lt;$F63+($G63*$I63)),"➤",""),"")</f>
        <v/>
      </c>
      <c r="QY63" s="122" t="str">
        <f aca="false">IF($I63&gt;0%,IF(AND(QY$16&gt;=$F63,QY$16&lt;$F63+($G63*$I63)),"➤",""),"")</f>
        <v/>
      </c>
      <c r="QZ63" s="122" t="str">
        <f aca="false">IF($I63&gt;0%,IF(AND(QZ$16&gt;=$F63,QZ$16&lt;$F63+($G63*$I63)),"➤",""),"")</f>
        <v/>
      </c>
      <c r="RA63" s="122" t="str">
        <f aca="false">IF($I63&gt;0%,IF(AND(RA$16&gt;=$F63,RA$16&lt;$F63+($G63*$I63)),"➤",""),"")</f>
        <v/>
      </c>
      <c r="RB63" s="122" t="str">
        <f aca="false">IF($I63&gt;0%,IF(AND(RB$16&gt;=$F63,RB$16&lt;$F63+($G63*$I63)),"➤",""),"")</f>
        <v/>
      </c>
      <c r="RC63" s="122" t="str">
        <f aca="false">IF($I63&gt;0%,IF(AND(RC$16&gt;=$F63,RC$16&lt;$F63+($G63*$I63)),"➤",""),"")</f>
        <v/>
      </c>
      <c r="RD63" s="122" t="str">
        <f aca="false">IF($I63&gt;0%,IF(AND(RD$16&gt;=$F63,RD$16&lt;$F63+($G63*$I63)),"➤",""),"")</f>
        <v/>
      </c>
      <c r="RE63" s="122" t="str">
        <f aca="false">IF($I63&gt;0%,IF(AND(RE$16&gt;=$F63,RE$16&lt;$F63+($G63*$I63)),"➤",""),"")</f>
        <v/>
      </c>
      <c r="RF63" s="122" t="str">
        <f aca="false">IF($I63&gt;0%,IF(AND(RF$16&gt;=$F63,RF$16&lt;$F63+($G63*$I63)),"➤",""),"")</f>
        <v/>
      </c>
      <c r="RG63" s="122" t="str">
        <f aca="false">IF($I63&gt;0%,IF(AND(RG$16&gt;=$F63,RG$16&lt;$F63+($G63*$I63)),"➤",""),"")</f>
        <v/>
      </c>
      <c r="RH63" s="122" t="str">
        <f aca="false">IF($I63&gt;0%,IF(AND(RH$16&gt;=$F63,RH$16&lt;$F63+($G63*$I63)),"➤",""),"")</f>
        <v/>
      </c>
      <c r="RI63" s="122" t="str">
        <f aca="false">IF($I63&gt;0%,IF(AND(RI$16&gt;=$F63,RI$16&lt;$F63+($G63*$I63)),"➤",""),"")</f>
        <v/>
      </c>
      <c r="RJ63" s="122" t="str">
        <f aca="false">IF($I63&gt;0%,IF(AND(RJ$16&gt;=$F63,RJ$16&lt;$F63+($G63*$I63)),"➤",""),"")</f>
        <v/>
      </c>
      <c r="RK63" s="122" t="str">
        <f aca="false">IF($I63&gt;0%,IF(AND(RK$16&gt;=$F63,RK$16&lt;$F63+($G63*$I63)),"➤",""),"")</f>
        <v/>
      </c>
      <c r="RL63" s="122" t="str">
        <f aca="false">IF($I63&gt;0%,IF(AND(RL$16&gt;=$F63,RL$16&lt;$F63+($G63*$I63)),"➤",""),"")</f>
        <v/>
      </c>
      <c r="RM63" s="122" t="str">
        <f aca="false">IF($I63&gt;0%,IF(AND(RM$16&gt;=$F63,RM$16&lt;$F63+($G63*$I63)),"➤",""),"")</f>
        <v/>
      </c>
      <c r="RN63" s="122" t="str">
        <f aca="false">IF($I63&gt;0%,IF(AND(RN$16&gt;=$F63,RN$16&lt;$F63+($G63*$I63)),"➤",""),"")</f>
        <v/>
      </c>
      <c r="RO63" s="122" t="str">
        <f aca="false">IF($I63&gt;0%,IF(AND(RO$16&gt;=$F63,RO$16&lt;$F63+($G63*$I63)),"➤",""),"")</f>
        <v/>
      </c>
      <c r="RP63" s="122" t="str">
        <f aca="false">IF($I63&gt;0%,IF(AND(RP$16&gt;=$F63,RP$16&lt;$F63+($G63*$I63)),"➤",""),"")</f>
        <v/>
      </c>
      <c r="RQ63" s="122" t="str">
        <f aca="false">IF($I63&gt;0%,IF(AND(RQ$16&gt;=$F63,RQ$16&lt;$F63+($G63*$I63)),"➤",""),"")</f>
        <v/>
      </c>
      <c r="RR63" s="122" t="str">
        <f aca="false">IF($I63&gt;0%,IF(AND(RR$16&gt;=$F63,RR$16&lt;$F63+($G63*$I63)),"➤",""),"")</f>
        <v/>
      </c>
      <c r="RS63" s="122" t="str">
        <f aca="false">IF($I63&gt;0%,IF(AND(RS$16&gt;=$F63,RS$16&lt;$F63+($G63*$I63)),"➤",""),"")</f>
        <v/>
      </c>
      <c r="RT63" s="122" t="str">
        <f aca="false">IF($I63&gt;0%,IF(AND(RT$16&gt;=$F63,RT$16&lt;$F63+($G63*$I63)),"➤",""),"")</f>
        <v/>
      </c>
      <c r="RU63" s="122" t="str">
        <f aca="false">IF($I63&gt;0%,IF(AND(RU$16&gt;=$F63,RU$16&lt;$F63+($G63*$I63)),"➤",""),"")</f>
        <v/>
      </c>
      <c r="RV63" s="122" t="str">
        <f aca="false">IF($I63&gt;0%,IF(AND(RV$16&gt;=$F63,RV$16&lt;$F63+($G63*$I63)),"➤",""),"")</f>
        <v/>
      </c>
      <c r="RW63" s="122" t="str">
        <f aca="false">IF($I63&gt;0%,IF(AND(RW$16&gt;=$F63,RW$16&lt;$F63+($G63*$I63)),"➤",""),"")</f>
        <v/>
      </c>
      <c r="RX63" s="122" t="str">
        <f aca="false">IF($I63&gt;0%,IF(AND(RX$16&gt;=$F63,RX$16&lt;$F63+($G63*$I63)),"➤",""),"")</f>
        <v/>
      </c>
      <c r="RY63" s="122" t="str">
        <f aca="false">IF($I63&gt;0%,IF(AND(RY$16&gt;=$F63,RY$16&lt;$F63+($G63*$I63)),"➤",""),"")</f>
        <v/>
      </c>
      <c r="RZ63" s="122" t="str">
        <f aca="false">IF($I63&gt;0%,IF(AND(RZ$16&gt;=$F63,RZ$16&lt;$F63+($G63*$I63)),"➤",""),"")</f>
        <v/>
      </c>
      <c r="SA63" s="122" t="str">
        <f aca="false">IF($I63&gt;0%,IF(AND(SA$16&gt;=$F63,SA$16&lt;$F63+($G63*$I63)),"➤",""),"")</f>
        <v/>
      </c>
      <c r="SB63" s="122" t="str">
        <f aca="false">IF($I63&gt;0%,IF(AND(SB$16&gt;=$F63,SB$16&lt;$F63+($G63*$I63)),"➤",""),"")</f>
        <v/>
      </c>
      <c r="SC63" s="122" t="str">
        <f aca="false">IF($I63&gt;0%,IF(AND(SC$16&gt;=$F63,SC$16&lt;$F63+($G63*$I63)),"➤",""),"")</f>
        <v/>
      </c>
      <c r="SD63" s="122" t="str">
        <f aca="false">IF($I63&gt;0%,IF(AND(SD$16&gt;=$F63,SD$16&lt;$F63+($G63*$I63)),"➤",""),"")</f>
        <v/>
      </c>
      <c r="SE63" s="122" t="str">
        <f aca="false">IF($I63&gt;0%,IF(AND(SE$16&gt;=$F63,SE$16&lt;$F63+($G63*$I63)),"➤",""),"")</f>
        <v/>
      </c>
      <c r="SF63" s="122" t="str">
        <f aca="false">IF($I63&gt;0%,IF(AND(SF$16&gt;=$F63,SF$16&lt;$F63+($G63*$I63)),"➤",""),"")</f>
        <v/>
      </c>
      <c r="SG63" s="122" t="str">
        <f aca="false">IF($I63&gt;0%,IF(AND(SG$16&gt;=$F63,SG$16&lt;$F63+($G63*$I63)),"➤",""),"")</f>
        <v/>
      </c>
      <c r="SH63" s="122" t="str">
        <f aca="false">IF($I63&gt;0%,IF(AND(SH$16&gt;=$F63,SH$16&lt;$F63+($G63*$I63)),"➤",""),"")</f>
        <v/>
      </c>
      <c r="SI63" s="122" t="str">
        <f aca="false">IF($I63&gt;0%,IF(AND(SI$16&gt;=$F63,SI$16&lt;$F63+($G63*$I63)),"➤",""),"")</f>
        <v/>
      </c>
      <c r="SJ63" s="122" t="str">
        <f aca="false">IF($I63&gt;0%,IF(AND(SJ$16&gt;=$F63,SJ$16&lt;$F63+($G63*$I63)),"➤",""),"")</f>
        <v/>
      </c>
      <c r="SK63" s="122" t="str">
        <f aca="false">IF($I63&gt;0%,IF(AND(SK$16&gt;=$F63,SK$16&lt;$F63+($G63*$I63)),"➤",""),"")</f>
        <v/>
      </c>
      <c r="SL63" s="122" t="str">
        <f aca="false">IF($I63&gt;0%,IF(AND(SL$16&gt;=$F63,SL$16&lt;$F63+($G63*$I63)),"➤",""),"")</f>
        <v/>
      </c>
      <c r="SM63" s="122" t="str">
        <f aca="false">IF($I63&gt;0%,IF(AND(SM$16&gt;=$F63,SM$16&lt;$F63+($G63*$I63)),"➤",""),"")</f>
        <v/>
      </c>
      <c r="SN63" s="122" t="str">
        <f aca="false">IF($I63&gt;0%,IF(AND(SN$16&gt;=$F63,SN$16&lt;$F63+($G63*$I63)),"➤",""),"")</f>
        <v/>
      </c>
      <c r="SO63" s="122" t="str">
        <f aca="false">IF($I63&gt;0%,IF(AND(SO$16&gt;=$F63,SO$16&lt;$F63+($G63*$I63)),"➤",""),"")</f>
        <v/>
      </c>
      <c r="SP63" s="122" t="str">
        <f aca="false">IF($I63&gt;0%,IF(AND(SP$16&gt;=$F63,SP$16&lt;$F63+($G63*$I63)),"➤",""),"")</f>
        <v/>
      </c>
      <c r="SQ63" s="122" t="str">
        <f aca="false">IF($I63&gt;0%,IF(AND(SQ$16&gt;=$F63,SQ$16&lt;$F63+($G63*$I63)),"➤",""),"")</f>
        <v/>
      </c>
      <c r="SR63" s="122" t="str">
        <f aca="false">IF($I63&gt;0%,IF(AND(SR$16&gt;=$F63,SR$16&lt;$F63+($G63*$I63)),"➤",""),"")</f>
        <v/>
      </c>
      <c r="SS63" s="122" t="str">
        <f aca="false">IF($I63&gt;0%,IF(AND(SS$16&gt;=$F63,SS$16&lt;$F63+($G63*$I63)),"➤",""),"")</f>
        <v/>
      </c>
      <c r="ST63" s="122" t="str">
        <f aca="false">IF($I63&gt;0%,IF(AND(ST$16&gt;=$F63,ST$16&lt;$F63+($G63*$I63)),"➤",""),"")</f>
        <v/>
      </c>
      <c r="SU63" s="122" t="str">
        <f aca="false">IF($I63&gt;0%,IF(AND(SU$16&gt;=$F63,SU$16&lt;$F63+($G63*$I63)),"➤",""),"")</f>
        <v/>
      </c>
      <c r="SV63" s="122" t="str">
        <f aca="false">IF($I63&gt;0%,IF(AND(SV$16&gt;=$F63,SV$16&lt;$F63+($G63*$I63)),"➤",""),"")</f>
        <v/>
      </c>
      <c r="SW63" s="123" t="str">
        <f aca="false">IF($I63&gt;0%,IF(AND(SW$16&gt;=$F63,SW$16&lt;$F63+($G63*$I63)),"➤",""),"")</f>
        <v/>
      </c>
    </row>
    <row r="64" customFormat="false" ht="7.5" hidden="false" customHeight="true" outlineLevel="0" collapsed="false">
      <c r="C64" s="124"/>
      <c r="D64" s="125"/>
      <c r="E64" s="125"/>
      <c r="F64" s="125"/>
      <c r="G64" s="125"/>
      <c r="H64" s="125"/>
      <c r="I64" s="126"/>
      <c r="J64" s="126"/>
      <c r="K64" s="126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  <c r="AA64" s="125"/>
      <c r="AB64" s="125"/>
      <c r="AC64" s="125"/>
      <c r="AD64" s="125"/>
      <c r="AE64" s="125"/>
      <c r="AF64" s="125"/>
      <c r="AG64" s="125"/>
      <c r="AH64" s="125"/>
      <c r="AI64" s="125"/>
      <c r="AJ64" s="125"/>
      <c r="AK64" s="125"/>
      <c r="AL64" s="125"/>
      <c r="AM64" s="125"/>
      <c r="AN64" s="125"/>
      <c r="AO64" s="125"/>
      <c r="AP64" s="125"/>
      <c r="AQ64" s="127"/>
      <c r="AR64" s="125"/>
      <c r="AS64" s="125"/>
      <c r="AT64" s="125"/>
      <c r="AU64" s="125"/>
      <c r="AV64" s="125"/>
      <c r="AW64" s="125"/>
      <c r="AX64" s="125"/>
      <c r="AY64" s="125"/>
      <c r="AZ64" s="125"/>
      <c r="BA64" s="125"/>
      <c r="BB64" s="125"/>
      <c r="BC64" s="125"/>
      <c r="BD64" s="125"/>
      <c r="BE64" s="125"/>
      <c r="BF64" s="125"/>
      <c r="BG64" s="125"/>
      <c r="BH64" s="125"/>
      <c r="BI64" s="125"/>
      <c r="BJ64" s="125"/>
      <c r="BK64" s="125"/>
      <c r="BL64" s="125"/>
      <c r="BM64" s="125"/>
      <c r="BN64" s="125"/>
      <c r="BO64" s="125"/>
      <c r="BP64" s="125"/>
      <c r="BQ64" s="125"/>
      <c r="BR64" s="125"/>
      <c r="BS64" s="125"/>
      <c r="BT64" s="125"/>
      <c r="BU64" s="125"/>
      <c r="BV64" s="125"/>
      <c r="BW64" s="125"/>
      <c r="BX64" s="125"/>
      <c r="BY64" s="125"/>
      <c r="BZ64" s="125"/>
      <c r="CA64" s="125"/>
      <c r="CB64" s="125"/>
      <c r="CC64" s="125"/>
      <c r="CD64" s="125"/>
      <c r="CE64" s="125"/>
      <c r="CF64" s="125"/>
      <c r="CG64" s="125"/>
      <c r="CH64" s="125"/>
      <c r="CI64" s="125"/>
      <c r="CJ64" s="125"/>
      <c r="CK64" s="125"/>
      <c r="CL64" s="125"/>
      <c r="CM64" s="125"/>
      <c r="CN64" s="125"/>
      <c r="CO64" s="125"/>
      <c r="CP64" s="125"/>
      <c r="CQ64" s="125"/>
      <c r="CR64" s="125"/>
      <c r="CS64" s="125"/>
      <c r="CT64" s="125"/>
      <c r="CU64" s="125"/>
      <c r="CV64" s="125"/>
      <c r="CW64" s="125"/>
      <c r="CX64" s="125"/>
      <c r="CY64" s="125"/>
      <c r="CZ64" s="125"/>
      <c r="DA64" s="125"/>
      <c r="DB64" s="125"/>
      <c r="DC64" s="125"/>
      <c r="DD64" s="125"/>
      <c r="DE64" s="125"/>
      <c r="DF64" s="125"/>
      <c r="DG64" s="125"/>
      <c r="DH64" s="125"/>
      <c r="DI64" s="125"/>
      <c r="DJ64" s="125"/>
      <c r="DK64" s="125"/>
      <c r="DL64" s="125"/>
      <c r="DM64" s="125"/>
      <c r="DN64" s="125"/>
      <c r="DO64" s="125"/>
      <c r="DP64" s="125"/>
      <c r="DQ64" s="125"/>
      <c r="DR64" s="125"/>
      <c r="DS64" s="125"/>
      <c r="DT64" s="125"/>
      <c r="DU64" s="125"/>
      <c r="DV64" s="125"/>
      <c r="DW64" s="125"/>
      <c r="DX64" s="125"/>
      <c r="DY64" s="125"/>
      <c r="DZ64" s="125"/>
      <c r="EA64" s="125"/>
      <c r="EB64" s="125"/>
      <c r="EC64" s="125"/>
      <c r="ED64" s="125"/>
      <c r="EE64" s="125"/>
      <c r="EF64" s="125"/>
      <c r="EG64" s="125"/>
      <c r="EH64" s="125"/>
      <c r="EI64" s="125"/>
      <c r="EJ64" s="125"/>
      <c r="EK64" s="125"/>
      <c r="EL64" s="125"/>
      <c r="EM64" s="125"/>
      <c r="EN64" s="125"/>
      <c r="EO64" s="125"/>
      <c r="EP64" s="125"/>
      <c r="EQ64" s="125"/>
      <c r="ER64" s="125"/>
      <c r="ES64" s="125"/>
      <c r="ET64" s="125"/>
      <c r="EU64" s="125"/>
      <c r="EV64" s="125"/>
      <c r="EW64" s="125"/>
      <c r="EX64" s="125"/>
      <c r="EY64" s="125"/>
      <c r="EZ64" s="125"/>
      <c r="FA64" s="125"/>
      <c r="FB64" s="125"/>
      <c r="FC64" s="125"/>
      <c r="FD64" s="125"/>
      <c r="FE64" s="125"/>
      <c r="FF64" s="125"/>
      <c r="FG64" s="125"/>
      <c r="FH64" s="125"/>
      <c r="FI64" s="125"/>
      <c r="FJ64" s="125"/>
      <c r="FK64" s="125"/>
      <c r="FL64" s="125"/>
      <c r="FM64" s="125"/>
      <c r="FN64" s="125"/>
      <c r="FO64" s="125"/>
      <c r="FP64" s="125"/>
      <c r="FQ64" s="125"/>
      <c r="FR64" s="125"/>
      <c r="FS64" s="125"/>
      <c r="FT64" s="125"/>
      <c r="FU64" s="125"/>
      <c r="FV64" s="125"/>
      <c r="FW64" s="125"/>
      <c r="FX64" s="125"/>
      <c r="FY64" s="125"/>
      <c r="FZ64" s="125"/>
      <c r="GA64" s="125"/>
      <c r="GB64" s="125"/>
      <c r="GC64" s="125"/>
      <c r="GD64" s="125"/>
      <c r="GE64" s="125"/>
      <c r="GF64" s="125"/>
      <c r="GG64" s="125"/>
      <c r="GH64" s="125"/>
      <c r="GI64" s="125"/>
      <c r="GJ64" s="125"/>
      <c r="GK64" s="125"/>
      <c r="GL64" s="125"/>
      <c r="GM64" s="125"/>
      <c r="GN64" s="125"/>
      <c r="GO64" s="125"/>
      <c r="GP64" s="125"/>
      <c r="GQ64" s="125"/>
      <c r="GR64" s="125"/>
      <c r="GS64" s="125"/>
      <c r="GT64" s="125"/>
      <c r="GU64" s="125"/>
      <c r="GV64" s="125"/>
      <c r="GW64" s="125"/>
      <c r="GX64" s="125"/>
      <c r="GY64" s="125"/>
      <c r="GZ64" s="125"/>
      <c r="HA64" s="125"/>
      <c r="HB64" s="125"/>
      <c r="HC64" s="125"/>
      <c r="HD64" s="125"/>
      <c r="HE64" s="125"/>
      <c r="HF64" s="125"/>
      <c r="HG64" s="125"/>
      <c r="HH64" s="125"/>
      <c r="HI64" s="125"/>
      <c r="HJ64" s="125"/>
      <c r="HK64" s="125"/>
      <c r="HL64" s="125"/>
      <c r="HM64" s="125"/>
      <c r="HN64" s="125"/>
      <c r="HO64" s="125"/>
      <c r="HP64" s="125"/>
      <c r="HQ64" s="125"/>
      <c r="HR64" s="125"/>
      <c r="HS64" s="125"/>
      <c r="HT64" s="125"/>
      <c r="HU64" s="125"/>
      <c r="HV64" s="125"/>
      <c r="HW64" s="125"/>
      <c r="HX64" s="125"/>
      <c r="HY64" s="125"/>
      <c r="HZ64" s="125"/>
      <c r="IA64" s="125"/>
      <c r="IB64" s="125"/>
      <c r="IC64" s="125"/>
      <c r="ID64" s="125"/>
      <c r="IE64" s="125"/>
      <c r="IF64" s="125"/>
      <c r="IG64" s="125"/>
      <c r="IH64" s="125"/>
      <c r="II64" s="125"/>
      <c r="IJ64" s="125"/>
      <c r="IK64" s="125"/>
      <c r="IL64" s="125"/>
      <c r="IM64" s="125"/>
      <c r="IN64" s="125"/>
      <c r="IO64" s="125"/>
      <c r="IP64" s="125"/>
      <c r="IQ64" s="125"/>
      <c r="IR64" s="125"/>
      <c r="IS64" s="125"/>
      <c r="IT64" s="125"/>
      <c r="IU64" s="125"/>
      <c r="IV64" s="125"/>
      <c r="IW64" s="125"/>
      <c r="IX64" s="125"/>
      <c r="IY64" s="125"/>
      <c r="IZ64" s="125"/>
      <c r="JA64" s="125"/>
      <c r="JB64" s="125"/>
      <c r="JC64" s="125"/>
      <c r="JD64" s="125"/>
      <c r="JE64" s="125"/>
      <c r="JF64" s="125"/>
      <c r="JG64" s="125"/>
      <c r="JH64" s="125"/>
      <c r="JI64" s="125"/>
      <c r="JJ64" s="125"/>
      <c r="JK64" s="125"/>
      <c r="JL64" s="125"/>
      <c r="JM64" s="125"/>
      <c r="JN64" s="125"/>
      <c r="JO64" s="125"/>
      <c r="JP64" s="125"/>
      <c r="JQ64" s="125"/>
      <c r="JR64" s="125"/>
      <c r="JS64" s="125"/>
      <c r="JT64" s="125"/>
      <c r="JU64" s="125"/>
      <c r="JV64" s="125"/>
      <c r="JW64" s="125"/>
      <c r="JX64" s="125"/>
      <c r="JY64" s="125"/>
      <c r="JZ64" s="125"/>
      <c r="KA64" s="125"/>
      <c r="KB64" s="125"/>
      <c r="KC64" s="125"/>
      <c r="KD64" s="125"/>
      <c r="KE64" s="125"/>
      <c r="KF64" s="125"/>
      <c r="KG64" s="125"/>
      <c r="KH64" s="125"/>
      <c r="KI64" s="125"/>
      <c r="KJ64" s="125"/>
      <c r="KK64" s="125"/>
      <c r="KL64" s="125"/>
      <c r="KM64" s="125"/>
      <c r="KN64" s="125"/>
      <c r="KO64" s="125"/>
      <c r="KP64" s="125"/>
      <c r="KQ64" s="125"/>
      <c r="KR64" s="125"/>
      <c r="KS64" s="125"/>
      <c r="KT64" s="125"/>
      <c r="KU64" s="125"/>
      <c r="KV64" s="125"/>
      <c r="KW64" s="125"/>
      <c r="KX64" s="125"/>
      <c r="KY64" s="125"/>
      <c r="KZ64" s="125"/>
      <c r="LA64" s="125"/>
      <c r="LB64" s="125"/>
      <c r="LC64" s="125"/>
      <c r="LD64" s="125"/>
      <c r="LE64" s="125"/>
      <c r="LF64" s="125"/>
      <c r="LG64" s="125"/>
      <c r="LH64" s="125"/>
      <c r="LI64" s="125"/>
      <c r="LJ64" s="125"/>
      <c r="LK64" s="125"/>
      <c r="LL64" s="125"/>
      <c r="LM64" s="125"/>
      <c r="LN64" s="125"/>
      <c r="LO64" s="125"/>
      <c r="LP64" s="125"/>
      <c r="LQ64" s="125"/>
      <c r="LR64" s="125"/>
      <c r="LS64" s="125"/>
      <c r="LT64" s="125"/>
      <c r="LU64" s="125"/>
      <c r="LV64" s="125"/>
      <c r="LW64" s="125"/>
      <c r="LX64" s="125"/>
      <c r="LY64" s="125"/>
      <c r="LZ64" s="125"/>
      <c r="MA64" s="125"/>
      <c r="MB64" s="125"/>
      <c r="MC64" s="125"/>
      <c r="MD64" s="125"/>
      <c r="ME64" s="125"/>
      <c r="MF64" s="125"/>
      <c r="MG64" s="125"/>
      <c r="MH64" s="125"/>
      <c r="MI64" s="125"/>
      <c r="MJ64" s="125"/>
      <c r="MK64" s="125"/>
      <c r="ML64" s="125"/>
      <c r="MM64" s="125"/>
      <c r="MN64" s="125"/>
      <c r="MO64" s="125"/>
      <c r="MP64" s="125"/>
      <c r="MQ64" s="125"/>
      <c r="MR64" s="125"/>
      <c r="MS64" s="125"/>
      <c r="MT64" s="125"/>
      <c r="MU64" s="125"/>
      <c r="MV64" s="125"/>
      <c r="MW64" s="125"/>
      <c r="MX64" s="125"/>
      <c r="MY64" s="125"/>
      <c r="MZ64" s="125"/>
      <c r="NA64" s="125"/>
      <c r="NB64" s="125"/>
      <c r="NC64" s="125"/>
      <c r="ND64" s="125"/>
      <c r="NE64" s="125"/>
      <c r="NF64" s="125"/>
      <c r="NG64" s="125"/>
      <c r="NH64" s="125"/>
      <c r="NI64" s="125"/>
      <c r="NJ64" s="125"/>
      <c r="NK64" s="125"/>
      <c r="NL64" s="125"/>
      <c r="NM64" s="125"/>
      <c r="NN64" s="125"/>
      <c r="NO64" s="125"/>
      <c r="NP64" s="125"/>
      <c r="NQ64" s="125"/>
      <c r="NR64" s="125"/>
      <c r="NS64" s="125"/>
      <c r="NT64" s="125"/>
      <c r="NU64" s="125"/>
      <c r="NV64" s="125"/>
      <c r="NW64" s="125"/>
      <c r="NX64" s="125"/>
      <c r="NY64" s="125"/>
      <c r="NZ64" s="125"/>
      <c r="OA64" s="125"/>
      <c r="OB64" s="125"/>
      <c r="OC64" s="125"/>
      <c r="OD64" s="125"/>
      <c r="OE64" s="125"/>
      <c r="OF64" s="125"/>
      <c r="OG64" s="125"/>
      <c r="OH64" s="125"/>
      <c r="OI64" s="125"/>
      <c r="OJ64" s="125"/>
      <c r="OK64" s="125"/>
      <c r="OL64" s="125"/>
      <c r="OM64" s="125"/>
      <c r="ON64" s="125"/>
      <c r="OO64" s="125"/>
      <c r="OP64" s="125"/>
      <c r="OQ64" s="125"/>
      <c r="OR64" s="125"/>
      <c r="OS64" s="125"/>
      <c r="OT64" s="125"/>
      <c r="OU64" s="125"/>
      <c r="OV64" s="125"/>
      <c r="OW64" s="125"/>
      <c r="OX64" s="125"/>
      <c r="OY64" s="125"/>
      <c r="OZ64" s="125"/>
      <c r="PA64" s="125"/>
      <c r="PB64" s="125"/>
      <c r="PC64" s="125"/>
      <c r="PD64" s="125"/>
      <c r="PE64" s="125"/>
      <c r="PF64" s="125"/>
      <c r="PG64" s="125"/>
      <c r="PH64" s="125"/>
      <c r="PI64" s="125"/>
      <c r="PJ64" s="125"/>
      <c r="PK64" s="125"/>
      <c r="PL64" s="125"/>
      <c r="PM64" s="125"/>
      <c r="PN64" s="125"/>
      <c r="PO64" s="125"/>
      <c r="PP64" s="125"/>
      <c r="PQ64" s="125"/>
      <c r="PR64" s="125"/>
      <c r="PS64" s="125"/>
      <c r="PT64" s="125"/>
      <c r="PU64" s="125"/>
      <c r="PV64" s="125"/>
      <c r="PW64" s="125"/>
      <c r="PX64" s="125"/>
      <c r="PY64" s="125"/>
      <c r="PZ64" s="125"/>
      <c r="QA64" s="125"/>
      <c r="QB64" s="125"/>
      <c r="QC64" s="125"/>
      <c r="QD64" s="125"/>
      <c r="QE64" s="125"/>
      <c r="QF64" s="125"/>
      <c r="QG64" s="125"/>
      <c r="QH64" s="125"/>
      <c r="QI64" s="125"/>
      <c r="QJ64" s="125"/>
      <c r="QK64" s="125"/>
      <c r="QL64" s="125"/>
      <c r="QM64" s="125"/>
      <c r="QN64" s="125"/>
      <c r="QO64" s="125"/>
      <c r="QP64" s="125"/>
      <c r="QQ64" s="125"/>
      <c r="QR64" s="125"/>
      <c r="QS64" s="125"/>
      <c r="QT64" s="125"/>
      <c r="QU64" s="125"/>
      <c r="QV64" s="125"/>
      <c r="QW64" s="125"/>
      <c r="QX64" s="125"/>
      <c r="QY64" s="125"/>
      <c r="QZ64" s="125"/>
      <c r="RA64" s="125"/>
      <c r="RB64" s="125"/>
      <c r="RC64" s="125"/>
      <c r="RD64" s="125"/>
      <c r="RE64" s="125"/>
      <c r="RF64" s="125"/>
      <c r="RG64" s="125"/>
      <c r="RH64" s="125"/>
      <c r="RI64" s="125"/>
      <c r="RJ64" s="125"/>
      <c r="RK64" s="125"/>
      <c r="RL64" s="125"/>
      <c r="RM64" s="125"/>
      <c r="RN64" s="125"/>
      <c r="RO64" s="125"/>
      <c r="RP64" s="125"/>
      <c r="RQ64" s="125"/>
      <c r="RR64" s="125"/>
      <c r="RS64" s="125"/>
      <c r="RT64" s="125"/>
      <c r="RU64" s="125"/>
      <c r="RV64" s="125"/>
      <c r="RW64" s="125"/>
      <c r="RX64" s="125"/>
      <c r="RY64" s="125"/>
      <c r="RZ64" s="125"/>
      <c r="SA64" s="125"/>
      <c r="SB64" s="125"/>
      <c r="SC64" s="125"/>
      <c r="SD64" s="125"/>
      <c r="SE64" s="125"/>
      <c r="SF64" s="125"/>
      <c r="SG64" s="125"/>
      <c r="SH64" s="125"/>
      <c r="SI64" s="125"/>
      <c r="SJ64" s="125"/>
      <c r="SK64" s="125"/>
      <c r="SL64" s="125"/>
      <c r="SM64" s="125"/>
      <c r="SN64" s="125"/>
      <c r="SO64" s="125"/>
      <c r="SP64" s="125"/>
      <c r="SQ64" s="125"/>
      <c r="SR64" s="125"/>
      <c r="SS64" s="125"/>
      <c r="ST64" s="125"/>
      <c r="SU64" s="125"/>
      <c r="SV64" s="125"/>
      <c r="SW64" s="125"/>
    </row>
    <row r="65" customFormat="false" ht="14.25" hidden="false" customHeight="false" outlineLevel="0" collapsed="false">
      <c r="C65" s="124"/>
      <c r="D65" s="125"/>
      <c r="E65" s="125"/>
      <c r="F65" s="125"/>
      <c r="G65" s="125"/>
      <c r="H65" s="125"/>
      <c r="I65" s="126"/>
      <c r="J65" s="126"/>
      <c r="K65" s="126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  <c r="AA65" s="125"/>
      <c r="AB65" s="125"/>
      <c r="AC65" s="125"/>
      <c r="AD65" s="125"/>
      <c r="AE65" s="125"/>
      <c r="AF65" s="125"/>
      <c r="AG65" s="125"/>
      <c r="AH65" s="125"/>
      <c r="AI65" s="125"/>
      <c r="AJ65" s="125"/>
      <c r="AK65" s="125"/>
      <c r="AL65" s="125"/>
      <c r="AM65" s="125"/>
      <c r="AN65" s="125"/>
      <c r="AO65" s="125"/>
      <c r="AP65" s="125"/>
      <c r="AQ65" s="125"/>
      <c r="AR65" s="125"/>
      <c r="AS65" s="125"/>
      <c r="AT65" s="125"/>
      <c r="AU65" s="125"/>
      <c r="AV65" s="125"/>
      <c r="AW65" s="125"/>
      <c r="AX65" s="125"/>
      <c r="AY65" s="125"/>
      <c r="AZ65" s="125"/>
      <c r="BA65" s="125"/>
      <c r="BB65" s="125"/>
      <c r="BC65" s="125"/>
      <c r="BD65" s="125"/>
      <c r="BE65" s="125"/>
      <c r="BF65" s="125"/>
      <c r="BG65" s="125"/>
      <c r="BH65" s="125"/>
      <c r="BI65" s="125"/>
      <c r="BJ65" s="125"/>
      <c r="BK65" s="125"/>
      <c r="BL65" s="125"/>
      <c r="BM65" s="125"/>
      <c r="BN65" s="125"/>
      <c r="BO65" s="125"/>
      <c r="BP65" s="125"/>
      <c r="BQ65" s="125"/>
      <c r="BR65" s="125"/>
      <c r="BS65" s="125"/>
      <c r="BT65" s="125"/>
      <c r="BU65" s="125"/>
      <c r="BV65" s="125"/>
      <c r="BW65" s="125"/>
      <c r="BX65" s="125"/>
      <c r="BY65" s="125"/>
      <c r="BZ65" s="125"/>
      <c r="CA65" s="125"/>
      <c r="CB65" s="125"/>
      <c r="CC65" s="125"/>
      <c r="CD65" s="125"/>
      <c r="CE65" s="125"/>
      <c r="CF65" s="125"/>
      <c r="CG65" s="125"/>
      <c r="CH65" s="125"/>
      <c r="CI65" s="125"/>
      <c r="CJ65" s="125"/>
      <c r="CK65" s="125"/>
      <c r="CL65" s="125"/>
      <c r="CM65" s="125"/>
      <c r="CN65" s="125"/>
      <c r="CO65" s="125"/>
      <c r="CP65" s="125"/>
      <c r="CQ65" s="125"/>
      <c r="CR65" s="125"/>
      <c r="CS65" s="125"/>
      <c r="CT65" s="125"/>
      <c r="CU65" s="125"/>
      <c r="CV65" s="125"/>
      <c r="CW65" s="125"/>
      <c r="CX65" s="125"/>
      <c r="CY65" s="125"/>
      <c r="CZ65" s="125"/>
      <c r="DA65" s="125"/>
      <c r="DB65" s="125"/>
      <c r="DC65" s="125"/>
      <c r="DD65" s="125"/>
      <c r="DE65" s="125"/>
      <c r="DF65" s="125"/>
      <c r="DG65" s="125"/>
      <c r="DH65" s="125"/>
      <c r="DI65" s="125"/>
      <c r="DJ65" s="125"/>
      <c r="DK65" s="125"/>
      <c r="DL65" s="125"/>
      <c r="DM65" s="125"/>
      <c r="DN65" s="125"/>
      <c r="DO65" s="125"/>
      <c r="DP65" s="125"/>
      <c r="DQ65" s="125"/>
      <c r="DR65" s="125"/>
      <c r="DS65" s="125"/>
      <c r="DT65" s="125"/>
      <c r="DU65" s="125"/>
      <c r="DV65" s="125"/>
      <c r="DW65" s="125"/>
      <c r="DX65" s="125"/>
      <c r="DY65" s="125"/>
      <c r="DZ65" s="125"/>
      <c r="EA65" s="125"/>
      <c r="EB65" s="125"/>
      <c r="EC65" s="125"/>
      <c r="ED65" s="125"/>
      <c r="EE65" s="125"/>
      <c r="EF65" s="125"/>
      <c r="EG65" s="125"/>
      <c r="EH65" s="125"/>
      <c r="EI65" s="125"/>
      <c r="EJ65" s="125"/>
      <c r="EK65" s="125"/>
      <c r="EL65" s="125"/>
      <c r="EM65" s="125"/>
      <c r="EN65" s="125"/>
      <c r="EO65" s="125"/>
      <c r="EP65" s="125"/>
      <c r="EQ65" s="125"/>
      <c r="ER65" s="125"/>
      <c r="ES65" s="125"/>
      <c r="ET65" s="125"/>
      <c r="EU65" s="125"/>
      <c r="EV65" s="125"/>
      <c r="EW65" s="125"/>
      <c r="EX65" s="125"/>
      <c r="EY65" s="125"/>
      <c r="EZ65" s="125"/>
      <c r="FA65" s="125"/>
      <c r="FB65" s="125"/>
      <c r="FC65" s="125"/>
      <c r="FD65" s="125"/>
      <c r="FE65" s="125"/>
      <c r="FF65" s="125"/>
      <c r="FG65" s="125"/>
      <c r="FH65" s="125"/>
      <c r="FI65" s="125"/>
      <c r="FJ65" s="125"/>
      <c r="FK65" s="125"/>
      <c r="FL65" s="125"/>
      <c r="FM65" s="125"/>
      <c r="FN65" s="125"/>
      <c r="FO65" s="125"/>
      <c r="FP65" s="125"/>
      <c r="FQ65" s="125"/>
      <c r="FR65" s="125"/>
      <c r="FS65" s="125"/>
      <c r="FT65" s="125"/>
      <c r="FU65" s="125"/>
      <c r="FV65" s="125"/>
      <c r="FW65" s="125"/>
      <c r="FX65" s="125"/>
      <c r="FY65" s="125"/>
      <c r="FZ65" s="125"/>
      <c r="GA65" s="125"/>
      <c r="GB65" s="125"/>
      <c r="GC65" s="125"/>
      <c r="GD65" s="125"/>
      <c r="GE65" s="125"/>
      <c r="GF65" s="125"/>
      <c r="GG65" s="125"/>
      <c r="GH65" s="125"/>
      <c r="GI65" s="125"/>
      <c r="GJ65" s="125"/>
      <c r="GK65" s="125"/>
      <c r="GL65" s="125"/>
      <c r="GM65" s="125"/>
      <c r="GN65" s="125"/>
      <c r="GO65" s="125"/>
      <c r="GP65" s="125"/>
      <c r="GQ65" s="125"/>
      <c r="GR65" s="125"/>
      <c r="GS65" s="125"/>
      <c r="GT65" s="125"/>
      <c r="GU65" s="125"/>
      <c r="GV65" s="125"/>
      <c r="GW65" s="125"/>
      <c r="GX65" s="125"/>
      <c r="GY65" s="125"/>
      <c r="GZ65" s="125"/>
      <c r="HA65" s="125"/>
      <c r="HB65" s="125"/>
      <c r="HC65" s="125"/>
      <c r="HD65" s="125"/>
      <c r="HE65" s="125"/>
      <c r="HF65" s="125"/>
      <c r="HG65" s="125"/>
      <c r="HH65" s="125"/>
      <c r="HI65" s="125"/>
      <c r="HJ65" s="125"/>
      <c r="HK65" s="125"/>
      <c r="HL65" s="125"/>
      <c r="HM65" s="125"/>
      <c r="HN65" s="125"/>
      <c r="HO65" s="125"/>
      <c r="HP65" s="125"/>
      <c r="HQ65" s="125"/>
      <c r="HR65" s="125"/>
      <c r="HS65" s="125"/>
      <c r="HT65" s="125"/>
      <c r="HU65" s="125"/>
      <c r="HV65" s="125"/>
      <c r="HW65" s="125"/>
      <c r="HX65" s="125"/>
      <c r="HY65" s="125"/>
      <c r="HZ65" s="125"/>
      <c r="IA65" s="125"/>
      <c r="IB65" s="125"/>
      <c r="IC65" s="125"/>
      <c r="ID65" s="125"/>
      <c r="IE65" s="125"/>
      <c r="IF65" s="125"/>
      <c r="IG65" s="125"/>
      <c r="IH65" s="125"/>
      <c r="II65" s="125"/>
      <c r="IJ65" s="125"/>
      <c r="IK65" s="125"/>
      <c r="IL65" s="125"/>
      <c r="IM65" s="125"/>
      <c r="IN65" s="125"/>
      <c r="IO65" s="125"/>
      <c r="IP65" s="125"/>
      <c r="IQ65" s="125"/>
      <c r="IR65" s="125"/>
      <c r="IS65" s="125"/>
      <c r="IT65" s="125"/>
      <c r="IU65" s="125"/>
      <c r="IV65" s="125"/>
      <c r="IW65" s="125"/>
      <c r="IX65" s="125"/>
      <c r="IY65" s="125"/>
      <c r="IZ65" s="125"/>
      <c r="JA65" s="125"/>
      <c r="JB65" s="125"/>
      <c r="JC65" s="125"/>
      <c r="JD65" s="125"/>
      <c r="JE65" s="125"/>
      <c r="JF65" s="125"/>
      <c r="JG65" s="125"/>
      <c r="JH65" s="125"/>
      <c r="JI65" s="125"/>
      <c r="JJ65" s="125"/>
      <c r="JK65" s="125"/>
      <c r="JL65" s="125"/>
      <c r="JM65" s="125"/>
      <c r="JN65" s="125"/>
      <c r="JO65" s="125"/>
      <c r="JP65" s="125"/>
      <c r="JQ65" s="125"/>
      <c r="JR65" s="125"/>
      <c r="JS65" s="125"/>
      <c r="JT65" s="125"/>
      <c r="JU65" s="125"/>
      <c r="JV65" s="125"/>
      <c r="JW65" s="125"/>
      <c r="JX65" s="125"/>
      <c r="JY65" s="125"/>
      <c r="JZ65" s="125"/>
      <c r="KA65" s="125"/>
      <c r="KB65" s="125"/>
      <c r="KC65" s="125"/>
      <c r="KD65" s="125"/>
      <c r="KE65" s="125"/>
      <c r="KF65" s="125"/>
      <c r="KG65" s="125"/>
      <c r="KH65" s="125"/>
      <c r="KI65" s="125"/>
      <c r="KJ65" s="125"/>
      <c r="KK65" s="125"/>
      <c r="KL65" s="125"/>
      <c r="KM65" s="125"/>
      <c r="KN65" s="125"/>
      <c r="KO65" s="125"/>
      <c r="KP65" s="125"/>
      <c r="KQ65" s="125"/>
      <c r="KR65" s="125"/>
      <c r="KS65" s="125"/>
      <c r="KT65" s="125"/>
      <c r="KU65" s="125"/>
      <c r="KV65" s="125"/>
      <c r="KW65" s="125"/>
      <c r="KX65" s="125"/>
      <c r="KY65" s="125"/>
      <c r="KZ65" s="125"/>
      <c r="LA65" s="125"/>
      <c r="LB65" s="125"/>
      <c r="LC65" s="125"/>
      <c r="LD65" s="125"/>
      <c r="LE65" s="125"/>
      <c r="LF65" s="125"/>
      <c r="LG65" s="125"/>
      <c r="LH65" s="125"/>
      <c r="LI65" s="125"/>
      <c r="LJ65" s="125"/>
      <c r="LK65" s="125"/>
      <c r="LL65" s="125"/>
      <c r="LM65" s="125"/>
      <c r="LN65" s="125"/>
      <c r="LO65" s="125"/>
      <c r="LP65" s="125"/>
      <c r="LQ65" s="125"/>
      <c r="LR65" s="125"/>
      <c r="LS65" s="125"/>
      <c r="LT65" s="125"/>
      <c r="LU65" s="125"/>
      <c r="LV65" s="125"/>
      <c r="LW65" s="125"/>
      <c r="LX65" s="125"/>
      <c r="LY65" s="125"/>
      <c r="LZ65" s="125"/>
      <c r="MA65" s="125"/>
      <c r="MB65" s="125"/>
      <c r="MC65" s="125"/>
      <c r="MD65" s="125"/>
      <c r="ME65" s="125"/>
      <c r="MF65" s="125"/>
      <c r="MG65" s="125"/>
      <c r="MH65" s="125"/>
      <c r="MI65" s="125"/>
      <c r="MJ65" s="125"/>
      <c r="MK65" s="125"/>
      <c r="ML65" s="125"/>
      <c r="MM65" s="125"/>
      <c r="MN65" s="125"/>
      <c r="MO65" s="125"/>
      <c r="MP65" s="125"/>
      <c r="MQ65" s="125"/>
      <c r="MR65" s="125"/>
      <c r="MS65" s="125"/>
      <c r="MT65" s="125"/>
      <c r="MU65" s="125"/>
      <c r="MV65" s="125"/>
      <c r="MW65" s="125"/>
      <c r="MX65" s="125"/>
      <c r="MY65" s="125"/>
      <c r="MZ65" s="125"/>
      <c r="NA65" s="125"/>
      <c r="NB65" s="125"/>
      <c r="NC65" s="125"/>
      <c r="ND65" s="125"/>
      <c r="NE65" s="125"/>
      <c r="NF65" s="125"/>
      <c r="NG65" s="125"/>
      <c r="NH65" s="125"/>
      <c r="NI65" s="125"/>
      <c r="NJ65" s="125"/>
      <c r="NK65" s="125"/>
      <c r="NL65" s="125"/>
      <c r="NM65" s="125"/>
      <c r="NN65" s="125"/>
      <c r="NO65" s="125"/>
      <c r="NP65" s="125"/>
      <c r="NQ65" s="125"/>
      <c r="NR65" s="125"/>
      <c r="NS65" s="125"/>
      <c r="NT65" s="125"/>
      <c r="NU65" s="125"/>
      <c r="NV65" s="125"/>
      <c r="NW65" s="125"/>
      <c r="NX65" s="125"/>
      <c r="NY65" s="125"/>
      <c r="NZ65" s="125"/>
      <c r="OA65" s="125"/>
      <c r="OB65" s="125"/>
      <c r="OC65" s="125"/>
      <c r="OD65" s="125"/>
      <c r="OE65" s="125"/>
      <c r="OF65" s="125"/>
      <c r="OG65" s="125"/>
      <c r="OH65" s="125"/>
      <c r="OI65" s="125"/>
      <c r="OJ65" s="125"/>
      <c r="OK65" s="125"/>
      <c r="OL65" s="125"/>
      <c r="OM65" s="125"/>
      <c r="ON65" s="125"/>
      <c r="OO65" s="125"/>
      <c r="OP65" s="125"/>
      <c r="OQ65" s="125"/>
      <c r="OR65" s="125"/>
      <c r="OS65" s="125"/>
      <c r="OT65" s="125"/>
      <c r="OU65" s="125"/>
      <c r="OV65" s="125"/>
      <c r="OW65" s="125"/>
      <c r="OX65" s="125"/>
      <c r="OY65" s="125"/>
      <c r="OZ65" s="125"/>
      <c r="PA65" s="125"/>
      <c r="PB65" s="125"/>
      <c r="PC65" s="125"/>
      <c r="PD65" s="125"/>
      <c r="PE65" s="125"/>
      <c r="PF65" s="125"/>
      <c r="PG65" s="125"/>
      <c r="PH65" s="125"/>
      <c r="PI65" s="125"/>
      <c r="PJ65" s="125"/>
      <c r="PK65" s="125"/>
      <c r="PL65" s="125"/>
      <c r="PM65" s="125"/>
      <c r="PN65" s="125"/>
      <c r="PO65" s="125"/>
      <c r="PP65" s="125"/>
      <c r="PQ65" s="125"/>
      <c r="PR65" s="125"/>
      <c r="PS65" s="125"/>
      <c r="PT65" s="125"/>
      <c r="PU65" s="125"/>
      <c r="PV65" s="125"/>
      <c r="PW65" s="125"/>
      <c r="PX65" s="125"/>
      <c r="PY65" s="125"/>
      <c r="PZ65" s="125"/>
      <c r="QA65" s="125"/>
      <c r="QB65" s="125"/>
      <c r="QC65" s="125"/>
      <c r="QD65" s="125"/>
      <c r="QE65" s="125"/>
      <c r="QF65" s="125"/>
      <c r="QG65" s="125"/>
      <c r="QH65" s="125"/>
      <c r="QI65" s="125"/>
      <c r="QJ65" s="125"/>
      <c r="QK65" s="125"/>
      <c r="QL65" s="125"/>
      <c r="QM65" s="125"/>
      <c r="QN65" s="125"/>
      <c r="QO65" s="125"/>
      <c r="QP65" s="125"/>
      <c r="QQ65" s="125"/>
      <c r="QR65" s="125"/>
      <c r="QS65" s="125"/>
      <c r="QT65" s="125"/>
      <c r="QU65" s="125"/>
      <c r="QV65" s="125"/>
      <c r="QW65" s="125"/>
      <c r="QX65" s="125"/>
      <c r="QY65" s="125"/>
      <c r="QZ65" s="125"/>
      <c r="RA65" s="125"/>
      <c r="RB65" s="125"/>
      <c r="RC65" s="125"/>
      <c r="RD65" s="125"/>
      <c r="RE65" s="125"/>
      <c r="RF65" s="125"/>
      <c r="RG65" s="125"/>
      <c r="RH65" s="125"/>
      <c r="RI65" s="125"/>
      <c r="RJ65" s="125"/>
      <c r="RK65" s="125"/>
      <c r="RL65" s="125"/>
      <c r="RM65" s="125"/>
      <c r="RN65" s="125"/>
      <c r="RO65" s="125"/>
      <c r="RP65" s="125"/>
      <c r="RQ65" s="125"/>
      <c r="RR65" s="125"/>
      <c r="RS65" s="125"/>
      <c r="RT65" s="125"/>
      <c r="RU65" s="125"/>
      <c r="RV65" s="125"/>
      <c r="RW65" s="125"/>
      <c r="RX65" s="125"/>
      <c r="RY65" s="125"/>
      <c r="RZ65" s="125"/>
      <c r="SA65" s="125"/>
      <c r="SB65" s="125"/>
      <c r="SC65" s="125"/>
      <c r="SD65" s="125"/>
      <c r="SE65" s="125"/>
      <c r="SF65" s="125"/>
      <c r="SG65" s="125"/>
      <c r="SH65" s="125"/>
      <c r="SI65" s="125"/>
      <c r="SJ65" s="125"/>
      <c r="SK65" s="125"/>
      <c r="SL65" s="125"/>
      <c r="SM65" s="125"/>
      <c r="SN65" s="125"/>
      <c r="SO65" s="125"/>
      <c r="SP65" s="125"/>
      <c r="SQ65" s="125"/>
      <c r="SR65" s="125"/>
      <c r="SS65" s="125"/>
      <c r="ST65" s="125"/>
      <c r="SU65" s="125"/>
      <c r="SV65" s="125"/>
      <c r="SW65" s="125"/>
    </row>
    <row r="66" customFormat="false" ht="14.25" hidden="false" customHeight="false" outlineLevel="0" collapsed="false">
      <c r="C66" s="124"/>
      <c r="D66" s="125"/>
      <c r="E66" s="125"/>
      <c r="F66" s="125"/>
      <c r="G66" s="125"/>
      <c r="H66" s="125"/>
      <c r="I66" s="126"/>
      <c r="J66" s="126"/>
      <c r="K66" s="126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5"/>
      <c r="AH66" s="125"/>
      <c r="AI66" s="125"/>
      <c r="AJ66" s="125"/>
      <c r="AK66" s="125"/>
      <c r="AL66" s="125"/>
      <c r="AM66" s="125"/>
      <c r="AN66" s="125"/>
      <c r="AO66" s="125"/>
      <c r="AP66" s="125"/>
      <c r="AQ66" s="125"/>
      <c r="AR66" s="125"/>
      <c r="AS66" s="125"/>
      <c r="AT66" s="125"/>
      <c r="AU66" s="125"/>
      <c r="AV66" s="125"/>
      <c r="AW66" s="125"/>
      <c r="AX66" s="125"/>
      <c r="AY66" s="125"/>
      <c r="AZ66" s="125"/>
      <c r="BA66" s="125"/>
      <c r="BB66" s="125"/>
      <c r="BC66" s="125"/>
      <c r="BD66" s="125"/>
      <c r="BE66" s="125"/>
      <c r="BF66" s="125"/>
      <c r="BG66" s="125"/>
      <c r="BH66" s="125"/>
      <c r="BI66" s="125"/>
      <c r="BJ66" s="125"/>
      <c r="BK66" s="125"/>
      <c r="BL66" s="125"/>
      <c r="BM66" s="125"/>
      <c r="BN66" s="125"/>
      <c r="BO66" s="125"/>
      <c r="BP66" s="125"/>
      <c r="BQ66" s="125"/>
      <c r="BR66" s="125"/>
      <c r="BS66" s="125"/>
      <c r="BT66" s="125"/>
      <c r="BU66" s="125"/>
      <c r="BV66" s="125"/>
      <c r="BW66" s="125"/>
      <c r="BX66" s="125"/>
      <c r="BY66" s="125"/>
      <c r="BZ66" s="125"/>
      <c r="CA66" s="125"/>
      <c r="CB66" s="125"/>
      <c r="CC66" s="125"/>
      <c r="CD66" s="125"/>
      <c r="CE66" s="125"/>
      <c r="CF66" s="125"/>
      <c r="CG66" s="125"/>
      <c r="CH66" s="125"/>
      <c r="CI66" s="125"/>
      <c r="CJ66" s="125"/>
      <c r="CK66" s="125"/>
      <c r="CL66" s="125"/>
      <c r="CM66" s="125"/>
      <c r="CN66" s="125"/>
      <c r="CO66" s="125"/>
      <c r="CP66" s="125"/>
      <c r="CQ66" s="125"/>
      <c r="CR66" s="125"/>
      <c r="CS66" s="125"/>
      <c r="CT66" s="125"/>
      <c r="CU66" s="125"/>
      <c r="CV66" s="125"/>
      <c r="CW66" s="125"/>
      <c r="CX66" s="125"/>
      <c r="CY66" s="125"/>
      <c r="CZ66" s="125"/>
      <c r="DA66" s="125"/>
      <c r="DB66" s="125"/>
      <c r="DC66" s="125"/>
      <c r="DD66" s="125"/>
      <c r="DE66" s="125"/>
      <c r="DF66" s="125"/>
      <c r="DG66" s="125"/>
      <c r="DH66" s="125"/>
      <c r="DI66" s="125"/>
      <c r="DJ66" s="125"/>
      <c r="DK66" s="125"/>
      <c r="DL66" s="125"/>
      <c r="DM66" s="125"/>
      <c r="DN66" s="125"/>
      <c r="DO66" s="125"/>
      <c r="DP66" s="125"/>
      <c r="DQ66" s="125"/>
      <c r="DR66" s="125"/>
      <c r="DS66" s="125"/>
      <c r="DT66" s="125"/>
      <c r="DU66" s="125"/>
      <c r="DV66" s="125"/>
      <c r="DW66" s="125"/>
      <c r="DX66" s="125"/>
      <c r="DY66" s="125"/>
      <c r="DZ66" s="125"/>
      <c r="EA66" s="125"/>
      <c r="EB66" s="125"/>
      <c r="EC66" s="125"/>
      <c r="ED66" s="125"/>
      <c r="EE66" s="125"/>
      <c r="EF66" s="125"/>
      <c r="EG66" s="125"/>
      <c r="EH66" s="125"/>
      <c r="EI66" s="125"/>
      <c r="EJ66" s="125"/>
      <c r="EK66" s="125"/>
      <c r="EL66" s="125"/>
      <c r="EM66" s="125"/>
      <c r="EN66" s="125"/>
      <c r="EO66" s="125"/>
      <c r="EP66" s="125"/>
      <c r="EQ66" s="125"/>
      <c r="ER66" s="125"/>
      <c r="ES66" s="125"/>
      <c r="ET66" s="125"/>
      <c r="EU66" s="125"/>
      <c r="EV66" s="125"/>
      <c r="EW66" s="125"/>
      <c r="EX66" s="125"/>
      <c r="EY66" s="125"/>
      <c r="EZ66" s="125"/>
      <c r="FA66" s="125"/>
      <c r="FB66" s="125"/>
      <c r="FC66" s="125"/>
      <c r="FD66" s="125"/>
      <c r="FE66" s="125"/>
      <c r="FF66" s="125"/>
      <c r="FG66" s="125"/>
      <c r="FH66" s="125"/>
      <c r="FI66" s="125"/>
      <c r="FJ66" s="125"/>
      <c r="FK66" s="125"/>
      <c r="FL66" s="125"/>
      <c r="FM66" s="125"/>
      <c r="FN66" s="125"/>
      <c r="FO66" s="125"/>
      <c r="FP66" s="125"/>
      <c r="FQ66" s="125"/>
      <c r="FR66" s="125"/>
      <c r="FS66" s="125"/>
      <c r="FT66" s="125"/>
      <c r="FU66" s="125"/>
      <c r="FV66" s="125"/>
      <c r="FW66" s="125"/>
      <c r="FX66" s="125"/>
      <c r="FY66" s="125"/>
      <c r="FZ66" s="125"/>
      <c r="GA66" s="125"/>
      <c r="GB66" s="125"/>
      <c r="GC66" s="125"/>
      <c r="GD66" s="125"/>
      <c r="GE66" s="125"/>
      <c r="GF66" s="125"/>
      <c r="GG66" s="125"/>
      <c r="GH66" s="125"/>
      <c r="GI66" s="125"/>
      <c r="GJ66" s="125"/>
      <c r="GK66" s="125"/>
      <c r="GL66" s="125"/>
      <c r="GM66" s="125"/>
      <c r="GN66" s="125"/>
      <c r="GO66" s="125"/>
      <c r="GP66" s="125"/>
      <c r="GQ66" s="125"/>
      <c r="GR66" s="125"/>
      <c r="GS66" s="125"/>
      <c r="GT66" s="125"/>
      <c r="GU66" s="125"/>
      <c r="GV66" s="125"/>
      <c r="GW66" s="125"/>
      <c r="GX66" s="125"/>
      <c r="GY66" s="125"/>
      <c r="GZ66" s="125"/>
      <c r="HA66" s="125"/>
      <c r="HB66" s="125"/>
      <c r="HC66" s="125"/>
      <c r="HD66" s="125"/>
      <c r="HE66" s="125"/>
      <c r="HF66" s="125"/>
      <c r="HG66" s="125"/>
      <c r="HH66" s="125"/>
      <c r="HI66" s="125"/>
      <c r="HJ66" s="125"/>
      <c r="HK66" s="125"/>
      <c r="HL66" s="125"/>
      <c r="HM66" s="125"/>
      <c r="HN66" s="125"/>
      <c r="HO66" s="125"/>
      <c r="HP66" s="125"/>
      <c r="HQ66" s="125"/>
      <c r="HR66" s="125"/>
      <c r="HS66" s="125"/>
      <c r="HT66" s="125"/>
      <c r="HU66" s="125"/>
      <c r="HV66" s="125"/>
      <c r="HW66" s="125"/>
      <c r="HX66" s="125"/>
      <c r="HY66" s="125"/>
      <c r="HZ66" s="125"/>
      <c r="IA66" s="125"/>
      <c r="IB66" s="125"/>
      <c r="IC66" s="125"/>
      <c r="ID66" s="125"/>
      <c r="IE66" s="125"/>
      <c r="IF66" s="125"/>
      <c r="IG66" s="125"/>
      <c r="IH66" s="125"/>
      <c r="II66" s="125"/>
      <c r="IJ66" s="125"/>
      <c r="IK66" s="125"/>
      <c r="IL66" s="125"/>
      <c r="IM66" s="125"/>
      <c r="IN66" s="125"/>
      <c r="IO66" s="125"/>
      <c r="IP66" s="125"/>
      <c r="IQ66" s="125"/>
      <c r="IR66" s="125"/>
      <c r="IS66" s="125"/>
      <c r="IT66" s="125"/>
      <c r="IU66" s="125"/>
      <c r="IV66" s="125"/>
      <c r="IW66" s="125"/>
      <c r="IX66" s="125"/>
      <c r="IY66" s="125"/>
      <c r="IZ66" s="125"/>
      <c r="JA66" s="125"/>
      <c r="JB66" s="125"/>
      <c r="JC66" s="125"/>
      <c r="JD66" s="125"/>
      <c r="JE66" s="125"/>
      <c r="JF66" s="125"/>
      <c r="JG66" s="125"/>
      <c r="JH66" s="125"/>
      <c r="JI66" s="125"/>
      <c r="JJ66" s="125"/>
      <c r="JK66" s="125"/>
      <c r="JL66" s="125"/>
      <c r="JM66" s="125"/>
      <c r="JN66" s="125"/>
      <c r="JO66" s="125"/>
      <c r="JP66" s="125"/>
      <c r="JQ66" s="125"/>
      <c r="JR66" s="125"/>
      <c r="JS66" s="125"/>
      <c r="JT66" s="125"/>
      <c r="JU66" s="125"/>
      <c r="JV66" s="125"/>
      <c r="JW66" s="125"/>
      <c r="JX66" s="125"/>
      <c r="JY66" s="125"/>
      <c r="JZ66" s="125"/>
      <c r="KA66" s="125"/>
      <c r="KB66" s="125"/>
      <c r="KC66" s="125"/>
      <c r="KD66" s="125"/>
      <c r="KE66" s="125"/>
      <c r="KF66" s="125"/>
      <c r="KG66" s="125"/>
      <c r="KH66" s="125"/>
      <c r="KI66" s="125"/>
      <c r="KJ66" s="125"/>
      <c r="KK66" s="125"/>
      <c r="KL66" s="125"/>
      <c r="KM66" s="125"/>
      <c r="KN66" s="125"/>
      <c r="KO66" s="125"/>
      <c r="KP66" s="125"/>
      <c r="KQ66" s="125"/>
      <c r="KR66" s="125"/>
      <c r="KS66" s="125"/>
      <c r="KT66" s="125"/>
      <c r="KU66" s="125"/>
      <c r="KV66" s="125"/>
      <c r="KW66" s="125"/>
      <c r="KX66" s="125"/>
      <c r="KY66" s="125"/>
      <c r="KZ66" s="125"/>
      <c r="LA66" s="125"/>
      <c r="LB66" s="125"/>
      <c r="LC66" s="125"/>
      <c r="LD66" s="125"/>
      <c r="LE66" s="125"/>
      <c r="LF66" s="125"/>
      <c r="LG66" s="125"/>
      <c r="LH66" s="125"/>
      <c r="LI66" s="125"/>
      <c r="LJ66" s="125"/>
      <c r="LK66" s="125"/>
      <c r="LL66" s="125"/>
      <c r="LM66" s="125"/>
      <c r="LN66" s="125"/>
      <c r="LO66" s="125"/>
      <c r="LP66" s="125"/>
      <c r="LQ66" s="125"/>
      <c r="LR66" s="125"/>
      <c r="LS66" s="125"/>
      <c r="LT66" s="125"/>
      <c r="LU66" s="125"/>
      <c r="LV66" s="125"/>
      <c r="LW66" s="125"/>
      <c r="LX66" s="125"/>
      <c r="LY66" s="125"/>
      <c r="LZ66" s="125"/>
      <c r="MA66" s="125"/>
      <c r="MB66" s="125"/>
      <c r="MC66" s="125"/>
      <c r="MD66" s="125"/>
      <c r="ME66" s="125"/>
      <c r="MF66" s="125"/>
      <c r="MG66" s="125"/>
      <c r="MH66" s="125"/>
      <c r="MI66" s="125"/>
      <c r="MJ66" s="125"/>
      <c r="MK66" s="125"/>
      <c r="ML66" s="125"/>
      <c r="MM66" s="125"/>
      <c r="MN66" s="125"/>
      <c r="MO66" s="125"/>
      <c r="MP66" s="125"/>
      <c r="MQ66" s="125"/>
      <c r="MR66" s="125"/>
      <c r="MS66" s="125"/>
      <c r="MT66" s="125"/>
      <c r="MU66" s="125"/>
      <c r="MV66" s="125"/>
      <c r="MW66" s="125"/>
      <c r="MX66" s="125"/>
      <c r="MY66" s="125"/>
      <c r="MZ66" s="125"/>
      <c r="NA66" s="125"/>
      <c r="NB66" s="125"/>
      <c r="NC66" s="125"/>
      <c r="ND66" s="125"/>
      <c r="NE66" s="125"/>
      <c r="NF66" s="125"/>
      <c r="NG66" s="125"/>
      <c r="NH66" s="125"/>
      <c r="NI66" s="125"/>
      <c r="NJ66" s="125"/>
      <c r="NK66" s="125"/>
      <c r="NL66" s="125"/>
      <c r="NM66" s="125"/>
      <c r="NN66" s="125"/>
      <c r="NO66" s="125"/>
      <c r="NP66" s="125"/>
      <c r="NQ66" s="125"/>
      <c r="NR66" s="125"/>
      <c r="NS66" s="125"/>
      <c r="NT66" s="125"/>
      <c r="NU66" s="125"/>
      <c r="NV66" s="125"/>
      <c r="NW66" s="125"/>
      <c r="NX66" s="125"/>
      <c r="NY66" s="125"/>
      <c r="NZ66" s="125"/>
      <c r="OA66" s="125"/>
      <c r="OB66" s="125"/>
      <c r="OC66" s="125"/>
      <c r="OD66" s="125"/>
      <c r="OE66" s="125"/>
      <c r="OF66" s="125"/>
      <c r="OG66" s="125"/>
      <c r="OH66" s="125"/>
      <c r="OI66" s="125"/>
      <c r="OJ66" s="125"/>
      <c r="OK66" s="125"/>
      <c r="OL66" s="125"/>
      <c r="OM66" s="125"/>
      <c r="ON66" s="125"/>
      <c r="OO66" s="125"/>
      <c r="OP66" s="125"/>
      <c r="OQ66" s="125"/>
      <c r="OR66" s="125"/>
      <c r="OS66" s="125"/>
      <c r="OT66" s="125"/>
      <c r="OU66" s="125"/>
      <c r="OV66" s="125"/>
      <c r="OW66" s="125"/>
      <c r="OX66" s="125"/>
      <c r="OY66" s="125"/>
      <c r="OZ66" s="125"/>
      <c r="PA66" s="125"/>
      <c r="PB66" s="125"/>
      <c r="PC66" s="125"/>
      <c r="PD66" s="125"/>
      <c r="PE66" s="125"/>
      <c r="PF66" s="125"/>
      <c r="PG66" s="125"/>
      <c r="PH66" s="125"/>
      <c r="PI66" s="125"/>
      <c r="PJ66" s="125"/>
      <c r="PK66" s="125"/>
      <c r="PL66" s="125"/>
      <c r="PM66" s="125"/>
      <c r="PN66" s="125"/>
      <c r="PO66" s="125"/>
      <c r="PP66" s="125"/>
      <c r="PQ66" s="125"/>
      <c r="PR66" s="125"/>
      <c r="PS66" s="125"/>
      <c r="PT66" s="125"/>
      <c r="PU66" s="125"/>
      <c r="PV66" s="125"/>
      <c r="PW66" s="125"/>
      <c r="PX66" s="125"/>
      <c r="PY66" s="125"/>
      <c r="PZ66" s="125"/>
      <c r="QA66" s="125"/>
      <c r="QB66" s="125"/>
      <c r="QC66" s="125"/>
      <c r="QD66" s="125"/>
      <c r="QE66" s="125"/>
      <c r="QF66" s="125"/>
      <c r="QG66" s="125"/>
      <c r="QH66" s="125"/>
      <c r="QI66" s="125"/>
      <c r="QJ66" s="125"/>
      <c r="QK66" s="125"/>
      <c r="QL66" s="125"/>
      <c r="QM66" s="125"/>
      <c r="QN66" s="125"/>
      <c r="QO66" s="125"/>
      <c r="QP66" s="125"/>
      <c r="QQ66" s="125"/>
      <c r="QR66" s="125"/>
      <c r="QS66" s="125"/>
      <c r="QT66" s="125"/>
      <c r="QU66" s="125"/>
      <c r="QV66" s="125"/>
      <c r="QW66" s="125"/>
      <c r="QX66" s="125"/>
      <c r="QY66" s="125"/>
      <c r="QZ66" s="125"/>
      <c r="RA66" s="125"/>
      <c r="RB66" s="125"/>
      <c r="RC66" s="125"/>
      <c r="RD66" s="125"/>
      <c r="RE66" s="125"/>
      <c r="RF66" s="125"/>
      <c r="RG66" s="125"/>
      <c r="RH66" s="125"/>
      <c r="RI66" s="125"/>
      <c r="RJ66" s="125"/>
      <c r="RK66" s="125"/>
      <c r="RL66" s="125"/>
      <c r="RM66" s="125"/>
      <c r="RN66" s="125"/>
      <c r="RO66" s="125"/>
      <c r="RP66" s="125"/>
      <c r="RQ66" s="125"/>
      <c r="RR66" s="125"/>
      <c r="RS66" s="125"/>
      <c r="RT66" s="125"/>
      <c r="RU66" s="125"/>
      <c r="RV66" s="125"/>
      <c r="RW66" s="125"/>
      <c r="RX66" s="125"/>
      <c r="RY66" s="125"/>
      <c r="RZ66" s="125"/>
      <c r="SA66" s="125"/>
      <c r="SB66" s="125"/>
      <c r="SC66" s="125"/>
      <c r="SD66" s="125"/>
      <c r="SE66" s="125"/>
      <c r="SF66" s="125"/>
      <c r="SG66" s="125"/>
      <c r="SH66" s="125"/>
      <c r="SI66" s="125"/>
      <c r="SJ66" s="125"/>
      <c r="SK66" s="125"/>
      <c r="SL66" s="125"/>
      <c r="SM66" s="125"/>
      <c r="SN66" s="125"/>
      <c r="SO66" s="125"/>
      <c r="SP66" s="125"/>
      <c r="SQ66" s="125"/>
      <c r="SR66" s="125"/>
      <c r="SS66" s="125"/>
      <c r="ST66" s="125"/>
      <c r="SU66" s="125"/>
      <c r="SV66" s="125"/>
      <c r="SW66" s="125"/>
    </row>
    <row r="67" customFormat="false" ht="14.25" hidden="false" customHeight="false" outlineLevel="0" collapsed="false">
      <c r="C67" s="124"/>
      <c r="D67" s="125"/>
      <c r="E67" s="125"/>
      <c r="F67" s="125"/>
      <c r="G67" s="125"/>
      <c r="H67" s="125"/>
      <c r="I67" s="126"/>
      <c r="J67" s="126"/>
      <c r="K67" s="126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5"/>
      <c r="AH67" s="125"/>
      <c r="AI67" s="125"/>
      <c r="AJ67" s="125"/>
      <c r="AK67" s="125"/>
      <c r="AL67" s="125"/>
      <c r="AM67" s="125"/>
      <c r="AN67" s="125"/>
      <c r="AO67" s="125"/>
      <c r="AP67" s="125"/>
      <c r="AQ67" s="125"/>
      <c r="AR67" s="125"/>
      <c r="AS67" s="125"/>
      <c r="AT67" s="125"/>
      <c r="AU67" s="125"/>
      <c r="AV67" s="125"/>
      <c r="AW67" s="125"/>
      <c r="AX67" s="125"/>
      <c r="AY67" s="125"/>
      <c r="AZ67" s="125"/>
      <c r="BA67" s="125"/>
      <c r="BB67" s="125"/>
      <c r="BC67" s="125"/>
      <c r="BD67" s="125"/>
      <c r="BE67" s="125"/>
      <c r="BF67" s="125"/>
      <c r="BG67" s="125"/>
      <c r="BH67" s="125"/>
      <c r="BI67" s="125"/>
      <c r="BJ67" s="125"/>
      <c r="BK67" s="125"/>
      <c r="BL67" s="125"/>
      <c r="BM67" s="125"/>
      <c r="BN67" s="125"/>
      <c r="BO67" s="125"/>
      <c r="BP67" s="125"/>
      <c r="BQ67" s="125"/>
      <c r="BR67" s="125"/>
      <c r="BS67" s="125"/>
      <c r="BT67" s="125"/>
      <c r="BU67" s="125"/>
      <c r="BV67" s="125"/>
      <c r="BW67" s="125"/>
      <c r="BX67" s="125"/>
      <c r="BY67" s="125"/>
      <c r="BZ67" s="125"/>
      <c r="CA67" s="125"/>
      <c r="CB67" s="125"/>
      <c r="CC67" s="125"/>
      <c r="CD67" s="125"/>
      <c r="CE67" s="125"/>
      <c r="CF67" s="125"/>
      <c r="CG67" s="125"/>
      <c r="CH67" s="125"/>
      <c r="CI67" s="125"/>
      <c r="CJ67" s="125"/>
      <c r="CK67" s="125"/>
      <c r="CL67" s="125"/>
      <c r="CM67" s="125"/>
      <c r="CN67" s="125"/>
      <c r="CO67" s="125"/>
      <c r="CP67" s="125"/>
      <c r="CQ67" s="125"/>
      <c r="CR67" s="125"/>
      <c r="CS67" s="125"/>
      <c r="CT67" s="125"/>
      <c r="CU67" s="125"/>
      <c r="CV67" s="125"/>
      <c r="CW67" s="125"/>
      <c r="CX67" s="125"/>
      <c r="CY67" s="125"/>
      <c r="CZ67" s="125"/>
      <c r="DA67" s="125"/>
      <c r="DB67" s="125"/>
      <c r="DC67" s="125"/>
      <c r="DD67" s="125"/>
      <c r="DE67" s="125"/>
      <c r="DF67" s="125"/>
      <c r="DG67" s="125"/>
      <c r="DH67" s="125"/>
      <c r="DI67" s="125"/>
      <c r="DJ67" s="125"/>
      <c r="DK67" s="125"/>
      <c r="DL67" s="125"/>
      <c r="DM67" s="125"/>
      <c r="DN67" s="125"/>
      <c r="DO67" s="125"/>
      <c r="DP67" s="125"/>
      <c r="DQ67" s="125"/>
      <c r="DR67" s="125"/>
      <c r="DS67" s="125"/>
      <c r="DT67" s="125"/>
      <c r="DU67" s="125"/>
      <c r="DV67" s="125"/>
      <c r="DW67" s="125"/>
      <c r="DX67" s="125"/>
      <c r="DY67" s="125"/>
      <c r="DZ67" s="125"/>
      <c r="EA67" s="125"/>
      <c r="EB67" s="125"/>
      <c r="EC67" s="125"/>
      <c r="ED67" s="125"/>
      <c r="EE67" s="125"/>
      <c r="EF67" s="125"/>
      <c r="EG67" s="125"/>
      <c r="EH67" s="125"/>
      <c r="EI67" s="125"/>
      <c r="EJ67" s="125"/>
      <c r="EK67" s="125"/>
      <c r="EL67" s="125"/>
      <c r="EM67" s="125"/>
      <c r="EN67" s="125"/>
      <c r="EO67" s="125"/>
      <c r="EP67" s="125"/>
      <c r="EQ67" s="125"/>
      <c r="ER67" s="125"/>
      <c r="ES67" s="125"/>
      <c r="ET67" s="125"/>
      <c r="EU67" s="125"/>
      <c r="EV67" s="125"/>
      <c r="EW67" s="125"/>
      <c r="EX67" s="125"/>
      <c r="EY67" s="125"/>
      <c r="EZ67" s="125"/>
      <c r="FA67" s="125"/>
      <c r="FB67" s="125"/>
      <c r="FC67" s="125"/>
      <c r="FD67" s="125"/>
      <c r="FE67" s="125"/>
      <c r="FF67" s="125"/>
      <c r="FG67" s="125"/>
      <c r="FH67" s="125"/>
      <c r="FI67" s="125"/>
      <c r="FJ67" s="125"/>
      <c r="FK67" s="125"/>
      <c r="FL67" s="125"/>
      <c r="FM67" s="125"/>
      <c r="FN67" s="125"/>
      <c r="FO67" s="125"/>
      <c r="FP67" s="125"/>
      <c r="FQ67" s="125"/>
      <c r="FR67" s="125"/>
      <c r="FS67" s="125"/>
      <c r="FT67" s="125"/>
      <c r="FU67" s="125"/>
      <c r="FV67" s="125"/>
      <c r="FW67" s="125"/>
      <c r="FX67" s="125"/>
      <c r="FY67" s="125"/>
      <c r="FZ67" s="125"/>
      <c r="GA67" s="125"/>
      <c r="GB67" s="125"/>
      <c r="GC67" s="125"/>
      <c r="GD67" s="125"/>
      <c r="GE67" s="125"/>
      <c r="GF67" s="125"/>
      <c r="GG67" s="125"/>
      <c r="GH67" s="125"/>
      <c r="GI67" s="125"/>
      <c r="GJ67" s="125"/>
      <c r="GK67" s="125"/>
      <c r="GL67" s="125"/>
      <c r="GM67" s="125"/>
      <c r="GN67" s="125"/>
      <c r="GO67" s="125"/>
      <c r="GP67" s="125"/>
      <c r="GQ67" s="125"/>
      <c r="GR67" s="125"/>
      <c r="GS67" s="125"/>
      <c r="GT67" s="125"/>
      <c r="GU67" s="125"/>
      <c r="GV67" s="125"/>
      <c r="GW67" s="125"/>
      <c r="GX67" s="125"/>
      <c r="GY67" s="125"/>
      <c r="GZ67" s="125"/>
      <c r="HA67" s="125"/>
      <c r="HB67" s="125"/>
      <c r="HC67" s="125"/>
      <c r="HD67" s="125"/>
      <c r="HE67" s="125"/>
      <c r="HF67" s="125"/>
      <c r="HG67" s="125"/>
      <c r="HH67" s="125"/>
      <c r="HI67" s="125"/>
      <c r="HJ67" s="125"/>
      <c r="HK67" s="125"/>
      <c r="HL67" s="125"/>
      <c r="HM67" s="125"/>
      <c r="HN67" s="125"/>
      <c r="HO67" s="125"/>
      <c r="HP67" s="125"/>
      <c r="HQ67" s="125"/>
      <c r="HR67" s="125"/>
      <c r="HS67" s="125"/>
      <c r="HT67" s="125"/>
      <c r="HU67" s="125"/>
      <c r="HV67" s="125"/>
      <c r="HW67" s="125"/>
      <c r="HX67" s="125"/>
      <c r="HY67" s="125"/>
      <c r="HZ67" s="125"/>
      <c r="IA67" s="125"/>
      <c r="IB67" s="125"/>
      <c r="IC67" s="125"/>
      <c r="ID67" s="125"/>
      <c r="IE67" s="125"/>
      <c r="IF67" s="125"/>
      <c r="IG67" s="125"/>
      <c r="IH67" s="125"/>
      <c r="II67" s="125"/>
      <c r="IJ67" s="125"/>
      <c r="IK67" s="125"/>
      <c r="IL67" s="125"/>
      <c r="IM67" s="125"/>
      <c r="IN67" s="125"/>
      <c r="IO67" s="125"/>
      <c r="IP67" s="125"/>
      <c r="IQ67" s="125"/>
      <c r="IR67" s="125"/>
      <c r="IS67" s="125"/>
      <c r="IT67" s="125"/>
      <c r="IU67" s="125"/>
      <c r="IV67" s="125"/>
      <c r="IW67" s="125"/>
      <c r="IX67" s="125"/>
      <c r="IY67" s="125"/>
      <c r="IZ67" s="125"/>
      <c r="JA67" s="125"/>
      <c r="JB67" s="125"/>
      <c r="JC67" s="125"/>
      <c r="JD67" s="125"/>
      <c r="JE67" s="125"/>
      <c r="JF67" s="125"/>
      <c r="JG67" s="125"/>
      <c r="JH67" s="125"/>
      <c r="JI67" s="125"/>
      <c r="JJ67" s="125"/>
      <c r="JK67" s="125"/>
      <c r="JL67" s="125"/>
      <c r="JM67" s="125"/>
      <c r="JN67" s="125"/>
      <c r="JO67" s="125"/>
      <c r="JP67" s="125"/>
      <c r="JQ67" s="125"/>
      <c r="JR67" s="125"/>
      <c r="JS67" s="125"/>
      <c r="JT67" s="125"/>
      <c r="JU67" s="125"/>
      <c r="JV67" s="125"/>
      <c r="JW67" s="125"/>
      <c r="JX67" s="125"/>
      <c r="JY67" s="125"/>
      <c r="JZ67" s="125"/>
      <c r="KA67" s="125"/>
      <c r="KB67" s="125"/>
      <c r="KC67" s="125"/>
      <c r="KD67" s="125"/>
      <c r="KE67" s="125"/>
      <c r="KF67" s="125"/>
      <c r="KG67" s="125"/>
      <c r="KH67" s="125"/>
      <c r="KI67" s="125"/>
      <c r="KJ67" s="125"/>
      <c r="KK67" s="125"/>
      <c r="KL67" s="125"/>
      <c r="KM67" s="125"/>
      <c r="KN67" s="125"/>
      <c r="KO67" s="125"/>
      <c r="KP67" s="125"/>
      <c r="KQ67" s="125"/>
      <c r="KR67" s="125"/>
      <c r="KS67" s="125"/>
      <c r="KT67" s="125"/>
      <c r="KU67" s="125"/>
      <c r="KV67" s="125"/>
      <c r="KW67" s="125"/>
      <c r="KX67" s="125"/>
      <c r="KY67" s="125"/>
      <c r="KZ67" s="125"/>
      <c r="LA67" s="125"/>
      <c r="LB67" s="125"/>
      <c r="LC67" s="125"/>
      <c r="LD67" s="125"/>
      <c r="LE67" s="125"/>
      <c r="LF67" s="125"/>
      <c r="LG67" s="125"/>
      <c r="LH67" s="125"/>
      <c r="LI67" s="125"/>
      <c r="LJ67" s="125"/>
      <c r="LK67" s="125"/>
      <c r="LL67" s="125"/>
      <c r="LM67" s="125"/>
      <c r="LN67" s="125"/>
      <c r="LO67" s="125"/>
      <c r="LP67" s="125"/>
      <c r="LQ67" s="125"/>
      <c r="LR67" s="125"/>
      <c r="LS67" s="125"/>
      <c r="LT67" s="125"/>
      <c r="LU67" s="125"/>
      <c r="LV67" s="125"/>
      <c r="LW67" s="125"/>
      <c r="LX67" s="125"/>
      <c r="LY67" s="125"/>
      <c r="LZ67" s="125"/>
      <c r="MA67" s="125"/>
      <c r="MB67" s="125"/>
      <c r="MC67" s="125"/>
      <c r="MD67" s="125"/>
      <c r="ME67" s="125"/>
      <c r="MF67" s="125"/>
      <c r="MG67" s="125"/>
      <c r="MH67" s="125"/>
      <c r="MI67" s="125"/>
      <c r="MJ67" s="125"/>
      <c r="MK67" s="125"/>
      <c r="ML67" s="125"/>
      <c r="MM67" s="125"/>
      <c r="MN67" s="125"/>
      <c r="MO67" s="125"/>
      <c r="MP67" s="125"/>
      <c r="MQ67" s="125"/>
      <c r="MR67" s="125"/>
      <c r="MS67" s="125"/>
      <c r="MT67" s="125"/>
      <c r="MU67" s="125"/>
      <c r="MV67" s="125"/>
      <c r="MW67" s="125"/>
      <c r="MX67" s="125"/>
      <c r="MY67" s="125"/>
      <c r="MZ67" s="125"/>
      <c r="NA67" s="125"/>
      <c r="NB67" s="125"/>
      <c r="NC67" s="125"/>
      <c r="ND67" s="125"/>
      <c r="NE67" s="125"/>
      <c r="NF67" s="125"/>
      <c r="NG67" s="125"/>
      <c r="NH67" s="125"/>
      <c r="NI67" s="125"/>
      <c r="NJ67" s="125"/>
      <c r="NK67" s="125"/>
      <c r="NL67" s="125"/>
      <c r="NM67" s="125"/>
      <c r="NN67" s="125"/>
      <c r="NO67" s="125"/>
      <c r="NP67" s="125"/>
      <c r="NQ67" s="125"/>
      <c r="NR67" s="125"/>
      <c r="NS67" s="125"/>
      <c r="NT67" s="125"/>
      <c r="NU67" s="125"/>
      <c r="NV67" s="125"/>
      <c r="NW67" s="125"/>
      <c r="NX67" s="125"/>
      <c r="NY67" s="125"/>
      <c r="NZ67" s="125"/>
      <c r="OA67" s="125"/>
      <c r="OB67" s="125"/>
      <c r="OC67" s="125"/>
      <c r="OD67" s="125"/>
      <c r="OE67" s="125"/>
      <c r="OF67" s="125"/>
      <c r="OG67" s="125"/>
      <c r="OH67" s="125"/>
      <c r="OI67" s="125"/>
      <c r="OJ67" s="125"/>
      <c r="OK67" s="125"/>
      <c r="OL67" s="125"/>
      <c r="OM67" s="125"/>
      <c r="ON67" s="125"/>
      <c r="OO67" s="125"/>
      <c r="OP67" s="125"/>
      <c r="OQ67" s="125"/>
      <c r="OR67" s="125"/>
      <c r="OS67" s="125"/>
      <c r="OT67" s="125"/>
      <c r="OU67" s="125"/>
      <c r="OV67" s="125"/>
      <c r="OW67" s="125"/>
      <c r="OX67" s="125"/>
      <c r="OY67" s="125"/>
      <c r="OZ67" s="125"/>
      <c r="PA67" s="125"/>
      <c r="PB67" s="125"/>
      <c r="PC67" s="125"/>
      <c r="PD67" s="125"/>
      <c r="PE67" s="125"/>
      <c r="PF67" s="125"/>
      <c r="PG67" s="125"/>
      <c r="PH67" s="125"/>
      <c r="PI67" s="125"/>
      <c r="PJ67" s="125"/>
      <c r="PK67" s="125"/>
      <c r="PL67" s="125"/>
      <c r="PM67" s="125"/>
      <c r="PN67" s="125"/>
      <c r="PO67" s="125"/>
      <c r="PP67" s="125"/>
      <c r="PQ67" s="125"/>
      <c r="PR67" s="125"/>
      <c r="PS67" s="125"/>
      <c r="PT67" s="125"/>
      <c r="PU67" s="125"/>
      <c r="PV67" s="125"/>
      <c r="PW67" s="125"/>
      <c r="PX67" s="125"/>
      <c r="PY67" s="125"/>
      <c r="PZ67" s="125"/>
      <c r="QA67" s="125"/>
      <c r="QB67" s="125"/>
      <c r="QC67" s="125"/>
      <c r="QD67" s="125"/>
      <c r="QE67" s="125"/>
      <c r="QF67" s="125"/>
      <c r="QG67" s="125"/>
      <c r="QH67" s="125"/>
      <c r="QI67" s="125"/>
      <c r="QJ67" s="125"/>
      <c r="QK67" s="125"/>
      <c r="QL67" s="125"/>
      <c r="QM67" s="125"/>
      <c r="QN67" s="125"/>
      <c r="QO67" s="125"/>
      <c r="QP67" s="125"/>
      <c r="QQ67" s="125"/>
      <c r="QR67" s="125"/>
      <c r="QS67" s="125"/>
      <c r="QT67" s="125"/>
      <c r="QU67" s="125"/>
      <c r="QV67" s="125"/>
      <c r="QW67" s="125"/>
      <c r="QX67" s="125"/>
      <c r="QY67" s="125"/>
      <c r="QZ67" s="125"/>
      <c r="RA67" s="125"/>
      <c r="RB67" s="125"/>
      <c r="RC67" s="125"/>
      <c r="RD67" s="125"/>
      <c r="RE67" s="125"/>
      <c r="RF67" s="125"/>
      <c r="RG67" s="125"/>
      <c r="RH67" s="125"/>
      <c r="RI67" s="125"/>
      <c r="RJ67" s="125"/>
      <c r="RK67" s="125"/>
      <c r="RL67" s="125"/>
      <c r="RM67" s="125"/>
      <c r="RN67" s="125"/>
      <c r="RO67" s="125"/>
      <c r="RP67" s="125"/>
      <c r="RQ67" s="125"/>
      <c r="RR67" s="125"/>
      <c r="RS67" s="125"/>
      <c r="RT67" s="125"/>
      <c r="RU67" s="125"/>
      <c r="RV67" s="125"/>
      <c r="RW67" s="125"/>
      <c r="RX67" s="125"/>
      <c r="RY67" s="125"/>
      <c r="RZ67" s="125"/>
      <c r="SA67" s="125"/>
      <c r="SB67" s="125"/>
      <c r="SC67" s="125"/>
      <c r="SD67" s="125"/>
      <c r="SE67" s="125"/>
      <c r="SF67" s="125"/>
      <c r="SG67" s="125"/>
      <c r="SH67" s="125"/>
      <c r="SI67" s="125"/>
      <c r="SJ67" s="125"/>
      <c r="SK67" s="125"/>
      <c r="SL67" s="125"/>
      <c r="SM67" s="125"/>
      <c r="SN67" s="125"/>
      <c r="SO67" s="125"/>
      <c r="SP67" s="125"/>
      <c r="SQ67" s="125"/>
      <c r="SR67" s="125"/>
      <c r="SS67" s="125"/>
      <c r="ST67" s="125"/>
      <c r="SU67" s="125"/>
      <c r="SV67" s="125"/>
      <c r="SW67" s="125"/>
    </row>
    <row r="68" customFormat="false" ht="14.25" hidden="false" customHeight="false" outlineLevel="0" collapsed="false">
      <c r="C68" s="124"/>
      <c r="D68" s="125"/>
      <c r="E68" s="125"/>
      <c r="F68" s="125"/>
      <c r="G68" s="125"/>
      <c r="H68" s="125"/>
      <c r="I68" s="126"/>
      <c r="J68" s="126"/>
      <c r="K68" s="126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125"/>
      <c r="AO68" s="125"/>
      <c r="AP68" s="125"/>
      <c r="AQ68" s="125"/>
      <c r="AR68" s="125"/>
      <c r="AS68" s="125"/>
      <c r="AT68" s="125"/>
      <c r="AU68" s="125"/>
      <c r="AV68" s="125"/>
      <c r="AW68" s="125"/>
      <c r="AX68" s="125"/>
      <c r="AY68" s="125"/>
      <c r="AZ68" s="125"/>
      <c r="BA68" s="125"/>
      <c r="BB68" s="125"/>
      <c r="BC68" s="125"/>
      <c r="BD68" s="125"/>
      <c r="BE68" s="125"/>
      <c r="BF68" s="125"/>
      <c r="BG68" s="125"/>
      <c r="BH68" s="125"/>
      <c r="BI68" s="125"/>
      <c r="BJ68" s="125"/>
      <c r="BK68" s="125"/>
      <c r="BL68" s="125"/>
      <c r="BM68" s="125"/>
      <c r="BN68" s="125"/>
      <c r="BO68" s="125"/>
      <c r="BP68" s="125"/>
      <c r="BQ68" s="125"/>
      <c r="BR68" s="125"/>
      <c r="BS68" s="125"/>
      <c r="BT68" s="125"/>
      <c r="BU68" s="125"/>
      <c r="BV68" s="125"/>
      <c r="BW68" s="125"/>
      <c r="BX68" s="125"/>
      <c r="BY68" s="125"/>
      <c r="BZ68" s="125"/>
      <c r="CA68" s="125"/>
      <c r="CB68" s="125"/>
      <c r="CC68" s="125"/>
      <c r="CD68" s="125"/>
      <c r="CE68" s="125"/>
      <c r="CF68" s="125"/>
      <c r="CG68" s="125"/>
      <c r="CH68" s="125"/>
      <c r="CI68" s="125"/>
      <c r="CJ68" s="125"/>
      <c r="CK68" s="125"/>
      <c r="CL68" s="125"/>
      <c r="CM68" s="125"/>
      <c r="CN68" s="125"/>
      <c r="CO68" s="125"/>
      <c r="CP68" s="125"/>
      <c r="CQ68" s="125"/>
      <c r="CR68" s="125"/>
      <c r="CS68" s="125"/>
      <c r="CT68" s="125"/>
      <c r="CU68" s="125"/>
      <c r="CV68" s="125"/>
      <c r="CW68" s="125"/>
      <c r="CX68" s="125"/>
      <c r="CY68" s="125"/>
      <c r="CZ68" s="125"/>
      <c r="DA68" s="125"/>
      <c r="DB68" s="125"/>
      <c r="DC68" s="125"/>
      <c r="DD68" s="125"/>
      <c r="DE68" s="125"/>
      <c r="DF68" s="125"/>
      <c r="DG68" s="125"/>
      <c r="DH68" s="125"/>
      <c r="DI68" s="125"/>
      <c r="DJ68" s="125"/>
      <c r="DK68" s="125"/>
      <c r="DL68" s="125"/>
      <c r="DM68" s="125"/>
      <c r="DN68" s="125"/>
      <c r="DO68" s="125"/>
      <c r="DP68" s="125"/>
      <c r="DQ68" s="125"/>
      <c r="DR68" s="125"/>
      <c r="DS68" s="125"/>
      <c r="DT68" s="125"/>
      <c r="DU68" s="125"/>
      <c r="DV68" s="125"/>
      <c r="DW68" s="125"/>
      <c r="DX68" s="125"/>
      <c r="DY68" s="125"/>
      <c r="DZ68" s="125"/>
      <c r="EA68" s="125"/>
      <c r="EB68" s="125"/>
      <c r="EC68" s="125"/>
      <c r="ED68" s="125"/>
      <c r="EE68" s="125"/>
      <c r="EF68" s="125"/>
      <c r="EG68" s="125"/>
      <c r="EH68" s="125"/>
      <c r="EI68" s="125"/>
      <c r="EJ68" s="125"/>
      <c r="EK68" s="125"/>
      <c r="EL68" s="125"/>
      <c r="EM68" s="125"/>
      <c r="EN68" s="125"/>
      <c r="EO68" s="125"/>
      <c r="EP68" s="125"/>
      <c r="EQ68" s="125"/>
      <c r="ER68" s="125"/>
      <c r="ES68" s="125"/>
      <c r="ET68" s="125"/>
      <c r="EU68" s="125"/>
      <c r="EV68" s="125"/>
      <c r="EW68" s="125"/>
      <c r="EX68" s="125"/>
      <c r="EY68" s="125"/>
      <c r="EZ68" s="125"/>
      <c r="FA68" s="125"/>
      <c r="FB68" s="125"/>
      <c r="FC68" s="125"/>
      <c r="FD68" s="125"/>
      <c r="FE68" s="125"/>
      <c r="FF68" s="125"/>
      <c r="FG68" s="125"/>
      <c r="FH68" s="125"/>
      <c r="FI68" s="125"/>
      <c r="FJ68" s="125"/>
      <c r="FK68" s="125"/>
      <c r="FL68" s="125"/>
      <c r="FM68" s="125"/>
      <c r="FN68" s="125"/>
      <c r="FO68" s="125"/>
      <c r="FP68" s="125"/>
      <c r="FQ68" s="125"/>
      <c r="FR68" s="125"/>
      <c r="FS68" s="125"/>
      <c r="FT68" s="125"/>
      <c r="FU68" s="125"/>
      <c r="FV68" s="125"/>
      <c r="FW68" s="125"/>
      <c r="FX68" s="125"/>
      <c r="FY68" s="125"/>
      <c r="FZ68" s="125"/>
      <c r="GA68" s="125"/>
      <c r="GB68" s="125"/>
      <c r="GC68" s="125"/>
      <c r="GD68" s="125"/>
      <c r="GE68" s="125"/>
      <c r="GF68" s="125"/>
      <c r="GG68" s="125"/>
      <c r="GH68" s="125"/>
      <c r="GI68" s="125"/>
      <c r="GJ68" s="125"/>
      <c r="GK68" s="125"/>
      <c r="GL68" s="125"/>
      <c r="GM68" s="125"/>
      <c r="GN68" s="125"/>
      <c r="GO68" s="125"/>
      <c r="GP68" s="125"/>
      <c r="GQ68" s="125"/>
      <c r="GR68" s="125"/>
      <c r="GS68" s="125"/>
      <c r="GT68" s="125"/>
      <c r="GU68" s="125"/>
      <c r="GV68" s="125"/>
      <c r="GW68" s="125"/>
      <c r="GX68" s="125"/>
      <c r="GY68" s="125"/>
      <c r="GZ68" s="125"/>
      <c r="HA68" s="125"/>
      <c r="HB68" s="125"/>
      <c r="HC68" s="125"/>
      <c r="HD68" s="125"/>
      <c r="HE68" s="125"/>
      <c r="HF68" s="125"/>
      <c r="HG68" s="125"/>
      <c r="HH68" s="125"/>
      <c r="HI68" s="125"/>
      <c r="HJ68" s="125"/>
      <c r="HK68" s="125"/>
      <c r="HL68" s="125"/>
      <c r="HM68" s="125"/>
      <c r="HN68" s="125"/>
      <c r="HO68" s="125"/>
      <c r="HP68" s="125"/>
      <c r="HQ68" s="125"/>
      <c r="HR68" s="125"/>
      <c r="HS68" s="125"/>
      <c r="HT68" s="125"/>
      <c r="HU68" s="125"/>
      <c r="HV68" s="125"/>
      <c r="HW68" s="125"/>
      <c r="HX68" s="125"/>
      <c r="HY68" s="125"/>
      <c r="HZ68" s="125"/>
      <c r="IA68" s="125"/>
      <c r="IB68" s="125"/>
      <c r="IC68" s="125"/>
      <c r="ID68" s="125"/>
      <c r="IE68" s="125"/>
      <c r="IF68" s="125"/>
      <c r="IG68" s="125"/>
      <c r="IH68" s="125"/>
      <c r="II68" s="125"/>
      <c r="IJ68" s="125"/>
      <c r="IK68" s="125"/>
      <c r="IL68" s="125"/>
      <c r="IM68" s="125"/>
      <c r="IN68" s="125"/>
      <c r="IO68" s="125"/>
      <c r="IP68" s="125"/>
      <c r="IQ68" s="125"/>
      <c r="IR68" s="125"/>
      <c r="IS68" s="125"/>
      <c r="IT68" s="125"/>
      <c r="IU68" s="125"/>
      <c r="IV68" s="125"/>
      <c r="IW68" s="125"/>
      <c r="IX68" s="125"/>
      <c r="IY68" s="125"/>
      <c r="IZ68" s="125"/>
      <c r="JA68" s="125"/>
      <c r="JB68" s="125"/>
      <c r="JC68" s="125"/>
      <c r="JD68" s="125"/>
      <c r="JE68" s="125"/>
      <c r="JF68" s="125"/>
      <c r="JG68" s="125"/>
      <c r="JH68" s="125"/>
      <c r="JI68" s="125"/>
      <c r="JJ68" s="125"/>
      <c r="JK68" s="125"/>
      <c r="JL68" s="125"/>
      <c r="JM68" s="125"/>
      <c r="JN68" s="125"/>
      <c r="JO68" s="125"/>
      <c r="JP68" s="125"/>
      <c r="JQ68" s="125"/>
      <c r="JR68" s="125"/>
      <c r="JS68" s="125"/>
      <c r="JT68" s="125"/>
      <c r="JU68" s="125"/>
      <c r="JV68" s="125"/>
      <c r="JW68" s="125"/>
      <c r="JX68" s="125"/>
      <c r="JY68" s="125"/>
      <c r="JZ68" s="125"/>
      <c r="KA68" s="125"/>
      <c r="KB68" s="125"/>
      <c r="KC68" s="125"/>
      <c r="KD68" s="125"/>
      <c r="KE68" s="125"/>
      <c r="KF68" s="125"/>
      <c r="KG68" s="125"/>
      <c r="KH68" s="125"/>
      <c r="KI68" s="125"/>
      <c r="KJ68" s="125"/>
      <c r="KK68" s="125"/>
      <c r="KL68" s="125"/>
      <c r="KM68" s="125"/>
      <c r="KN68" s="125"/>
      <c r="KO68" s="125"/>
      <c r="KP68" s="125"/>
      <c r="KQ68" s="125"/>
      <c r="KR68" s="125"/>
      <c r="KS68" s="125"/>
      <c r="KT68" s="125"/>
      <c r="KU68" s="125"/>
      <c r="KV68" s="125"/>
      <c r="KW68" s="125"/>
      <c r="KX68" s="125"/>
      <c r="KY68" s="125"/>
      <c r="KZ68" s="125"/>
      <c r="LA68" s="125"/>
      <c r="LB68" s="125"/>
      <c r="LC68" s="125"/>
      <c r="LD68" s="125"/>
      <c r="LE68" s="125"/>
      <c r="LF68" s="125"/>
      <c r="LG68" s="125"/>
      <c r="LH68" s="125"/>
      <c r="LI68" s="125"/>
      <c r="LJ68" s="125"/>
      <c r="LK68" s="125"/>
      <c r="LL68" s="125"/>
      <c r="LM68" s="125"/>
      <c r="LN68" s="125"/>
      <c r="LO68" s="125"/>
      <c r="LP68" s="125"/>
      <c r="LQ68" s="125"/>
      <c r="LR68" s="125"/>
      <c r="LS68" s="125"/>
      <c r="LT68" s="125"/>
      <c r="LU68" s="125"/>
      <c r="LV68" s="125"/>
      <c r="LW68" s="125"/>
      <c r="LX68" s="125"/>
      <c r="LY68" s="125"/>
      <c r="LZ68" s="125"/>
      <c r="MA68" s="125"/>
      <c r="MB68" s="125"/>
      <c r="MC68" s="125"/>
      <c r="MD68" s="125"/>
      <c r="ME68" s="125"/>
      <c r="MF68" s="125"/>
      <c r="MG68" s="125"/>
      <c r="MH68" s="125"/>
      <c r="MI68" s="125"/>
      <c r="MJ68" s="125"/>
      <c r="MK68" s="125"/>
      <c r="ML68" s="125"/>
      <c r="MM68" s="125"/>
      <c r="MN68" s="125"/>
      <c r="MO68" s="125"/>
      <c r="MP68" s="125"/>
      <c r="MQ68" s="125"/>
      <c r="MR68" s="125"/>
      <c r="MS68" s="125"/>
      <c r="MT68" s="125"/>
      <c r="MU68" s="125"/>
      <c r="MV68" s="125"/>
      <c r="MW68" s="125"/>
      <c r="MX68" s="125"/>
      <c r="MY68" s="125"/>
      <c r="MZ68" s="125"/>
      <c r="NA68" s="125"/>
      <c r="NB68" s="125"/>
      <c r="NC68" s="125"/>
      <c r="ND68" s="125"/>
      <c r="NE68" s="125"/>
      <c r="NF68" s="125"/>
      <c r="NG68" s="125"/>
      <c r="NH68" s="125"/>
      <c r="NI68" s="125"/>
      <c r="NJ68" s="125"/>
      <c r="NK68" s="125"/>
      <c r="NL68" s="125"/>
      <c r="NM68" s="125"/>
      <c r="NN68" s="125"/>
      <c r="NO68" s="125"/>
      <c r="NP68" s="125"/>
      <c r="NQ68" s="125"/>
      <c r="NR68" s="125"/>
      <c r="NS68" s="125"/>
      <c r="NT68" s="125"/>
      <c r="NU68" s="125"/>
      <c r="NV68" s="125"/>
      <c r="NW68" s="125"/>
      <c r="NX68" s="125"/>
      <c r="NY68" s="125"/>
      <c r="NZ68" s="125"/>
      <c r="OA68" s="125"/>
      <c r="OB68" s="125"/>
      <c r="OC68" s="125"/>
      <c r="OD68" s="125"/>
      <c r="OE68" s="125"/>
      <c r="OF68" s="125"/>
      <c r="OG68" s="125"/>
      <c r="OH68" s="125"/>
      <c r="OI68" s="125"/>
      <c r="OJ68" s="125"/>
      <c r="OK68" s="125"/>
      <c r="OL68" s="125"/>
      <c r="OM68" s="125"/>
      <c r="ON68" s="125"/>
      <c r="OO68" s="125"/>
      <c r="OP68" s="125"/>
      <c r="OQ68" s="125"/>
      <c r="OR68" s="125"/>
      <c r="OS68" s="125"/>
      <c r="OT68" s="125"/>
      <c r="OU68" s="125"/>
      <c r="OV68" s="125"/>
      <c r="OW68" s="125"/>
      <c r="OX68" s="125"/>
      <c r="OY68" s="125"/>
      <c r="OZ68" s="125"/>
      <c r="PA68" s="125"/>
      <c r="PB68" s="125"/>
      <c r="PC68" s="125"/>
      <c r="PD68" s="125"/>
      <c r="PE68" s="125"/>
      <c r="PF68" s="125"/>
      <c r="PG68" s="125"/>
      <c r="PH68" s="125"/>
      <c r="PI68" s="125"/>
      <c r="PJ68" s="125"/>
      <c r="PK68" s="125"/>
      <c r="PL68" s="125"/>
      <c r="PM68" s="125"/>
      <c r="PN68" s="125"/>
      <c r="PO68" s="125"/>
      <c r="PP68" s="125"/>
      <c r="PQ68" s="125"/>
      <c r="PR68" s="125"/>
      <c r="PS68" s="125"/>
      <c r="PT68" s="125"/>
      <c r="PU68" s="125"/>
      <c r="PV68" s="125"/>
      <c r="PW68" s="125"/>
      <c r="PX68" s="125"/>
      <c r="PY68" s="125"/>
      <c r="PZ68" s="125"/>
      <c r="QA68" s="125"/>
      <c r="QB68" s="125"/>
      <c r="QC68" s="125"/>
      <c r="QD68" s="125"/>
      <c r="QE68" s="125"/>
      <c r="QF68" s="125"/>
      <c r="QG68" s="125"/>
      <c r="QH68" s="125"/>
      <c r="QI68" s="125"/>
      <c r="QJ68" s="125"/>
      <c r="QK68" s="125"/>
      <c r="QL68" s="125"/>
      <c r="QM68" s="125"/>
      <c r="QN68" s="125"/>
      <c r="QO68" s="125"/>
      <c r="QP68" s="125"/>
      <c r="QQ68" s="125"/>
      <c r="QR68" s="125"/>
      <c r="QS68" s="125"/>
      <c r="QT68" s="125"/>
      <c r="QU68" s="125"/>
      <c r="QV68" s="125"/>
      <c r="QW68" s="125"/>
      <c r="QX68" s="125"/>
      <c r="QY68" s="125"/>
      <c r="QZ68" s="125"/>
      <c r="RA68" s="125"/>
      <c r="RB68" s="125"/>
      <c r="RC68" s="125"/>
      <c r="RD68" s="125"/>
      <c r="RE68" s="125"/>
      <c r="RF68" s="125"/>
      <c r="RG68" s="125"/>
      <c r="RH68" s="125"/>
      <c r="RI68" s="125"/>
      <c r="RJ68" s="125"/>
      <c r="RK68" s="125"/>
      <c r="RL68" s="125"/>
      <c r="RM68" s="125"/>
      <c r="RN68" s="125"/>
      <c r="RO68" s="125"/>
      <c r="RP68" s="125"/>
      <c r="RQ68" s="125"/>
      <c r="RR68" s="125"/>
      <c r="RS68" s="125"/>
      <c r="RT68" s="125"/>
      <c r="RU68" s="125"/>
      <c r="RV68" s="125"/>
      <c r="RW68" s="125"/>
      <c r="RX68" s="125"/>
      <c r="RY68" s="125"/>
      <c r="RZ68" s="125"/>
      <c r="SA68" s="125"/>
      <c r="SB68" s="125"/>
      <c r="SC68" s="125"/>
      <c r="SD68" s="125"/>
      <c r="SE68" s="125"/>
      <c r="SF68" s="125"/>
      <c r="SG68" s="125"/>
      <c r="SH68" s="125"/>
      <c r="SI68" s="125"/>
      <c r="SJ68" s="125"/>
      <c r="SK68" s="125"/>
      <c r="SL68" s="125"/>
      <c r="SM68" s="125"/>
      <c r="SN68" s="125"/>
      <c r="SO68" s="125"/>
      <c r="SP68" s="125"/>
      <c r="SQ68" s="125"/>
      <c r="SR68" s="125"/>
      <c r="SS68" s="125"/>
      <c r="ST68" s="125"/>
      <c r="SU68" s="125"/>
      <c r="SV68" s="125"/>
      <c r="SW68" s="125"/>
    </row>
    <row r="69" customFormat="false" ht="14.25" hidden="false" customHeight="false" outlineLevel="0" collapsed="false">
      <c r="C69" s="124"/>
      <c r="D69" s="125"/>
      <c r="E69" s="125"/>
      <c r="F69" s="125"/>
      <c r="G69" s="125"/>
      <c r="H69" s="125"/>
      <c r="I69" s="126"/>
      <c r="J69" s="126"/>
      <c r="K69" s="126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5"/>
      <c r="AH69" s="125"/>
      <c r="AI69" s="125"/>
      <c r="AJ69" s="125"/>
      <c r="AK69" s="125"/>
      <c r="AL69" s="125"/>
      <c r="AM69" s="125"/>
      <c r="AN69" s="125"/>
      <c r="AO69" s="125"/>
      <c r="AP69" s="125"/>
      <c r="AQ69" s="125"/>
      <c r="AR69" s="125"/>
      <c r="AS69" s="125"/>
      <c r="AT69" s="125"/>
      <c r="AU69" s="125"/>
      <c r="AV69" s="125"/>
      <c r="AW69" s="125"/>
      <c r="AX69" s="125"/>
      <c r="AY69" s="125"/>
      <c r="AZ69" s="125"/>
      <c r="BA69" s="125"/>
      <c r="BB69" s="125"/>
      <c r="BC69" s="125"/>
      <c r="BD69" s="125"/>
      <c r="BE69" s="125"/>
      <c r="BF69" s="125"/>
      <c r="BG69" s="125"/>
      <c r="BH69" s="125"/>
      <c r="BI69" s="125"/>
      <c r="BJ69" s="125"/>
      <c r="BK69" s="125"/>
      <c r="BL69" s="125"/>
      <c r="BM69" s="125"/>
      <c r="BN69" s="125"/>
      <c r="BO69" s="125"/>
      <c r="BP69" s="125"/>
      <c r="BQ69" s="125"/>
      <c r="BR69" s="125"/>
      <c r="BS69" s="125"/>
      <c r="BT69" s="125"/>
      <c r="BU69" s="125"/>
      <c r="BV69" s="125"/>
      <c r="BW69" s="125"/>
      <c r="BX69" s="125"/>
      <c r="BY69" s="125"/>
      <c r="BZ69" s="125"/>
      <c r="CA69" s="125"/>
      <c r="CB69" s="125"/>
      <c r="CC69" s="125"/>
      <c r="CD69" s="125"/>
      <c r="CE69" s="125"/>
      <c r="CF69" s="125"/>
      <c r="CG69" s="125"/>
      <c r="CH69" s="125"/>
      <c r="CI69" s="125"/>
      <c r="CJ69" s="125"/>
      <c r="CK69" s="125"/>
      <c r="CL69" s="125"/>
      <c r="CM69" s="125"/>
      <c r="CN69" s="125"/>
      <c r="CO69" s="125"/>
      <c r="CP69" s="125"/>
      <c r="CQ69" s="125"/>
      <c r="CR69" s="125"/>
      <c r="CS69" s="125"/>
      <c r="CT69" s="125"/>
      <c r="CU69" s="125"/>
      <c r="CV69" s="125"/>
      <c r="CW69" s="125"/>
      <c r="CX69" s="125"/>
      <c r="CY69" s="125"/>
      <c r="CZ69" s="125"/>
      <c r="DA69" s="125"/>
      <c r="DB69" s="125"/>
      <c r="DC69" s="125"/>
      <c r="DD69" s="125"/>
      <c r="DE69" s="125"/>
      <c r="DF69" s="125"/>
      <c r="DG69" s="125"/>
      <c r="DH69" s="125"/>
      <c r="DI69" s="125"/>
      <c r="DJ69" s="125"/>
      <c r="DK69" s="125"/>
      <c r="DL69" s="125"/>
      <c r="DM69" s="125"/>
      <c r="DN69" s="125"/>
      <c r="DO69" s="125"/>
      <c r="DP69" s="125"/>
      <c r="DQ69" s="125"/>
      <c r="DR69" s="125"/>
      <c r="DS69" s="125"/>
      <c r="DT69" s="125"/>
      <c r="DU69" s="125"/>
      <c r="DV69" s="125"/>
      <c r="DW69" s="125"/>
      <c r="DX69" s="125"/>
      <c r="DY69" s="125"/>
      <c r="DZ69" s="125"/>
      <c r="EA69" s="125"/>
      <c r="EB69" s="125"/>
      <c r="EC69" s="125"/>
      <c r="ED69" s="125"/>
      <c r="EE69" s="125"/>
      <c r="EF69" s="125"/>
      <c r="EG69" s="125"/>
      <c r="EH69" s="125"/>
      <c r="EI69" s="125"/>
      <c r="EJ69" s="125"/>
      <c r="EK69" s="125"/>
      <c r="EL69" s="125"/>
      <c r="EM69" s="125"/>
      <c r="EN69" s="125"/>
      <c r="EO69" s="125"/>
      <c r="EP69" s="125"/>
      <c r="EQ69" s="125"/>
      <c r="ER69" s="125"/>
      <c r="ES69" s="125"/>
      <c r="ET69" s="125"/>
      <c r="EU69" s="125"/>
      <c r="EV69" s="125"/>
      <c r="EW69" s="125"/>
      <c r="EX69" s="125"/>
      <c r="EY69" s="125"/>
      <c r="EZ69" s="125"/>
      <c r="FA69" s="125"/>
      <c r="FB69" s="125"/>
      <c r="FC69" s="125"/>
      <c r="FD69" s="125"/>
      <c r="FE69" s="125"/>
      <c r="FF69" s="125"/>
      <c r="FG69" s="125"/>
      <c r="FH69" s="125"/>
      <c r="FI69" s="125"/>
      <c r="FJ69" s="125"/>
      <c r="FK69" s="125"/>
      <c r="FL69" s="125"/>
      <c r="FM69" s="125"/>
      <c r="FN69" s="125"/>
      <c r="FO69" s="125"/>
      <c r="FP69" s="125"/>
      <c r="FQ69" s="125"/>
      <c r="FR69" s="125"/>
      <c r="FS69" s="125"/>
      <c r="FT69" s="125"/>
      <c r="FU69" s="125"/>
      <c r="FV69" s="125"/>
      <c r="FW69" s="125"/>
      <c r="FX69" s="125"/>
      <c r="FY69" s="125"/>
      <c r="FZ69" s="125"/>
      <c r="GA69" s="125"/>
      <c r="GB69" s="125"/>
      <c r="GC69" s="125"/>
      <c r="GD69" s="125"/>
      <c r="GE69" s="125"/>
      <c r="GF69" s="125"/>
      <c r="GG69" s="125"/>
      <c r="GH69" s="125"/>
      <c r="GI69" s="125"/>
      <c r="GJ69" s="125"/>
      <c r="GK69" s="125"/>
      <c r="GL69" s="125"/>
      <c r="GM69" s="125"/>
      <c r="GN69" s="125"/>
      <c r="GO69" s="125"/>
      <c r="GP69" s="125"/>
      <c r="GQ69" s="125"/>
      <c r="GR69" s="125"/>
      <c r="GS69" s="125"/>
      <c r="GT69" s="125"/>
      <c r="GU69" s="125"/>
      <c r="GV69" s="125"/>
      <c r="GW69" s="125"/>
      <c r="GX69" s="125"/>
      <c r="GY69" s="125"/>
      <c r="GZ69" s="125"/>
      <c r="HA69" s="125"/>
      <c r="HB69" s="125"/>
      <c r="HC69" s="125"/>
      <c r="HD69" s="125"/>
      <c r="HE69" s="125"/>
      <c r="HF69" s="125"/>
      <c r="HG69" s="125"/>
      <c r="HH69" s="125"/>
      <c r="HI69" s="125"/>
      <c r="HJ69" s="125"/>
      <c r="HK69" s="125"/>
      <c r="HL69" s="125"/>
      <c r="HM69" s="125"/>
      <c r="HN69" s="125"/>
      <c r="HO69" s="125"/>
      <c r="HP69" s="125"/>
      <c r="HQ69" s="125"/>
      <c r="HR69" s="125"/>
      <c r="HS69" s="125"/>
      <c r="HT69" s="125"/>
      <c r="HU69" s="125"/>
      <c r="HV69" s="125"/>
      <c r="HW69" s="125"/>
      <c r="HX69" s="125"/>
      <c r="HY69" s="125"/>
      <c r="HZ69" s="125"/>
      <c r="IA69" s="125"/>
      <c r="IB69" s="125"/>
      <c r="IC69" s="125"/>
      <c r="ID69" s="125"/>
      <c r="IE69" s="125"/>
      <c r="IF69" s="125"/>
      <c r="IG69" s="125"/>
      <c r="IH69" s="125"/>
      <c r="II69" s="125"/>
      <c r="IJ69" s="125"/>
      <c r="IK69" s="125"/>
      <c r="IL69" s="125"/>
      <c r="IM69" s="125"/>
      <c r="IN69" s="125"/>
      <c r="IO69" s="125"/>
      <c r="IP69" s="125"/>
      <c r="IQ69" s="125"/>
      <c r="IR69" s="125"/>
      <c r="IS69" s="125"/>
      <c r="IT69" s="125"/>
      <c r="IU69" s="125"/>
      <c r="IV69" s="125"/>
      <c r="IW69" s="125"/>
      <c r="IX69" s="125"/>
      <c r="IY69" s="125"/>
      <c r="IZ69" s="125"/>
      <c r="JA69" s="125"/>
      <c r="JB69" s="125"/>
      <c r="JC69" s="125"/>
      <c r="JD69" s="125"/>
      <c r="JE69" s="125"/>
      <c r="JF69" s="125"/>
      <c r="JG69" s="125"/>
      <c r="JH69" s="125"/>
      <c r="JI69" s="125"/>
      <c r="JJ69" s="125"/>
      <c r="JK69" s="125"/>
      <c r="JL69" s="125"/>
      <c r="JM69" s="125"/>
      <c r="JN69" s="125"/>
      <c r="JO69" s="125"/>
      <c r="JP69" s="125"/>
      <c r="JQ69" s="125"/>
      <c r="JR69" s="125"/>
      <c r="JS69" s="125"/>
      <c r="JT69" s="125"/>
      <c r="JU69" s="125"/>
      <c r="JV69" s="125"/>
      <c r="JW69" s="125"/>
      <c r="JX69" s="125"/>
      <c r="JY69" s="125"/>
      <c r="JZ69" s="125"/>
      <c r="KA69" s="125"/>
      <c r="KB69" s="125"/>
      <c r="KC69" s="125"/>
      <c r="KD69" s="125"/>
      <c r="KE69" s="125"/>
      <c r="KF69" s="125"/>
      <c r="KG69" s="125"/>
      <c r="KH69" s="125"/>
      <c r="KI69" s="125"/>
      <c r="KJ69" s="125"/>
      <c r="KK69" s="125"/>
      <c r="KL69" s="125"/>
      <c r="KM69" s="125"/>
      <c r="KN69" s="125"/>
      <c r="KO69" s="125"/>
      <c r="KP69" s="125"/>
      <c r="KQ69" s="125"/>
      <c r="KR69" s="125"/>
      <c r="KS69" s="125"/>
      <c r="KT69" s="125"/>
      <c r="KU69" s="125"/>
      <c r="KV69" s="125"/>
      <c r="KW69" s="125"/>
      <c r="KX69" s="125"/>
      <c r="KY69" s="125"/>
      <c r="KZ69" s="125"/>
      <c r="LA69" s="125"/>
      <c r="LB69" s="125"/>
      <c r="LC69" s="125"/>
      <c r="LD69" s="125"/>
      <c r="LE69" s="125"/>
      <c r="LF69" s="125"/>
      <c r="LG69" s="125"/>
      <c r="LH69" s="125"/>
      <c r="LI69" s="125"/>
      <c r="LJ69" s="125"/>
      <c r="LK69" s="125"/>
      <c r="LL69" s="125"/>
      <c r="LM69" s="125"/>
      <c r="LN69" s="125"/>
      <c r="LO69" s="125"/>
      <c r="LP69" s="125"/>
      <c r="LQ69" s="125"/>
      <c r="LR69" s="125"/>
      <c r="LS69" s="125"/>
      <c r="LT69" s="125"/>
      <c r="LU69" s="125"/>
      <c r="LV69" s="125"/>
      <c r="LW69" s="125"/>
      <c r="LX69" s="125"/>
      <c r="LY69" s="125"/>
      <c r="LZ69" s="125"/>
      <c r="MA69" s="125"/>
      <c r="MB69" s="125"/>
      <c r="MC69" s="125"/>
      <c r="MD69" s="125"/>
      <c r="ME69" s="125"/>
      <c r="MF69" s="125"/>
      <c r="MG69" s="125"/>
      <c r="MH69" s="125"/>
      <c r="MI69" s="125"/>
      <c r="MJ69" s="125"/>
      <c r="MK69" s="125"/>
      <c r="ML69" s="125"/>
      <c r="MM69" s="125"/>
      <c r="MN69" s="125"/>
      <c r="MO69" s="125"/>
      <c r="MP69" s="125"/>
      <c r="MQ69" s="125"/>
      <c r="MR69" s="125"/>
      <c r="MS69" s="125"/>
      <c r="MT69" s="125"/>
      <c r="MU69" s="125"/>
      <c r="MV69" s="125"/>
      <c r="MW69" s="125"/>
      <c r="MX69" s="125"/>
      <c r="MY69" s="125"/>
      <c r="MZ69" s="125"/>
      <c r="NA69" s="125"/>
      <c r="NB69" s="125"/>
      <c r="NC69" s="125"/>
      <c r="ND69" s="125"/>
      <c r="NE69" s="125"/>
      <c r="NF69" s="125"/>
      <c r="NG69" s="125"/>
      <c r="NH69" s="125"/>
      <c r="NI69" s="125"/>
      <c r="NJ69" s="125"/>
      <c r="NK69" s="125"/>
      <c r="NL69" s="125"/>
      <c r="NM69" s="125"/>
      <c r="NN69" s="125"/>
      <c r="NO69" s="125"/>
      <c r="NP69" s="125"/>
      <c r="NQ69" s="125"/>
      <c r="NR69" s="125"/>
      <c r="NS69" s="125"/>
      <c r="NT69" s="125"/>
      <c r="NU69" s="125"/>
      <c r="NV69" s="125"/>
      <c r="NW69" s="125"/>
      <c r="NX69" s="125"/>
      <c r="NY69" s="125"/>
      <c r="NZ69" s="125"/>
      <c r="OA69" s="125"/>
      <c r="OB69" s="125"/>
      <c r="OC69" s="125"/>
      <c r="OD69" s="125"/>
      <c r="OE69" s="125"/>
      <c r="OF69" s="125"/>
      <c r="OG69" s="125"/>
      <c r="OH69" s="125"/>
      <c r="OI69" s="125"/>
      <c r="OJ69" s="125"/>
      <c r="OK69" s="125"/>
      <c r="OL69" s="125"/>
      <c r="OM69" s="125"/>
      <c r="ON69" s="125"/>
      <c r="OO69" s="125"/>
      <c r="OP69" s="125"/>
      <c r="OQ69" s="125"/>
      <c r="OR69" s="125"/>
      <c r="OS69" s="125"/>
      <c r="OT69" s="125"/>
      <c r="OU69" s="125"/>
      <c r="OV69" s="125"/>
      <c r="OW69" s="125"/>
      <c r="OX69" s="125"/>
      <c r="OY69" s="125"/>
      <c r="OZ69" s="125"/>
      <c r="PA69" s="125"/>
      <c r="PB69" s="125"/>
      <c r="PC69" s="125"/>
      <c r="PD69" s="125"/>
      <c r="PE69" s="125"/>
      <c r="PF69" s="125"/>
      <c r="PG69" s="125"/>
      <c r="PH69" s="125"/>
      <c r="PI69" s="125"/>
      <c r="PJ69" s="125"/>
      <c r="PK69" s="125"/>
      <c r="PL69" s="125"/>
      <c r="PM69" s="125"/>
      <c r="PN69" s="125"/>
      <c r="PO69" s="125"/>
      <c r="PP69" s="125"/>
      <c r="PQ69" s="125"/>
      <c r="PR69" s="125"/>
      <c r="PS69" s="125"/>
      <c r="PT69" s="125"/>
      <c r="PU69" s="125"/>
      <c r="PV69" s="125"/>
      <c r="PW69" s="125"/>
      <c r="PX69" s="125"/>
      <c r="PY69" s="125"/>
      <c r="PZ69" s="125"/>
      <c r="QA69" s="125"/>
      <c r="QB69" s="125"/>
      <c r="QC69" s="125"/>
      <c r="QD69" s="125"/>
      <c r="QE69" s="125"/>
      <c r="QF69" s="125"/>
      <c r="QG69" s="125"/>
      <c r="QH69" s="125"/>
      <c r="QI69" s="125"/>
      <c r="QJ69" s="125"/>
      <c r="QK69" s="125"/>
      <c r="QL69" s="125"/>
      <c r="QM69" s="125"/>
      <c r="QN69" s="125"/>
      <c r="QO69" s="125"/>
      <c r="QP69" s="125"/>
      <c r="QQ69" s="125"/>
      <c r="QR69" s="125"/>
      <c r="QS69" s="125"/>
      <c r="QT69" s="125"/>
      <c r="QU69" s="125"/>
      <c r="QV69" s="125"/>
      <c r="QW69" s="125"/>
      <c r="QX69" s="125"/>
      <c r="QY69" s="125"/>
      <c r="QZ69" s="125"/>
      <c r="RA69" s="125"/>
      <c r="RB69" s="125"/>
      <c r="RC69" s="125"/>
      <c r="RD69" s="125"/>
      <c r="RE69" s="125"/>
      <c r="RF69" s="125"/>
      <c r="RG69" s="125"/>
      <c r="RH69" s="125"/>
      <c r="RI69" s="125"/>
      <c r="RJ69" s="125"/>
      <c r="RK69" s="125"/>
      <c r="RL69" s="125"/>
      <c r="RM69" s="125"/>
      <c r="RN69" s="125"/>
      <c r="RO69" s="125"/>
      <c r="RP69" s="125"/>
      <c r="RQ69" s="125"/>
      <c r="RR69" s="125"/>
      <c r="RS69" s="125"/>
      <c r="RT69" s="125"/>
      <c r="RU69" s="125"/>
      <c r="RV69" s="125"/>
      <c r="RW69" s="125"/>
      <c r="RX69" s="125"/>
      <c r="RY69" s="125"/>
      <c r="RZ69" s="125"/>
      <c r="SA69" s="125"/>
      <c r="SB69" s="125"/>
      <c r="SC69" s="125"/>
      <c r="SD69" s="125"/>
      <c r="SE69" s="125"/>
      <c r="SF69" s="125"/>
      <c r="SG69" s="125"/>
      <c r="SH69" s="125"/>
      <c r="SI69" s="125"/>
      <c r="SJ69" s="125"/>
      <c r="SK69" s="125"/>
      <c r="SL69" s="125"/>
      <c r="SM69" s="125"/>
      <c r="SN69" s="125"/>
      <c r="SO69" s="125"/>
      <c r="SP69" s="125"/>
      <c r="SQ69" s="125"/>
      <c r="SR69" s="125"/>
      <c r="SS69" s="125"/>
      <c r="ST69" s="125"/>
      <c r="SU69" s="125"/>
      <c r="SV69" s="125"/>
      <c r="SW69" s="125"/>
    </row>
    <row r="70" customFormat="false" ht="14.25" hidden="false" customHeight="false" outlineLevel="0" collapsed="false">
      <c r="C70" s="124"/>
      <c r="D70" s="125"/>
      <c r="E70" s="125"/>
      <c r="F70" s="125"/>
      <c r="G70" s="125"/>
      <c r="H70" s="125"/>
      <c r="I70" s="126"/>
      <c r="J70" s="126"/>
      <c r="K70" s="126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  <c r="AA70" s="125"/>
      <c r="AB70" s="125"/>
      <c r="AC70" s="125"/>
      <c r="AD70" s="125"/>
      <c r="AE70" s="125"/>
      <c r="AF70" s="125"/>
      <c r="AG70" s="125"/>
      <c r="AH70" s="125"/>
      <c r="AI70" s="125"/>
      <c r="AJ70" s="125"/>
      <c r="AK70" s="125"/>
      <c r="AL70" s="125"/>
      <c r="AM70" s="125"/>
      <c r="AN70" s="125"/>
      <c r="AO70" s="125"/>
      <c r="AP70" s="125"/>
      <c r="AQ70" s="125"/>
      <c r="AR70" s="125"/>
      <c r="AS70" s="125"/>
      <c r="AT70" s="125"/>
      <c r="AU70" s="125"/>
      <c r="AV70" s="125"/>
      <c r="AW70" s="125"/>
      <c r="AX70" s="125"/>
      <c r="AY70" s="125"/>
      <c r="AZ70" s="125"/>
      <c r="BA70" s="125"/>
      <c r="BB70" s="125"/>
      <c r="BC70" s="125"/>
      <c r="BD70" s="125"/>
      <c r="BE70" s="125"/>
      <c r="BF70" s="125"/>
      <c r="BG70" s="125"/>
      <c r="BH70" s="125"/>
      <c r="BI70" s="125"/>
      <c r="BJ70" s="125"/>
      <c r="BK70" s="125"/>
      <c r="BL70" s="125"/>
      <c r="BM70" s="125"/>
      <c r="BN70" s="125"/>
      <c r="BO70" s="125"/>
      <c r="BP70" s="125"/>
      <c r="BQ70" s="125"/>
      <c r="BR70" s="125"/>
      <c r="BS70" s="125"/>
      <c r="BT70" s="125"/>
      <c r="BU70" s="125"/>
      <c r="BV70" s="125"/>
      <c r="BW70" s="125"/>
      <c r="BX70" s="125"/>
      <c r="BY70" s="125"/>
      <c r="BZ70" s="125"/>
      <c r="CA70" s="125"/>
      <c r="CB70" s="125"/>
      <c r="CC70" s="125"/>
      <c r="CD70" s="125"/>
      <c r="CE70" s="125"/>
      <c r="CF70" s="125"/>
      <c r="CG70" s="125"/>
      <c r="CH70" s="125"/>
      <c r="CI70" s="125"/>
      <c r="CJ70" s="125"/>
      <c r="CK70" s="125"/>
      <c r="CL70" s="125"/>
      <c r="CM70" s="125"/>
      <c r="CN70" s="125"/>
      <c r="CO70" s="125"/>
      <c r="CP70" s="125"/>
      <c r="CQ70" s="125"/>
      <c r="CR70" s="125"/>
      <c r="CS70" s="125"/>
      <c r="CT70" s="125"/>
      <c r="CU70" s="125"/>
      <c r="CV70" s="125"/>
      <c r="CW70" s="125"/>
      <c r="CX70" s="125"/>
      <c r="CY70" s="125"/>
      <c r="CZ70" s="125"/>
      <c r="DA70" s="125"/>
      <c r="DB70" s="125"/>
      <c r="DC70" s="125"/>
      <c r="DD70" s="125"/>
      <c r="DE70" s="125"/>
      <c r="DF70" s="125"/>
      <c r="DG70" s="125"/>
      <c r="DH70" s="125"/>
      <c r="DI70" s="125"/>
      <c r="DJ70" s="125"/>
      <c r="DK70" s="125"/>
      <c r="DL70" s="125"/>
      <c r="DM70" s="125"/>
      <c r="DN70" s="125"/>
      <c r="DO70" s="125"/>
      <c r="DP70" s="125"/>
      <c r="DQ70" s="125"/>
      <c r="DR70" s="125"/>
      <c r="DS70" s="125"/>
      <c r="DT70" s="125"/>
      <c r="DU70" s="125"/>
      <c r="DV70" s="125"/>
      <c r="DW70" s="125"/>
      <c r="DX70" s="125"/>
      <c r="DY70" s="125"/>
      <c r="DZ70" s="125"/>
      <c r="EA70" s="125"/>
      <c r="EB70" s="125"/>
      <c r="EC70" s="125"/>
      <c r="ED70" s="125"/>
      <c r="EE70" s="125"/>
      <c r="EF70" s="125"/>
      <c r="EG70" s="125"/>
      <c r="EH70" s="125"/>
      <c r="EI70" s="125"/>
      <c r="EJ70" s="125"/>
      <c r="EK70" s="125"/>
      <c r="EL70" s="125"/>
      <c r="EM70" s="125"/>
      <c r="EN70" s="125"/>
      <c r="EO70" s="125"/>
      <c r="EP70" s="125"/>
      <c r="EQ70" s="125"/>
      <c r="ER70" s="125"/>
      <c r="ES70" s="125"/>
      <c r="ET70" s="125"/>
      <c r="EU70" s="125"/>
      <c r="EV70" s="125"/>
      <c r="EW70" s="125"/>
      <c r="EX70" s="125"/>
      <c r="EY70" s="125"/>
      <c r="EZ70" s="125"/>
      <c r="FA70" s="125"/>
      <c r="FB70" s="125"/>
      <c r="FC70" s="125"/>
      <c r="FD70" s="125"/>
      <c r="FE70" s="125"/>
      <c r="FF70" s="125"/>
      <c r="FG70" s="125"/>
      <c r="FH70" s="125"/>
      <c r="FI70" s="125"/>
      <c r="FJ70" s="125"/>
      <c r="FK70" s="125"/>
      <c r="FL70" s="125"/>
      <c r="FM70" s="125"/>
      <c r="FN70" s="125"/>
      <c r="FO70" s="125"/>
      <c r="FP70" s="125"/>
      <c r="FQ70" s="125"/>
      <c r="FR70" s="125"/>
      <c r="FS70" s="125"/>
      <c r="FT70" s="125"/>
      <c r="FU70" s="125"/>
      <c r="FV70" s="125"/>
      <c r="FW70" s="125"/>
      <c r="FX70" s="125"/>
      <c r="FY70" s="125"/>
      <c r="FZ70" s="125"/>
      <c r="GA70" s="125"/>
      <c r="GB70" s="125"/>
      <c r="GC70" s="125"/>
      <c r="GD70" s="125"/>
      <c r="GE70" s="125"/>
      <c r="GF70" s="125"/>
      <c r="GG70" s="125"/>
      <c r="GH70" s="125"/>
      <c r="GI70" s="125"/>
      <c r="GJ70" s="125"/>
      <c r="GK70" s="125"/>
      <c r="GL70" s="125"/>
      <c r="GM70" s="125"/>
      <c r="GN70" s="125"/>
      <c r="GO70" s="125"/>
      <c r="GP70" s="125"/>
      <c r="GQ70" s="125"/>
      <c r="GR70" s="125"/>
      <c r="GS70" s="125"/>
      <c r="GT70" s="125"/>
      <c r="GU70" s="125"/>
      <c r="GV70" s="125"/>
      <c r="GW70" s="125"/>
      <c r="GX70" s="125"/>
      <c r="GY70" s="125"/>
      <c r="GZ70" s="125"/>
      <c r="HA70" s="125"/>
      <c r="HB70" s="125"/>
      <c r="HC70" s="125"/>
      <c r="HD70" s="125"/>
      <c r="HE70" s="125"/>
      <c r="HF70" s="125"/>
      <c r="HG70" s="125"/>
      <c r="HH70" s="125"/>
      <c r="HI70" s="125"/>
      <c r="HJ70" s="125"/>
      <c r="HK70" s="125"/>
      <c r="HL70" s="125"/>
      <c r="HM70" s="125"/>
      <c r="HN70" s="125"/>
      <c r="HO70" s="125"/>
      <c r="HP70" s="125"/>
      <c r="HQ70" s="125"/>
      <c r="HR70" s="125"/>
      <c r="HS70" s="125"/>
      <c r="HT70" s="125"/>
      <c r="HU70" s="125"/>
      <c r="HV70" s="125"/>
      <c r="HW70" s="125"/>
      <c r="HX70" s="125"/>
      <c r="HY70" s="125"/>
      <c r="HZ70" s="125"/>
      <c r="IA70" s="125"/>
      <c r="IB70" s="125"/>
      <c r="IC70" s="125"/>
      <c r="ID70" s="125"/>
      <c r="IE70" s="125"/>
      <c r="IF70" s="125"/>
      <c r="IG70" s="125"/>
      <c r="IH70" s="125"/>
      <c r="II70" s="125"/>
      <c r="IJ70" s="125"/>
      <c r="IK70" s="125"/>
      <c r="IL70" s="125"/>
      <c r="IM70" s="125"/>
      <c r="IN70" s="125"/>
      <c r="IO70" s="125"/>
      <c r="IP70" s="125"/>
      <c r="IQ70" s="125"/>
      <c r="IR70" s="125"/>
      <c r="IS70" s="125"/>
      <c r="IT70" s="125"/>
      <c r="IU70" s="125"/>
      <c r="IV70" s="125"/>
      <c r="IW70" s="125"/>
      <c r="IX70" s="125"/>
      <c r="IY70" s="125"/>
      <c r="IZ70" s="125"/>
      <c r="JA70" s="125"/>
      <c r="JB70" s="125"/>
      <c r="JC70" s="125"/>
      <c r="JD70" s="125"/>
      <c r="JE70" s="125"/>
      <c r="JF70" s="125"/>
      <c r="JG70" s="125"/>
      <c r="JH70" s="125"/>
      <c r="JI70" s="125"/>
      <c r="JJ70" s="125"/>
      <c r="JK70" s="125"/>
      <c r="JL70" s="125"/>
      <c r="JM70" s="125"/>
      <c r="JN70" s="125"/>
      <c r="JO70" s="125"/>
      <c r="JP70" s="125"/>
      <c r="JQ70" s="125"/>
      <c r="JR70" s="125"/>
      <c r="JS70" s="125"/>
      <c r="JT70" s="125"/>
      <c r="JU70" s="125"/>
      <c r="JV70" s="125"/>
      <c r="JW70" s="125"/>
      <c r="JX70" s="125"/>
      <c r="JY70" s="125"/>
      <c r="JZ70" s="125"/>
      <c r="KA70" s="125"/>
      <c r="KB70" s="125"/>
      <c r="KC70" s="125"/>
      <c r="KD70" s="125"/>
      <c r="KE70" s="125"/>
      <c r="KF70" s="125"/>
      <c r="KG70" s="125"/>
      <c r="KH70" s="125"/>
      <c r="KI70" s="125"/>
      <c r="KJ70" s="125"/>
      <c r="KK70" s="125"/>
      <c r="KL70" s="125"/>
      <c r="KM70" s="125"/>
      <c r="KN70" s="125"/>
      <c r="KO70" s="125"/>
      <c r="KP70" s="125"/>
      <c r="KQ70" s="125"/>
      <c r="KR70" s="125"/>
      <c r="KS70" s="125"/>
      <c r="KT70" s="125"/>
      <c r="KU70" s="125"/>
      <c r="KV70" s="125"/>
      <c r="KW70" s="125"/>
      <c r="KX70" s="125"/>
      <c r="KY70" s="125"/>
      <c r="KZ70" s="125"/>
      <c r="LA70" s="125"/>
      <c r="LB70" s="125"/>
      <c r="LC70" s="125"/>
      <c r="LD70" s="125"/>
      <c r="LE70" s="125"/>
      <c r="LF70" s="125"/>
      <c r="LG70" s="125"/>
      <c r="LH70" s="125"/>
      <c r="LI70" s="125"/>
      <c r="LJ70" s="125"/>
      <c r="LK70" s="125"/>
      <c r="LL70" s="125"/>
      <c r="LM70" s="125"/>
      <c r="LN70" s="125"/>
      <c r="LO70" s="125"/>
      <c r="LP70" s="125"/>
      <c r="LQ70" s="125"/>
      <c r="LR70" s="125"/>
      <c r="LS70" s="125"/>
      <c r="LT70" s="125"/>
      <c r="LU70" s="125"/>
      <c r="LV70" s="125"/>
      <c r="LW70" s="125"/>
      <c r="LX70" s="125"/>
      <c r="LY70" s="125"/>
      <c r="LZ70" s="125"/>
      <c r="MA70" s="125"/>
      <c r="MB70" s="125"/>
      <c r="MC70" s="125"/>
      <c r="MD70" s="125"/>
      <c r="ME70" s="125"/>
      <c r="MF70" s="125"/>
      <c r="MG70" s="125"/>
      <c r="MH70" s="125"/>
      <c r="MI70" s="125"/>
      <c r="MJ70" s="125"/>
      <c r="MK70" s="125"/>
      <c r="ML70" s="125"/>
      <c r="MM70" s="125"/>
      <c r="MN70" s="125"/>
      <c r="MO70" s="125"/>
      <c r="MP70" s="125"/>
      <c r="MQ70" s="125"/>
      <c r="MR70" s="125"/>
      <c r="MS70" s="125"/>
      <c r="MT70" s="125"/>
      <c r="MU70" s="125"/>
      <c r="MV70" s="125"/>
      <c r="MW70" s="125"/>
      <c r="MX70" s="125"/>
      <c r="MY70" s="125"/>
      <c r="MZ70" s="125"/>
      <c r="NA70" s="125"/>
      <c r="NB70" s="125"/>
      <c r="NC70" s="125"/>
      <c r="ND70" s="125"/>
      <c r="NE70" s="125"/>
      <c r="NF70" s="125"/>
      <c r="NG70" s="125"/>
      <c r="NH70" s="125"/>
      <c r="NI70" s="125"/>
      <c r="NJ70" s="125"/>
      <c r="NK70" s="125"/>
      <c r="NL70" s="125"/>
      <c r="NM70" s="125"/>
      <c r="NN70" s="125"/>
      <c r="NO70" s="125"/>
      <c r="NP70" s="125"/>
      <c r="NQ70" s="125"/>
      <c r="NR70" s="125"/>
      <c r="NS70" s="125"/>
      <c r="NT70" s="125"/>
      <c r="NU70" s="125"/>
      <c r="NV70" s="125"/>
      <c r="NW70" s="125"/>
      <c r="NX70" s="125"/>
      <c r="NY70" s="125"/>
      <c r="NZ70" s="125"/>
      <c r="OA70" s="125"/>
      <c r="OB70" s="125"/>
      <c r="OC70" s="125"/>
      <c r="OD70" s="125"/>
      <c r="OE70" s="125"/>
      <c r="OF70" s="125"/>
      <c r="OG70" s="125"/>
      <c r="OH70" s="125"/>
      <c r="OI70" s="125"/>
      <c r="OJ70" s="125"/>
      <c r="OK70" s="125"/>
      <c r="OL70" s="125"/>
      <c r="OM70" s="125"/>
      <c r="ON70" s="125"/>
      <c r="OO70" s="125"/>
      <c r="OP70" s="125"/>
      <c r="OQ70" s="125"/>
      <c r="OR70" s="125"/>
      <c r="OS70" s="125"/>
      <c r="OT70" s="125"/>
      <c r="OU70" s="125"/>
      <c r="OV70" s="125"/>
      <c r="OW70" s="125"/>
      <c r="OX70" s="125"/>
      <c r="OY70" s="125"/>
      <c r="OZ70" s="125"/>
      <c r="PA70" s="125"/>
      <c r="PB70" s="125"/>
      <c r="PC70" s="125"/>
      <c r="PD70" s="125"/>
      <c r="PE70" s="125"/>
      <c r="PF70" s="125"/>
      <c r="PG70" s="125"/>
      <c r="PH70" s="125"/>
      <c r="PI70" s="125"/>
      <c r="PJ70" s="125"/>
      <c r="PK70" s="125"/>
      <c r="PL70" s="125"/>
      <c r="PM70" s="125"/>
      <c r="PN70" s="125"/>
      <c r="PO70" s="125"/>
      <c r="PP70" s="125"/>
      <c r="PQ70" s="125"/>
      <c r="PR70" s="125"/>
      <c r="PS70" s="125"/>
      <c r="PT70" s="125"/>
      <c r="PU70" s="125"/>
      <c r="PV70" s="125"/>
      <c r="PW70" s="125"/>
      <c r="PX70" s="125"/>
      <c r="PY70" s="125"/>
      <c r="PZ70" s="125"/>
      <c r="QA70" s="125"/>
      <c r="QB70" s="125"/>
      <c r="QC70" s="125"/>
      <c r="QD70" s="125"/>
      <c r="QE70" s="125"/>
      <c r="QF70" s="125"/>
      <c r="QG70" s="125"/>
      <c r="QH70" s="125"/>
      <c r="QI70" s="125"/>
      <c r="QJ70" s="125"/>
      <c r="QK70" s="125"/>
      <c r="QL70" s="125"/>
      <c r="QM70" s="125"/>
      <c r="QN70" s="125"/>
      <c r="QO70" s="125"/>
      <c r="QP70" s="125"/>
      <c r="QQ70" s="125"/>
      <c r="QR70" s="125"/>
      <c r="QS70" s="125"/>
      <c r="QT70" s="125"/>
      <c r="QU70" s="125"/>
      <c r="QV70" s="125"/>
      <c r="QW70" s="125"/>
      <c r="QX70" s="125"/>
      <c r="QY70" s="125"/>
      <c r="QZ70" s="125"/>
      <c r="RA70" s="125"/>
      <c r="RB70" s="125"/>
      <c r="RC70" s="125"/>
      <c r="RD70" s="125"/>
      <c r="RE70" s="125"/>
      <c r="RF70" s="125"/>
      <c r="RG70" s="125"/>
      <c r="RH70" s="125"/>
      <c r="RI70" s="125"/>
      <c r="RJ70" s="125"/>
      <c r="RK70" s="125"/>
      <c r="RL70" s="125"/>
      <c r="RM70" s="125"/>
      <c r="RN70" s="125"/>
      <c r="RO70" s="125"/>
      <c r="RP70" s="125"/>
      <c r="RQ70" s="125"/>
      <c r="RR70" s="125"/>
      <c r="RS70" s="125"/>
      <c r="RT70" s="125"/>
      <c r="RU70" s="125"/>
      <c r="RV70" s="125"/>
      <c r="RW70" s="125"/>
      <c r="RX70" s="125"/>
      <c r="RY70" s="125"/>
      <c r="RZ70" s="125"/>
      <c r="SA70" s="125"/>
      <c r="SB70" s="125"/>
      <c r="SC70" s="125"/>
      <c r="SD70" s="125"/>
      <c r="SE70" s="125"/>
      <c r="SF70" s="125"/>
      <c r="SG70" s="125"/>
      <c r="SH70" s="125"/>
      <c r="SI70" s="125"/>
      <c r="SJ70" s="125"/>
      <c r="SK70" s="125"/>
      <c r="SL70" s="125"/>
      <c r="SM70" s="125"/>
      <c r="SN70" s="125"/>
      <c r="SO70" s="125"/>
      <c r="SP70" s="125"/>
      <c r="SQ70" s="125"/>
      <c r="SR70" s="125"/>
      <c r="SS70" s="125"/>
      <c r="ST70" s="125"/>
      <c r="SU70" s="125"/>
      <c r="SV70" s="125"/>
      <c r="SW70" s="125"/>
    </row>
    <row r="71" customFormat="false" ht="14.25" hidden="false" customHeight="false" outlineLevel="0" collapsed="false">
      <c r="C71" s="124"/>
      <c r="D71" s="125"/>
      <c r="E71" s="125"/>
      <c r="F71" s="125"/>
      <c r="G71" s="125"/>
      <c r="H71" s="125"/>
      <c r="I71" s="126"/>
      <c r="J71" s="126"/>
      <c r="K71" s="126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5"/>
      <c r="AB71" s="125"/>
      <c r="AC71" s="125"/>
      <c r="AD71" s="125"/>
      <c r="AE71" s="125"/>
      <c r="AF71" s="125"/>
      <c r="AG71" s="125"/>
      <c r="AH71" s="125"/>
      <c r="AI71" s="125"/>
      <c r="AJ71" s="125"/>
      <c r="AK71" s="125"/>
      <c r="AL71" s="125"/>
      <c r="AM71" s="125"/>
      <c r="AN71" s="125"/>
      <c r="AO71" s="125"/>
      <c r="AP71" s="125"/>
      <c r="AQ71" s="125"/>
      <c r="AR71" s="125"/>
      <c r="AS71" s="125"/>
      <c r="AT71" s="125"/>
      <c r="AU71" s="125"/>
      <c r="AV71" s="125"/>
      <c r="AW71" s="125"/>
      <c r="AX71" s="125"/>
      <c r="AY71" s="125"/>
      <c r="AZ71" s="125"/>
      <c r="BA71" s="125"/>
      <c r="BB71" s="125"/>
      <c r="BC71" s="125"/>
      <c r="BD71" s="125"/>
      <c r="BE71" s="125"/>
      <c r="BF71" s="125"/>
      <c r="BG71" s="125"/>
      <c r="BH71" s="125"/>
      <c r="BI71" s="125"/>
      <c r="BJ71" s="125"/>
      <c r="BK71" s="125"/>
      <c r="BL71" s="125"/>
      <c r="BM71" s="125"/>
      <c r="BN71" s="125"/>
      <c r="BO71" s="125"/>
      <c r="BP71" s="125"/>
      <c r="BQ71" s="125"/>
      <c r="BR71" s="125"/>
      <c r="BS71" s="125"/>
      <c r="BT71" s="125"/>
      <c r="BU71" s="125"/>
      <c r="BV71" s="125"/>
      <c r="BW71" s="125"/>
      <c r="BX71" s="125"/>
      <c r="BY71" s="125"/>
      <c r="BZ71" s="125"/>
      <c r="CA71" s="125"/>
      <c r="CB71" s="125"/>
      <c r="CC71" s="125"/>
      <c r="CD71" s="125"/>
      <c r="CE71" s="125"/>
      <c r="CF71" s="125"/>
      <c r="CG71" s="125"/>
      <c r="CH71" s="125"/>
      <c r="CI71" s="125"/>
      <c r="CJ71" s="125"/>
      <c r="CK71" s="125"/>
      <c r="CL71" s="125"/>
      <c r="CM71" s="125"/>
      <c r="CN71" s="125"/>
      <c r="CO71" s="125"/>
      <c r="CP71" s="125"/>
      <c r="CQ71" s="125"/>
      <c r="CR71" s="125"/>
      <c r="CS71" s="125"/>
      <c r="CT71" s="125"/>
      <c r="CU71" s="125"/>
      <c r="CV71" s="125"/>
      <c r="CW71" s="125"/>
      <c r="CX71" s="125"/>
      <c r="CY71" s="125"/>
      <c r="CZ71" s="125"/>
      <c r="DA71" s="125"/>
      <c r="DB71" s="125"/>
      <c r="DC71" s="125"/>
      <c r="DD71" s="125"/>
      <c r="DE71" s="125"/>
      <c r="DF71" s="125"/>
      <c r="DG71" s="125"/>
      <c r="DH71" s="125"/>
      <c r="DI71" s="125"/>
      <c r="DJ71" s="125"/>
      <c r="DK71" s="125"/>
      <c r="DL71" s="125"/>
      <c r="DM71" s="125"/>
      <c r="DN71" s="125"/>
      <c r="DO71" s="125"/>
      <c r="DP71" s="125"/>
      <c r="DQ71" s="125"/>
      <c r="DR71" s="125"/>
      <c r="DS71" s="125"/>
      <c r="DT71" s="125"/>
      <c r="DU71" s="125"/>
      <c r="DV71" s="125"/>
      <c r="DW71" s="125"/>
      <c r="DX71" s="125"/>
      <c r="DY71" s="125"/>
      <c r="DZ71" s="125"/>
      <c r="EA71" s="125"/>
      <c r="EB71" s="125"/>
      <c r="EC71" s="125"/>
      <c r="ED71" s="125"/>
      <c r="EE71" s="125"/>
      <c r="EF71" s="125"/>
      <c r="EG71" s="125"/>
      <c r="EH71" s="125"/>
      <c r="EI71" s="125"/>
      <c r="EJ71" s="125"/>
      <c r="EK71" s="125"/>
      <c r="EL71" s="125"/>
      <c r="EM71" s="125"/>
      <c r="EN71" s="125"/>
      <c r="EO71" s="125"/>
      <c r="EP71" s="125"/>
      <c r="EQ71" s="125"/>
      <c r="ER71" s="125"/>
      <c r="ES71" s="125"/>
      <c r="ET71" s="125"/>
      <c r="EU71" s="125"/>
      <c r="EV71" s="125"/>
      <c r="EW71" s="125"/>
      <c r="EX71" s="125"/>
      <c r="EY71" s="125"/>
      <c r="EZ71" s="125"/>
      <c r="FA71" s="125"/>
      <c r="FB71" s="125"/>
      <c r="FC71" s="125"/>
      <c r="FD71" s="125"/>
      <c r="FE71" s="125"/>
      <c r="FF71" s="125"/>
      <c r="FG71" s="125"/>
      <c r="FH71" s="125"/>
      <c r="FI71" s="125"/>
      <c r="FJ71" s="125"/>
      <c r="FK71" s="125"/>
      <c r="FL71" s="125"/>
      <c r="FM71" s="125"/>
      <c r="FN71" s="125"/>
      <c r="FO71" s="125"/>
      <c r="FP71" s="125"/>
      <c r="FQ71" s="125"/>
      <c r="FR71" s="125"/>
      <c r="FS71" s="125"/>
      <c r="FT71" s="125"/>
      <c r="FU71" s="125"/>
      <c r="FV71" s="125"/>
      <c r="FW71" s="125"/>
      <c r="FX71" s="125"/>
      <c r="FY71" s="125"/>
      <c r="FZ71" s="125"/>
      <c r="GA71" s="125"/>
      <c r="GB71" s="125"/>
      <c r="GC71" s="125"/>
      <c r="GD71" s="125"/>
      <c r="GE71" s="125"/>
      <c r="GF71" s="125"/>
      <c r="GG71" s="125"/>
      <c r="GH71" s="125"/>
      <c r="GI71" s="125"/>
      <c r="GJ71" s="125"/>
      <c r="GK71" s="125"/>
      <c r="GL71" s="125"/>
      <c r="GM71" s="125"/>
      <c r="GN71" s="125"/>
      <c r="GO71" s="125"/>
      <c r="GP71" s="125"/>
      <c r="GQ71" s="125"/>
      <c r="GR71" s="125"/>
      <c r="GS71" s="125"/>
      <c r="GT71" s="125"/>
      <c r="GU71" s="125"/>
      <c r="GV71" s="125"/>
      <c r="GW71" s="125"/>
      <c r="GX71" s="125"/>
      <c r="GY71" s="125"/>
      <c r="GZ71" s="125"/>
      <c r="HA71" s="125"/>
      <c r="HB71" s="125"/>
      <c r="HC71" s="125"/>
      <c r="HD71" s="125"/>
      <c r="HE71" s="125"/>
      <c r="HF71" s="125"/>
      <c r="HG71" s="125"/>
      <c r="HH71" s="125"/>
      <c r="HI71" s="125"/>
      <c r="HJ71" s="125"/>
      <c r="HK71" s="125"/>
      <c r="HL71" s="125"/>
      <c r="HM71" s="125"/>
      <c r="HN71" s="125"/>
      <c r="HO71" s="125"/>
      <c r="HP71" s="125"/>
      <c r="HQ71" s="125"/>
      <c r="HR71" s="125"/>
      <c r="HS71" s="125"/>
      <c r="HT71" s="125"/>
      <c r="HU71" s="125"/>
      <c r="HV71" s="125"/>
      <c r="HW71" s="125"/>
      <c r="HX71" s="125"/>
      <c r="HY71" s="125"/>
      <c r="HZ71" s="125"/>
      <c r="IA71" s="125"/>
      <c r="IB71" s="125"/>
      <c r="IC71" s="125"/>
      <c r="ID71" s="125"/>
      <c r="IE71" s="125"/>
      <c r="IF71" s="125"/>
      <c r="IG71" s="125"/>
      <c r="IH71" s="125"/>
      <c r="II71" s="125"/>
      <c r="IJ71" s="125"/>
      <c r="IK71" s="125"/>
      <c r="IL71" s="125"/>
      <c r="IM71" s="125"/>
      <c r="IN71" s="125"/>
      <c r="IO71" s="125"/>
      <c r="IP71" s="125"/>
      <c r="IQ71" s="125"/>
      <c r="IR71" s="125"/>
      <c r="IS71" s="125"/>
      <c r="IT71" s="125"/>
      <c r="IU71" s="125"/>
      <c r="IV71" s="125"/>
      <c r="IW71" s="125"/>
      <c r="IX71" s="125"/>
      <c r="IY71" s="125"/>
      <c r="IZ71" s="125"/>
      <c r="JA71" s="125"/>
      <c r="JB71" s="125"/>
      <c r="JC71" s="125"/>
      <c r="JD71" s="125"/>
      <c r="JE71" s="125"/>
      <c r="JF71" s="125"/>
      <c r="JG71" s="125"/>
      <c r="JH71" s="125"/>
      <c r="JI71" s="125"/>
      <c r="JJ71" s="125"/>
      <c r="JK71" s="125"/>
      <c r="JL71" s="125"/>
      <c r="JM71" s="125"/>
      <c r="JN71" s="125"/>
      <c r="JO71" s="125"/>
      <c r="JP71" s="125"/>
      <c r="JQ71" s="125"/>
      <c r="JR71" s="125"/>
      <c r="JS71" s="125"/>
      <c r="JT71" s="125"/>
      <c r="JU71" s="125"/>
      <c r="JV71" s="125"/>
      <c r="JW71" s="125"/>
      <c r="JX71" s="125"/>
      <c r="JY71" s="125"/>
      <c r="JZ71" s="125"/>
      <c r="KA71" s="125"/>
      <c r="KB71" s="125"/>
      <c r="KC71" s="125"/>
      <c r="KD71" s="125"/>
      <c r="KE71" s="125"/>
      <c r="KF71" s="125"/>
      <c r="KG71" s="125"/>
      <c r="KH71" s="125"/>
      <c r="KI71" s="125"/>
      <c r="KJ71" s="125"/>
      <c r="KK71" s="125"/>
      <c r="KL71" s="125"/>
      <c r="KM71" s="125"/>
      <c r="KN71" s="125"/>
      <c r="KO71" s="125"/>
      <c r="KP71" s="125"/>
      <c r="KQ71" s="125"/>
      <c r="KR71" s="125"/>
      <c r="KS71" s="125"/>
      <c r="KT71" s="125"/>
      <c r="KU71" s="125"/>
      <c r="KV71" s="125"/>
      <c r="KW71" s="125"/>
      <c r="KX71" s="125"/>
      <c r="KY71" s="125"/>
      <c r="KZ71" s="125"/>
      <c r="LA71" s="125"/>
      <c r="LB71" s="125"/>
      <c r="LC71" s="125"/>
      <c r="LD71" s="125"/>
      <c r="LE71" s="125"/>
      <c r="LF71" s="125"/>
      <c r="LG71" s="125"/>
      <c r="LH71" s="125"/>
      <c r="LI71" s="125"/>
      <c r="LJ71" s="125"/>
      <c r="LK71" s="125"/>
      <c r="LL71" s="125"/>
      <c r="LM71" s="125"/>
      <c r="LN71" s="125"/>
      <c r="LO71" s="125"/>
      <c r="LP71" s="125"/>
      <c r="LQ71" s="125"/>
      <c r="LR71" s="125"/>
      <c r="LS71" s="125"/>
      <c r="LT71" s="125"/>
      <c r="LU71" s="125"/>
      <c r="LV71" s="125"/>
      <c r="LW71" s="125"/>
      <c r="LX71" s="125"/>
      <c r="LY71" s="125"/>
      <c r="LZ71" s="125"/>
      <c r="MA71" s="125"/>
      <c r="MB71" s="125"/>
      <c r="MC71" s="125"/>
      <c r="MD71" s="125"/>
      <c r="ME71" s="125"/>
      <c r="MF71" s="125"/>
      <c r="MG71" s="125"/>
      <c r="MH71" s="125"/>
      <c r="MI71" s="125"/>
      <c r="MJ71" s="125"/>
      <c r="MK71" s="125"/>
      <c r="ML71" s="125"/>
      <c r="MM71" s="125"/>
      <c r="MN71" s="125"/>
      <c r="MO71" s="125"/>
      <c r="MP71" s="125"/>
      <c r="MQ71" s="125"/>
      <c r="MR71" s="125"/>
      <c r="MS71" s="125"/>
      <c r="MT71" s="125"/>
      <c r="MU71" s="125"/>
      <c r="MV71" s="125"/>
      <c r="MW71" s="125"/>
      <c r="MX71" s="125"/>
      <c r="MY71" s="125"/>
      <c r="MZ71" s="125"/>
      <c r="NA71" s="125"/>
      <c r="NB71" s="125"/>
      <c r="NC71" s="125"/>
      <c r="ND71" s="125"/>
      <c r="NE71" s="125"/>
      <c r="NF71" s="125"/>
      <c r="NG71" s="125"/>
      <c r="NH71" s="125"/>
      <c r="NI71" s="125"/>
      <c r="NJ71" s="125"/>
      <c r="NK71" s="125"/>
      <c r="NL71" s="125"/>
      <c r="NM71" s="125"/>
      <c r="NN71" s="125"/>
      <c r="NO71" s="125"/>
      <c r="NP71" s="125"/>
      <c r="NQ71" s="125"/>
      <c r="NR71" s="125"/>
      <c r="NS71" s="125"/>
      <c r="NT71" s="125"/>
      <c r="NU71" s="125"/>
      <c r="NV71" s="125"/>
      <c r="NW71" s="125"/>
      <c r="NX71" s="125"/>
      <c r="NY71" s="125"/>
      <c r="NZ71" s="125"/>
      <c r="OA71" s="125"/>
      <c r="OB71" s="125"/>
      <c r="OC71" s="125"/>
      <c r="OD71" s="125"/>
      <c r="OE71" s="125"/>
      <c r="OF71" s="125"/>
      <c r="OG71" s="125"/>
      <c r="OH71" s="125"/>
      <c r="OI71" s="125"/>
      <c r="OJ71" s="125"/>
      <c r="OK71" s="125"/>
      <c r="OL71" s="125"/>
      <c r="OM71" s="125"/>
      <c r="ON71" s="125"/>
      <c r="OO71" s="125"/>
      <c r="OP71" s="125"/>
      <c r="OQ71" s="125"/>
      <c r="OR71" s="125"/>
      <c r="OS71" s="125"/>
      <c r="OT71" s="125"/>
      <c r="OU71" s="125"/>
      <c r="OV71" s="125"/>
      <c r="OW71" s="125"/>
      <c r="OX71" s="125"/>
      <c r="OY71" s="125"/>
      <c r="OZ71" s="125"/>
      <c r="PA71" s="125"/>
      <c r="PB71" s="125"/>
      <c r="PC71" s="125"/>
      <c r="PD71" s="125"/>
      <c r="PE71" s="125"/>
      <c r="PF71" s="125"/>
      <c r="PG71" s="125"/>
      <c r="PH71" s="125"/>
      <c r="PI71" s="125"/>
      <c r="PJ71" s="125"/>
      <c r="PK71" s="125"/>
      <c r="PL71" s="125"/>
      <c r="PM71" s="125"/>
      <c r="PN71" s="125"/>
      <c r="PO71" s="125"/>
      <c r="PP71" s="125"/>
      <c r="PQ71" s="125"/>
      <c r="PR71" s="125"/>
      <c r="PS71" s="125"/>
      <c r="PT71" s="125"/>
      <c r="PU71" s="125"/>
      <c r="PV71" s="125"/>
      <c r="PW71" s="125"/>
      <c r="PX71" s="125"/>
      <c r="PY71" s="125"/>
      <c r="PZ71" s="125"/>
      <c r="QA71" s="125"/>
      <c r="QB71" s="125"/>
      <c r="QC71" s="125"/>
      <c r="QD71" s="125"/>
      <c r="QE71" s="125"/>
      <c r="QF71" s="125"/>
      <c r="QG71" s="125"/>
      <c r="QH71" s="125"/>
      <c r="QI71" s="125"/>
      <c r="QJ71" s="125"/>
      <c r="QK71" s="125"/>
      <c r="QL71" s="125"/>
      <c r="QM71" s="125"/>
      <c r="QN71" s="125"/>
      <c r="QO71" s="125"/>
      <c r="QP71" s="125"/>
      <c r="QQ71" s="125"/>
      <c r="QR71" s="125"/>
      <c r="QS71" s="125"/>
      <c r="QT71" s="125"/>
      <c r="QU71" s="125"/>
      <c r="QV71" s="125"/>
      <c r="QW71" s="125"/>
      <c r="QX71" s="125"/>
      <c r="QY71" s="125"/>
      <c r="QZ71" s="125"/>
      <c r="RA71" s="125"/>
      <c r="RB71" s="125"/>
      <c r="RC71" s="125"/>
      <c r="RD71" s="125"/>
      <c r="RE71" s="125"/>
      <c r="RF71" s="125"/>
      <c r="RG71" s="125"/>
      <c r="RH71" s="125"/>
      <c r="RI71" s="125"/>
      <c r="RJ71" s="125"/>
      <c r="RK71" s="125"/>
      <c r="RL71" s="125"/>
      <c r="RM71" s="125"/>
      <c r="RN71" s="125"/>
      <c r="RO71" s="125"/>
      <c r="RP71" s="125"/>
      <c r="RQ71" s="125"/>
      <c r="RR71" s="125"/>
      <c r="RS71" s="125"/>
      <c r="RT71" s="125"/>
      <c r="RU71" s="125"/>
      <c r="RV71" s="125"/>
      <c r="RW71" s="125"/>
      <c r="RX71" s="125"/>
      <c r="RY71" s="125"/>
      <c r="RZ71" s="125"/>
      <c r="SA71" s="125"/>
      <c r="SB71" s="125"/>
      <c r="SC71" s="125"/>
      <c r="SD71" s="125"/>
      <c r="SE71" s="125"/>
      <c r="SF71" s="125"/>
      <c r="SG71" s="125"/>
      <c r="SH71" s="125"/>
      <c r="SI71" s="125"/>
      <c r="SJ71" s="125"/>
      <c r="SK71" s="125"/>
      <c r="SL71" s="125"/>
      <c r="SM71" s="125"/>
      <c r="SN71" s="125"/>
      <c r="SO71" s="125"/>
      <c r="SP71" s="125"/>
      <c r="SQ71" s="125"/>
      <c r="SR71" s="125"/>
      <c r="SS71" s="125"/>
      <c r="ST71" s="125"/>
      <c r="SU71" s="125"/>
      <c r="SV71" s="125"/>
      <c r="SW71" s="125"/>
    </row>
    <row r="72" customFormat="false" ht="14.25" hidden="false" customHeight="false" outlineLevel="0" collapsed="false">
      <c r="C72" s="124"/>
      <c r="D72" s="125"/>
      <c r="E72" s="125"/>
      <c r="F72" s="125"/>
      <c r="G72" s="125"/>
      <c r="H72" s="125"/>
      <c r="I72" s="126"/>
      <c r="J72" s="126"/>
      <c r="K72" s="126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5"/>
      <c r="AH72" s="125"/>
      <c r="AI72" s="125"/>
      <c r="AJ72" s="125"/>
      <c r="AK72" s="125"/>
      <c r="AL72" s="125"/>
      <c r="AM72" s="125"/>
      <c r="AN72" s="125"/>
      <c r="AO72" s="125"/>
      <c r="AP72" s="125"/>
      <c r="AQ72" s="125"/>
      <c r="AR72" s="125"/>
      <c r="AS72" s="125"/>
      <c r="AT72" s="125"/>
      <c r="AU72" s="125"/>
      <c r="AV72" s="125"/>
      <c r="AW72" s="125"/>
      <c r="AX72" s="125"/>
      <c r="AY72" s="125"/>
      <c r="AZ72" s="125"/>
      <c r="BA72" s="125"/>
      <c r="BB72" s="125"/>
      <c r="BC72" s="125"/>
      <c r="BD72" s="125"/>
      <c r="BE72" s="125"/>
      <c r="BF72" s="125"/>
      <c r="BG72" s="125"/>
      <c r="BH72" s="125"/>
      <c r="BI72" s="125"/>
      <c r="BJ72" s="125"/>
      <c r="BK72" s="125"/>
      <c r="BL72" s="125"/>
      <c r="BM72" s="125"/>
      <c r="BN72" s="125"/>
      <c r="BO72" s="125"/>
      <c r="BP72" s="125"/>
      <c r="BQ72" s="125"/>
      <c r="BR72" s="125"/>
      <c r="BS72" s="125"/>
      <c r="BT72" s="125"/>
      <c r="BU72" s="125"/>
      <c r="BV72" s="125"/>
      <c r="BW72" s="125"/>
      <c r="BX72" s="125"/>
      <c r="BY72" s="125"/>
      <c r="BZ72" s="125"/>
      <c r="CA72" s="125"/>
      <c r="CB72" s="125"/>
      <c r="CC72" s="125"/>
      <c r="CD72" s="125"/>
      <c r="CE72" s="125"/>
      <c r="CF72" s="125"/>
      <c r="CG72" s="125"/>
      <c r="CH72" s="125"/>
      <c r="CI72" s="125"/>
      <c r="CJ72" s="125"/>
      <c r="CK72" s="125"/>
      <c r="CL72" s="125"/>
      <c r="CM72" s="125"/>
      <c r="CN72" s="125"/>
      <c r="CO72" s="125"/>
      <c r="CP72" s="125"/>
      <c r="CQ72" s="125"/>
      <c r="CR72" s="125"/>
      <c r="CS72" s="125"/>
      <c r="CT72" s="125"/>
      <c r="CU72" s="125"/>
      <c r="CV72" s="125"/>
      <c r="CW72" s="125"/>
      <c r="CX72" s="125"/>
      <c r="CY72" s="125"/>
      <c r="CZ72" s="125"/>
      <c r="DA72" s="125"/>
      <c r="DB72" s="125"/>
      <c r="DC72" s="125"/>
      <c r="DD72" s="125"/>
      <c r="DE72" s="125"/>
      <c r="DF72" s="125"/>
      <c r="DG72" s="125"/>
      <c r="DH72" s="125"/>
      <c r="DI72" s="125"/>
      <c r="DJ72" s="125"/>
      <c r="DK72" s="125"/>
      <c r="DL72" s="125"/>
      <c r="DM72" s="125"/>
      <c r="DN72" s="125"/>
      <c r="DO72" s="125"/>
      <c r="DP72" s="125"/>
      <c r="DQ72" s="125"/>
      <c r="DR72" s="125"/>
      <c r="DS72" s="125"/>
      <c r="DT72" s="125"/>
      <c r="DU72" s="125"/>
      <c r="DV72" s="125"/>
      <c r="DW72" s="125"/>
      <c r="DX72" s="125"/>
      <c r="DY72" s="125"/>
      <c r="DZ72" s="125"/>
      <c r="EA72" s="125"/>
      <c r="EB72" s="125"/>
      <c r="EC72" s="125"/>
      <c r="ED72" s="125"/>
      <c r="EE72" s="125"/>
      <c r="EF72" s="125"/>
      <c r="EG72" s="125"/>
      <c r="EH72" s="125"/>
      <c r="EI72" s="125"/>
      <c r="EJ72" s="125"/>
      <c r="EK72" s="125"/>
      <c r="EL72" s="125"/>
      <c r="EM72" s="125"/>
      <c r="EN72" s="125"/>
      <c r="EO72" s="125"/>
      <c r="EP72" s="125"/>
      <c r="EQ72" s="125"/>
      <c r="ER72" s="125"/>
      <c r="ES72" s="125"/>
      <c r="ET72" s="125"/>
      <c r="EU72" s="125"/>
      <c r="EV72" s="125"/>
      <c r="EW72" s="125"/>
      <c r="EX72" s="125"/>
      <c r="EY72" s="125"/>
      <c r="EZ72" s="125"/>
      <c r="FA72" s="125"/>
      <c r="FB72" s="125"/>
      <c r="FC72" s="125"/>
      <c r="FD72" s="125"/>
      <c r="FE72" s="125"/>
      <c r="FF72" s="125"/>
      <c r="FG72" s="125"/>
      <c r="FH72" s="125"/>
      <c r="FI72" s="125"/>
      <c r="FJ72" s="125"/>
      <c r="FK72" s="125"/>
      <c r="FL72" s="125"/>
      <c r="FM72" s="125"/>
      <c r="FN72" s="125"/>
      <c r="FO72" s="125"/>
      <c r="FP72" s="125"/>
      <c r="FQ72" s="125"/>
      <c r="FR72" s="125"/>
      <c r="FS72" s="125"/>
      <c r="FT72" s="125"/>
      <c r="FU72" s="125"/>
      <c r="FV72" s="125"/>
      <c r="FW72" s="125"/>
      <c r="FX72" s="125"/>
      <c r="FY72" s="125"/>
      <c r="FZ72" s="125"/>
      <c r="GA72" s="125"/>
      <c r="GB72" s="125"/>
      <c r="GC72" s="125"/>
      <c r="GD72" s="125"/>
      <c r="GE72" s="125"/>
      <c r="GF72" s="125"/>
      <c r="GG72" s="125"/>
      <c r="GH72" s="125"/>
      <c r="GI72" s="125"/>
      <c r="GJ72" s="125"/>
      <c r="GK72" s="125"/>
      <c r="GL72" s="125"/>
      <c r="GM72" s="125"/>
      <c r="GN72" s="125"/>
      <c r="GO72" s="125"/>
      <c r="GP72" s="125"/>
      <c r="GQ72" s="125"/>
      <c r="GR72" s="125"/>
      <c r="GS72" s="125"/>
      <c r="GT72" s="125"/>
      <c r="GU72" s="125"/>
      <c r="GV72" s="125"/>
      <c r="GW72" s="125"/>
      <c r="GX72" s="125"/>
      <c r="GY72" s="125"/>
      <c r="GZ72" s="125"/>
      <c r="HA72" s="125"/>
      <c r="HB72" s="125"/>
      <c r="HC72" s="125"/>
      <c r="HD72" s="125"/>
      <c r="HE72" s="125"/>
      <c r="HF72" s="125"/>
      <c r="HG72" s="125"/>
      <c r="HH72" s="125"/>
      <c r="HI72" s="125"/>
      <c r="HJ72" s="125"/>
      <c r="HK72" s="125"/>
      <c r="HL72" s="125"/>
      <c r="HM72" s="125"/>
      <c r="HN72" s="125"/>
      <c r="HO72" s="125"/>
      <c r="HP72" s="125"/>
      <c r="HQ72" s="125"/>
      <c r="HR72" s="125"/>
      <c r="HS72" s="125"/>
      <c r="HT72" s="125"/>
      <c r="HU72" s="125"/>
      <c r="HV72" s="125"/>
      <c r="HW72" s="125"/>
      <c r="HX72" s="125"/>
      <c r="HY72" s="125"/>
      <c r="HZ72" s="125"/>
      <c r="IA72" s="125"/>
      <c r="IB72" s="125"/>
      <c r="IC72" s="125"/>
      <c r="ID72" s="125"/>
      <c r="IE72" s="125"/>
      <c r="IF72" s="125"/>
      <c r="IG72" s="125"/>
      <c r="IH72" s="125"/>
      <c r="II72" s="125"/>
      <c r="IJ72" s="125"/>
      <c r="IK72" s="125"/>
      <c r="IL72" s="125"/>
      <c r="IM72" s="125"/>
      <c r="IN72" s="125"/>
      <c r="IO72" s="125"/>
      <c r="IP72" s="125"/>
      <c r="IQ72" s="125"/>
      <c r="IR72" s="125"/>
      <c r="IS72" s="125"/>
      <c r="IT72" s="125"/>
      <c r="IU72" s="125"/>
      <c r="IV72" s="125"/>
      <c r="IW72" s="125"/>
      <c r="IX72" s="125"/>
      <c r="IY72" s="125"/>
      <c r="IZ72" s="125"/>
      <c r="JA72" s="125"/>
      <c r="JB72" s="125"/>
      <c r="JC72" s="125"/>
      <c r="JD72" s="125"/>
      <c r="JE72" s="125"/>
      <c r="JF72" s="125"/>
      <c r="JG72" s="125"/>
      <c r="JH72" s="125"/>
      <c r="JI72" s="125"/>
      <c r="JJ72" s="125"/>
      <c r="JK72" s="125"/>
      <c r="JL72" s="125"/>
      <c r="JM72" s="125"/>
      <c r="JN72" s="125"/>
      <c r="JO72" s="125"/>
      <c r="JP72" s="125"/>
      <c r="JQ72" s="125"/>
      <c r="JR72" s="125"/>
      <c r="JS72" s="125"/>
      <c r="JT72" s="125"/>
      <c r="JU72" s="125"/>
      <c r="JV72" s="125"/>
      <c r="JW72" s="125"/>
      <c r="JX72" s="125"/>
      <c r="JY72" s="125"/>
      <c r="JZ72" s="125"/>
      <c r="KA72" s="125"/>
      <c r="KB72" s="125"/>
      <c r="KC72" s="125"/>
      <c r="KD72" s="125"/>
      <c r="KE72" s="125"/>
      <c r="KF72" s="125"/>
      <c r="KG72" s="125"/>
      <c r="KH72" s="125"/>
      <c r="KI72" s="125"/>
      <c r="KJ72" s="125"/>
      <c r="KK72" s="125"/>
      <c r="KL72" s="125"/>
      <c r="KM72" s="125"/>
      <c r="KN72" s="125"/>
      <c r="KO72" s="125"/>
      <c r="KP72" s="125"/>
      <c r="KQ72" s="125"/>
      <c r="KR72" s="125"/>
      <c r="KS72" s="125"/>
      <c r="KT72" s="125"/>
      <c r="KU72" s="125"/>
      <c r="KV72" s="125"/>
      <c r="KW72" s="125"/>
      <c r="KX72" s="125"/>
      <c r="KY72" s="125"/>
      <c r="KZ72" s="125"/>
      <c r="LA72" s="125"/>
      <c r="LB72" s="125"/>
      <c r="LC72" s="125"/>
      <c r="LD72" s="125"/>
      <c r="LE72" s="125"/>
      <c r="LF72" s="125"/>
      <c r="LG72" s="125"/>
      <c r="LH72" s="125"/>
      <c r="LI72" s="125"/>
      <c r="LJ72" s="125"/>
      <c r="LK72" s="125"/>
      <c r="LL72" s="125"/>
      <c r="LM72" s="125"/>
      <c r="LN72" s="125"/>
      <c r="LO72" s="125"/>
      <c r="LP72" s="125"/>
      <c r="LQ72" s="125"/>
      <c r="LR72" s="125"/>
      <c r="LS72" s="125"/>
      <c r="LT72" s="125"/>
      <c r="LU72" s="125"/>
      <c r="LV72" s="125"/>
      <c r="LW72" s="125"/>
      <c r="LX72" s="125"/>
      <c r="LY72" s="125"/>
      <c r="LZ72" s="125"/>
      <c r="MA72" s="125"/>
      <c r="MB72" s="125"/>
      <c r="MC72" s="125"/>
      <c r="MD72" s="125"/>
      <c r="ME72" s="125"/>
      <c r="MF72" s="125"/>
      <c r="MG72" s="125"/>
      <c r="MH72" s="125"/>
      <c r="MI72" s="125"/>
      <c r="MJ72" s="125"/>
      <c r="MK72" s="125"/>
      <c r="ML72" s="125"/>
      <c r="MM72" s="125"/>
      <c r="MN72" s="125"/>
      <c r="MO72" s="125"/>
      <c r="MP72" s="125"/>
      <c r="MQ72" s="125"/>
      <c r="MR72" s="125"/>
      <c r="MS72" s="125"/>
      <c r="MT72" s="125"/>
      <c r="MU72" s="125"/>
      <c r="MV72" s="125"/>
      <c r="MW72" s="125"/>
      <c r="MX72" s="125"/>
      <c r="MY72" s="125"/>
      <c r="MZ72" s="125"/>
      <c r="NA72" s="125"/>
      <c r="NB72" s="125"/>
      <c r="NC72" s="125"/>
      <c r="ND72" s="125"/>
      <c r="NE72" s="125"/>
      <c r="NF72" s="125"/>
      <c r="NG72" s="125"/>
      <c r="NH72" s="125"/>
      <c r="NI72" s="125"/>
      <c r="NJ72" s="125"/>
      <c r="NK72" s="125"/>
      <c r="NL72" s="125"/>
      <c r="NM72" s="125"/>
      <c r="NN72" s="125"/>
      <c r="NO72" s="125"/>
      <c r="NP72" s="125"/>
      <c r="NQ72" s="125"/>
      <c r="NR72" s="125"/>
      <c r="NS72" s="125"/>
      <c r="NT72" s="125"/>
      <c r="NU72" s="125"/>
      <c r="NV72" s="125"/>
      <c r="NW72" s="125"/>
      <c r="NX72" s="125"/>
      <c r="NY72" s="125"/>
      <c r="NZ72" s="125"/>
      <c r="OA72" s="125"/>
      <c r="OB72" s="125"/>
      <c r="OC72" s="125"/>
      <c r="OD72" s="125"/>
      <c r="OE72" s="125"/>
      <c r="OF72" s="125"/>
      <c r="OG72" s="125"/>
      <c r="OH72" s="125"/>
      <c r="OI72" s="125"/>
      <c r="OJ72" s="125"/>
      <c r="OK72" s="125"/>
      <c r="OL72" s="125"/>
      <c r="OM72" s="125"/>
      <c r="ON72" s="125"/>
      <c r="OO72" s="125"/>
      <c r="OP72" s="125"/>
      <c r="OQ72" s="125"/>
      <c r="OR72" s="125"/>
      <c r="OS72" s="125"/>
      <c r="OT72" s="125"/>
      <c r="OU72" s="125"/>
      <c r="OV72" s="125"/>
      <c r="OW72" s="125"/>
      <c r="OX72" s="125"/>
      <c r="OY72" s="125"/>
      <c r="OZ72" s="125"/>
      <c r="PA72" s="125"/>
      <c r="PB72" s="125"/>
      <c r="PC72" s="125"/>
      <c r="PD72" s="125"/>
      <c r="PE72" s="125"/>
      <c r="PF72" s="125"/>
      <c r="PG72" s="125"/>
      <c r="PH72" s="125"/>
      <c r="PI72" s="125"/>
      <c r="PJ72" s="125"/>
      <c r="PK72" s="125"/>
      <c r="PL72" s="125"/>
      <c r="PM72" s="125"/>
      <c r="PN72" s="125"/>
      <c r="PO72" s="125"/>
      <c r="PP72" s="125"/>
      <c r="PQ72" s="125"/>
      <c r="PR72" s="125"/>
      <c r="PS72" s="125"/>
      <c r="PT72" s="125"/>
      <c r="PU72" s="125"/>
      <c r="PV72" s="125"/>
      <c r="PW72" s="125"/>
      <c r="PX72" s="125"/>
      <c r="PY72" s="125"/>
      <c r="PZ72" s="125"/>
      <c r="QA72" s="125"/>
      <c r="QB72" s="125"/>
      <c r="QC72" s="125"/>
      <c r="QD72" s="125"/>
      <c r="QE72" s="125"/>
      <c r="QF72" s="125"/>
      <c r="QG72" s="125"/>
      <c r="QH72" s="125"/>
      <c r="QI72" s="125"/>
      <c r="QJ72" s="125"/>
      <c r="QK72" s="125"/>
      <c r="QL72" s="125"/>
      <c r="QM72" s="125"/>
      <c r="QN72" s="125"/>
      <c r="QO72" s="125"/>
      <c r="QP72" s="125"/>
      <c r="QQ72" s="125"/>
      <c r="QR72" s="125"/>
      <c r="QS72" s="125"/>
      <c r="QT72" s="125"/>
      <c r="QU72" s="125"/>
      <c r="QV72" s="125"/>
      <c r="QW72" s="125"/>
      <c r="QX72" s="125"/>
      <c r="QY72" s="125"/>
      <c r="QZ72" s="125"/>
      <c r="RA72" s="125"/>
      <c r="RB72" s="125"/>
      <c r="RC72" s="125"/>
      <c r="RD72" s="125"/>
      <c r="RE72" s="125"/>
      <c r="RF72" s="125"/>
      <c r="RG72" s="125"/>
      <c r="RH72" s="125"/>
      <c r="RI72" s="125"/>
      <c r="RJ72" s="125"/>
      <c r="RK72" s="125"/>
      <c r="RL72" s="125"/>
      <c r="RM72" s="125"/>
      <c r="RN72" s="125"/>
      <c r="RO72" s="125"/>
      <c r="RP72" s="125"/>
      <c r="RQ72" s="125"/>
      <c r="RR72" s="125"/>
      <c r="RS72" s="125"/>
      <c r="RT72" s="125"/>
      <c r="RU72" s="125"/>
      <c r="RV72" s="125"/>
      <c r="RW72" s="125"/>
      <c r="RX72" s="125"/>
      <c r="RY72" s="125"/>
      <c r="RZ72" s="125"/>
      <c r="SA72" s="125"/>
      <c r="SB72" s="125"/>
      <c r="SC72" s="125"/>
      <c r="SD72" s="125"/>
      <c r="SE72" s="125"/>
      <c r="SF72" s="125"/>
      <c r="SG72" s="125"/>
      <c r="SH72" s="125"/>
      <c r="SI72" s="125"/>
      <c r="SJ72" s="125"/>
      <c r="SK72" s="125"/>
      <c r="SL72" s="125"/>
      <c r="SM72" s="125"/>
      <c r="SN72" s="125"/>
      <c r="SO72" s="125"/>
      <c r="SP72" s="125"/>
      <c r="SQ72" s="125"/>
      <c r="SR72" s="125"/>
      <c r="SS72" s="125"/>
      <c r="ST72" s="125"/>
      <c r="SU72" s="125"/>
      <c r="SV72" s="125"/>
      <c r="SW72" s="125"/>
    </row>
    <row r="73" customFormat="false" ht="14.25" hidden="false" customHeight="false" outlineLevel="0" collapsed="false">
      <c r="C73" s="124"/>
      <c r="D73" s="125"/>
      <c r="E73" s="125"/>
      <c r="F73" s="125"/>
      <c r="G73" s="125"/>
      <c r="H73" s="125"/>
      <c r="I73" s="126"/>
      <c r="J73" s="126"/>
      <c r="K73" s="126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5"/>
      <c r="AH73" s="125"/>
      <c r="AI73" s="125"/>
      <c r="AJ73" s="125"/>
      <c r="AK73" s="125"/>
      <c r="AL73" s="125"/>
      <c r="AM73" s="125"/>
      <c r="AN73" s="125"/>
      <c r="AO73" s="125"/>
      <c r="AP73" s="125"/>
      <c r="AQ73" s="125"/>
      <c r="AR73" s="125"/>
      <c r="AS73" s="125"/>
      <c r="AT73" s="125"/>
      <c r="AU73" s="125"/>
      <c r="AV73" s="125"/>
      <c r="AW73" s="125"/>
      <c r="AX73" s="125"/>
      <c r="AY73" s="125"/>
      <c r="AZ73" s="125"/>
      <c r="BA73" s="125"/>
      <c r="BB73" s="125"/>
      <c r="BC73" s="125"/>
      <c r="BD73" s="125"/>
      <c r="BE73" s="125"/>
      <c r="BF73" s="125"/>
      <c r="BG73" s="125"/>
      <c r="BH73" s="125"/>
      <c r="BI73" s="125"/>
      <c r="BJ73" s="125"/>
      <c r="BK73" s="125"/>
      <c r="BL73" s="125"/>
      <c r="BM73" s="125"/>
      <c r="BN73" s="125"/>
      <c r="BO73" s="125"/>
      <c r="BP73" s="125"/>
      <c r="BQ73" s="125"/>
      <c r="BR73" s="125"/>
      <c r="BS73" s="125"/>
      <c r="BT73" s="125"/>
      <c r="BU73" s="125"/>
      <c r="BV73" s="125"/>
      <c r="BW73" s="125"/>
      <c r="BX73" s="125"/>
      <c r="BY73" s="125"/>
      <c r="BZ73" s="125"/>
      <c r="CA73" s="125"/>
      <c r="CB73" s="125"/>
      <c r="CC73" s="125"/>
      <c r="CD73" s="125"/>
      <c r="CE73" s="125"/>
      <c r="CF73" s="125"/>
      <c r="CG73" s="125"/>
      <c r="CH73" s="125"/>
      <c r="CI73" s="125"/>
      <c r="CJ73" s="125"/>
      <c r="CK73" s="125"/>
      <c r="CL73" s="125"/>
      <c r="CM73" s="125"/>
      <c r="CN73" s="125"/>
      <c r="CO73" s="125"/>
      <c r="CP73" s="125"/>
      <c r="CQ73" s="125"/>
      <c r="CR73" s="125"/>
      <c r="CS73" s="125"/>
      <c r="CT73" s="125"/>
      <c r="CU73" s="125"/>
      <c r="CV73" s="125"/>
      <c r="CW73" s="125"/>
      <c r="CX73" s="125"/>
      <c r="CY73" s="125"/>
      <c r="CZ73" s="125"/>
      <c r="DA73" s="125"/>
      <c r="DB73" s="125"/>
      <c r="DC73" s="125"/>
      <c r="DD73" s="125"/>
      <c r="DE73" s="125"/>
      <c r="DF73" s="125"/>
      <c r="DG73" s="125"/>
      <c r="DH73" s="125"/>
      <c r="DI73" s="125"/>
      <c r="DJ73" s="125"/>
      <c r="DK73" s="125"/>
      <c r="DL73" s="125"/>
      <c r="DM73" s="125"/>
      <c r="DN73" s="125"/>
      <c r="DO73" s="125"/>
      <c r="DP73" s="125"/>
      <c r="DQ73" s="125"/>
      <c r="DR73" s="125"/>
      <c r="DS73" s="125"/>
      <c r="DT73" s="125"/>
      <c r="DU73" s="125"/>
      <c r="DV73" s="125"/>
      <c r="DW73" s="125"/>
      <c r="DX73" s="125"/>
      <c r="DY73" s="125"/>
      <c r="DZ73" s="125"/>
      <c r="EA73" s="125"/>
      <c r="EB73" s="125"/>
      <c r="EC73" s="125"/>
      <c r="ED73" s="125"/>
      <c r="EE73" s="125"/>
      <c r="EF73" s="125"/>
      <c r="EG73" s="125"/>
      <c r="EH73" s="125"/>
      <c r="EI73" s="125"/>
      <c r="EJ73" s="125"/>
      <c r="EK73" s="125"/>
      <c r="EL73" s="125"/>
      <c r="EM73" s="125"/>
      <c r="EN73" s="125"/>
      <c r="EO73" s="125"/>
      <c r="EP73" s="125"/>
      <c r="EQ73" s="125"/>
      <c r="ER73" s="125"/>
      <c r="ES73" s="125"/>
      <c r="ET73" s="125"/>
      <c r="EU73" s="125"/>
      <c r="EV73" s="125"/>
      <c r="EW73" s="125"/>
      <c r="EX73" s="125"/>
      <c r="EY73" s="125"/>
      <c r="EZ73" s="125"/>
      <c r="FA73" s="125"/>
      <c r="FB73" s="125"/>
      <c r="FC73" s="125"/>
      <c r="FD73" s="125"/>
      <c r="FE73" s="125"/>
      <c r="FF73" s="125"/>
      <c r="FG73" s="125"/>
      <c r="FH73" s="125"/>
      <c r="FI73" s="125"/>
      <c r="FJ73" s="125"/>
      <c r="FK73" s="125"/>
      <c r="FL73" s="125"/>
      <c r="FM73" s="125"/>
      <c r="FN73" s="125"/>
      <c r="FO73" s="125"/>
      <c r="FP73" s="125"/>
      <c r="FQ73" s="125"/>
      <c r="FR73" s="125"/>
      <c r="FS73" s="125"/>
      <c r="FT73" s="125"/>
      <c r="FU73" s="125"/>
      <c r="FV73" s="125"/>
      <c r="FW73" s="125"/>
      <c r="FX73" s="125"/>
      <c r="FY73" s="125"/>
      <c r="FZ73" s="125"/>
      <c r="GA73" s="125"/>
      <c r="GB73" s="125"/>
      <c r="GC73" s="125"/>
      <c r="GD73" s="125"/>
      <c r="GE73" s="125"/>
      <c r="GF73" s="125"/>
      <c r="GG73" s="125"/>
      <c r="GH73" s="125"/>
      <c r="GI73" s="125"/>
      <c r="GJ73" s="125"/>
      <c r="GK73" s="125"/>
      <c r="GL73" s="125"/>
      <c r="GM73" s="125"/>
      <c r="GN73" s="125"/>
      <c r="GO73" s="125"/>
      <c r="GP73" s="125"/>
      <c r="GQ73" s="125"/>
      <c r="GR73" s="125"/>
      <c r="GS73" s="125"/>
      <c r="GT73" s="125"/>
      <c r="GU73" s="125"/>
      <c r="GV73" s="125"/>
      <c r="GW73" s="125"/>
      <c r="GX73" s="125"/>
      <c r="GY73" s="125"/>
      <c r="GZ73" s="125"/>
      <c r="HA73" s="125"/>
      <c r="HB73" s="125"/>
      <c r="HC73" s="125"/>
      <c r="HD73" s="125"/>
      <c r="HE73" s="125"/>
      <c r="HF73" s="125"/>
      <c r="HG73" s="125"/>
      <c r="HH73" s="125"/>
      <c r="HI73" s="125"/>
      <c r="HJ73" s="125"/>
      <c r="HK73" s="125"/>
      <c r="HL73" s="125"/>
      <c r="HM73" s="125"/>
      <c r="HN73" s="125"/>
      <c r="HO73" s="125"/>
      <c r="HP73" s="125"/>
      <c r="HQ73" s="125"/>
      <c r="HR73" s="125"/>
      <c r="HS73" s="125"/>
      <c r="HT73" s="125"/>
      <c r="HU73" s="125"/>
      <c r="HV73" s="125"/>
      <c r="HW73" s="125"/>
      <c r="HX73" s="125"/>
      <c r="HY73" s="125"/>
      <c r="HZ73" s="125"/>
      <c r="IA73" s="125"/>
      <c r="IB73" s="125"/>
      <c r="IC73" s="125"/>
      <c r="ID73" s="125"/>
      <c r="IE73" s="125"/>
      <c r="IF73" s="125"/>
      <c r="IG73" s="125"/>
      <c r="IH73" s="125"/>
      <c r="II73" s="125"/>
      <c r="IJ73" s="125"/>
      <c r="IK73" s="125"/>
      <c r="IL73" s="125"/>
      <c r="IM73" s="125"/>
      <c r="IN73" s="125"/>
      <c r="IO73" s="125"/>
      <c r="IP73" s="125"/>
      <c r="IQ73" s="125"/>
      <c r="IR73" s="125"/>
      <c r="IS73" s="125"/>
      <c r="IT73" s="125"/>
      <c r="IU73" s="125"/>
      <c r="IV73" s="125"/>
      <c r="IW73" s="125"/>
      <c r="IX73" s="125"/>
      <c r="IY73" s="125"/>
      <c r="IZ73" s="125"/>
      <c r="JA73" s="125"/>
      <c r="JB73" s="125"/>
      <c r="JC73" s="125"/>
      <c r="JD73" s="125"/>
      <c r="JE73" s="125"/>
      <c r="JF73" s="125"/>
      <c r="JG73" s="125"/>
      <c r="JH73" s="125"/>
      <c r="JI73" s="125"/>
      <c r="JJ73" s="125"/>
      <c r="JK73" s="125"/>
      <c r="JL73" s="125"/>
      <c r="JM73" s="125"/>
      <c r="JN73" s="125"/>
      <c r="JO73" s="125"/>
      <c r="JP73" s="125"/>
      <c r="JQ73" s="125"/>
      <c r="JR73" s="125"/>
      <c r="JS73" s="125"/>
      <c r="JT73" s="125"/>
      <c r="JU73" s="125"/>
      <c r="JV73" s="125"/>
      <c r="JW73" s="125"/>
      <c r="JX73" s="125"/>
      <c r="JY73" s="125"/>
      <c r="JZ73" s="125"/>
      <c r="KA73" s="125"/>
      <c r="KB73" s="125"/>
      <c r="KC73" s="125"/>
      <c r="KD73" s="125"/>
      <c r="KE73" s="125"/>
      <c r="KF73" s="125"/>
      <c r="KG73" s="125"/>
      <c r="KH73" s="125"/>
      <c r="KI73" s="125"/>
      <c r="KJ73" s="125"/>
      <c r="KK73" s="125"/>
      <c r="KL73" s="125"/>
      <c r="KM73" s="125"/>
      <c r="KN73" s="125"/>
      <c r="KO73" s="125"/>
      <c r="KP73" s="125"/>
      <c r="KQ73" s="125"/>
      <c r="KR73" s="125"/>
      <c r="KS73" s="125"/>
      <c r="KT73" s="125"/>
      <c r="KU73" s="125"/>
      <c r="KV73" s="125"/>
      <c r="KW73" s="125"/>
      <c r="KX73" s="125"/>
      <c r="KY73" s="125"/>
      <c r="KZ73" s="125"/>
      <c r="LA73" s="125"/>
      <c r="LB73" s="125"/>
      <c r="LC73" s="125"/>
      <c r="LD73" s="125"/>
      <c r="LE73" s="125"/>
      <c r="LF73" s="125"/>
      <c r="LG73" s="125"/>
      <c r="LH73" s="125"/>
      <c r="LI73" s="125"/>
      <c r="LJ73" s="125"/>
      <c r="LK73" s="125"/>
      <c r="LL73" s="125"/>
      <c r="LM73" s="125"/>
      <c r="LN73" s="125"/>
      <c r="LO73" s="125"/>
      <c r="LP73" s="125"/>
      <c r="LQ73" s="125"/>
      <c r="LR73" s="125"/>
      <c r="LS73" s="125"/>
      <c r="LT73" s="125"/>
      <c r="LU73" s="125"/>
      <c r="LV73" s="125"/>
      <c r="LW73" s="125"/>
      <c r="LX73" s="125"/>
      <c r="LY73" s="125"/>
      <c r="LZ73" s="125"/>
      <c r="MA73" s="125"/>
      <c r="MB73" s="125"/>
      <c r="MC73" s="125"/>
      <c r="MD73" s="125"/>
      <c r="ME73" s="125"/>
      <c r="MF73" s="125"/>
      <c r="MG73" s="125"/>
      <c r="MH73" s="125"/>
      <c r="MI73" s="125"/>
      <c r="MJ73" s="125"/>
      <c r="MK73" s="125"/>
      <c r="ML73" s="125"/>
      <c r="MM73" s="125"/>
      <c r="MN73" s="125"/>
      <c r="MO73" s="125"/>
      <c r="MP73" s="125"/>
      <c r="MQ73" s="125"/>
      <c r="MR73" s="125"/>
      <c r="MS73" s="125"/>
      <c r="MT73" s="125"/>
      <c r="MU73" s="125"/>
      <c r="MV73" s="125"/>
      <c r="MW73" s="125"/>
      <c r="MX73" s="125"/>
      <c r="MY73" s="125"/>
      <c r="MZ73" s="125"/>
      <c r="NA73" s="125"/>
      <c r="NB73" s="125"/>
      <c r="NC73" s="125"/>
      <c r="ND73" s="125"/>
      <c r="NE73" s="125"/>
      <c r="NF73" s="125"/>
      <c r="NG73" s="125"/>
      <c r="NH73" s="125"/>
      <c r="NI73" s="125"/>
      <c r="NJ73" s="125"/>
      <c r="NK73" s="125"/>
      <c r="NL73" s="125"/>
      <c r="NM73" s="125"/>
      <c r="NN73" s="125"/>
      <c r="NO73" s="125"/>
      <c r="NP73" s="125"/>
      <c r="NQ73" s="125"/>
      <c r="NR73" s="125"/>
      <c r="NS73" s="125"/>
      <c r="NT73" s="125"/>
      <c r="NU73" s="125"/>
      <c r="NV73" s="125"/>
      <c r="NW73" s="125"/>
      <c r="NX73" s="125"/>
      <c r="NY73" s="125"/>
      <c r="NZ73" s="125"/>
      <c r="OA73" s="125"/>
      <c r="OB73" s="125"/>
      <c r="OC73" s="125"/>
      <c r="OD73" s="125"/>
      <c r="OE73" s="125"/>
      <c r="OF73" s="125"/>
      <c r="OG73" s="125"/>
      <c r="OH73" s="125"/>
      <c r="OI73" s="125"/>
      <c r="OJ73" s="125"/>
      <c r="OK73" s="125"/>
      <c r="OL73" s="125"/>
      <c r="OM73" s="125"/>
      <c r="ON73" s="125"/>
      <c r="OO73" s="125"/>
      <c r="OP73" s="125"/>
      <c r="OQ73" s="125"/>
      <c r="OR73" s="125"/>
      <c r="OS73" s="125"/>
      <c r="OT73" s="125"/>
      <c r="OU73" s="125"/>
      <c r="OV73" s="125"/>
      <c r="OW73" s="125"/>
      <c r="OX73" s="125"/>
      <c r="OY73" s="125"/>
      <c r="OZ73" s="125"/>
      <c r="PA73" s="125"/>
      <c r="PB73" s="125"/>
      <c r="PC73" s="125"/>
      <c r="PD73" s="125"/>
      <c r="PE73" s="125"/>
      <c r="PF73" s="125"/>
      <c r="PG73" s="125"/>
      <c r="PH73" s="125"/>
      <c r="PI73" s="125"/>
      <c r="PJ73" s="125"/>
      <c r="PK73" s="125"/>
      <c r="PL73" s="125"/>
      <c r="PM73" s="125"/>
      <c r="PN73" s="125"/>
      <c r="PO73" s="125"/>
      <c r="PP73" s="125"/>
      <c r="PQ73" s="125"/>
      <c r="PR73" s="125"/>
      <c r="PS73" s="125"/>
      <c r="PT73" s="125"/>
      <c r="PU73" s="125"/>
      <c r="PV73" s="125"/>
      <c r="PW73" s="125"/>
      <c r="PX73" s="125"/>
      <c r="PY73" s="125"/>
      <c r="PZ73" s="125"/>
      <c r="QA73" s="125"/>
      <c r="QB73" s="125"/>
      <c r="QC73" s="125"/>
      <c r="QD73" s="125"/>
      <c r="QE73" s="125"/>
      <c r="QF73" s="125"/>
      <c r="QG73" s="125"/>
      <c r="QH73" s="125"/>
      <c r="QI73" s="125"/>
      <c r="QJ73" s="125"/>
      <c r="QK73" s="125"/>
      <c r="QL73" s="125"/>
      <c r="QM73" s="125"/>
      <c r="QN73" s="125"/>
      <c r="QO73" s="125"/>
      <c r="QP73" s="125"/>
      <c r="QQ73" s="125"/>
      <c r="QR73" s="125"/>
      <c r="QS73" s="125"/>
      <c r="QT73" s="125"/>
      <c r="QU73" s="125"/>
      <c r="QV73" s="125"/>
      <c r="QW73" s="125"/>
      <c r="QX73" s="125"/>
      <c r="QY73" s="125"/>
      <c r="QZ73" s="125"/>
      <c r="RA73" s="125"/>
      <c r="RB73" s="125"/>
      <c r="RC73" s="125"/>
      <c r="RD73" s="125"/>
      <c r="RE73" s="125"/>
      <c r="RF73" s="125"/>
      <c r="RG73" s="125"/>
      <c r="RH73" s="125"/>
      <c r="RI73" s="125"/>
      <c r="RJ73" s="125"/>
      <c r="RK73" s="125"/>
      <c r="RL73" s="125"/>
      <c r="RM73" s="125"/>
      <c r="RN73" s="125"/>
      <c r="RO73" s="125"/>
      <c r="RP73" s="125"/>
      <c r="RQ73" s="125"/>
      <c r="RR73" s="125"/>
      <c r="RS73" s="125"/>
      <c r="RT73" s="125"/>
      <c r="RU73" s="125"/>
      <c r="RV73" s="125"/>
      <c r="RW73" s="125"/>
      <c r="RX73" s="125"/>
      <c r="RY73" s="125"/>
      <c r="RZ73" s="125"/>
      <c r="SA73" s="125"/>
      <c r="SB73" s="125"/>
      <c r="SC73" s="125"/>
      <c r="SD73" s="125"/>
      <c r="SE73" s="125"/>
      <c r="SF73" s="125"/>
      <c r="SG73" s="125"/>
      <c r="SH73" s="125"/>
      <c r="SI73" s="125"/>
      <c r="SJ73" s="125"/>
      <c r="SK73" s="125"/>
      <c r="SL73" s="125"/>
      <c r="SM73" s="125"/>
      <c r="SN73" s="125"/>
      <c r="SO73" s="125"/>
      <c r="SP73" s="125"/>
      <c r="SQ73" s="125"/>
      <c r="SR73" s="125"/>
      <c r="SS73" s="125"/>
      <c r="ST73" s="125"/>
      <c r="SU73" s="125"/>
      <c r="SV73" s="125"/>
      <c r="SW73" s="125"/>
    </row>
    <row r="74" customFormat="false" ht="14.25" hidden="false" customHeight="false" outlineLevel="0" collapsed="false">
      <c r="C74" s="124"/>
      <c r="D74" s="125"/>
      <c r="E74" s="125"/>
      <c r="F74" s="125"/>
      <c r="G74" s="125"/>
      <c r="H74" s="125"/>
      <c r="I74" s="126"/>
      <c r="J74" s="126"/>
      <c r="K74" s="126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5"/>
      <c r="AH74" s="125"/>
      <c r="AI74" s="125"/>
      <c r="AJ74" s="125"/>
      <c r="AK74" s="125"/>
      <c r="AL74" s="125"/>
      <c r="AM74" s="125"/>
      <c r="AN74" s="125"/>
      <c r="AO74" s="125"/>
      <c r="AP74" s="125"/>
      <c r="AQ74" s="125"/>
      <c r="AR74" s="125"/>
      <c r="AS74" s="125"/>
      <c r="AT74" s="125"/>
      <c r="AU74" s="125"/>
      <c r="AV74" s="125"/>
      <c r="AW74" s="125"/>
      <c r="AX74" s="125"/>
      <c r="AY74" s="125"/>
      <c r="AZ74" s="125"/>
      <c r="BA74" s="125"/>
      <c r="BB74" s="125"/>
      <c r="BC74" s="125"/>
      <c r="BD74" s="125"/>
      <c r="BE74" s="125"/>
      <c r="BF74" s="125"/>
      <c r="BG74" s="125"/>
      <c r="BH74" s="125"/>
      <c r="BI74" s="125"/>
      <c r="BJ74" s="125"/>
      <c r="BK74" s="125"/>
      <c r="BL74" s="125"/>
      <c r="BM74" s="125"/>
      <c r="BN74" s="125"/>
      <c r="BO74" s="125"/>
      <c r="BP74" s="125"/>
      <c r="BQ74" s="125"/>
      <c r="BR74" s="125"/>
      <c r="BS74" s="125"/>
      <c r="BT74" s="125"/>
      <c r="BU74" s="125"/>
      <c r="BV74" s="125"/>
      <c r="BW74" s="125"/>
      <c r="BX74" s="125"/>
      <c r="BY74" s="125"/>
      <c r="BZ74" s="125"/>
      <c r="CA74" s="125"/>
      <c r="CB74" s="125"/>
      <c r="CC74" s="125"/>
      <c r="CD74" s="125"/>
      <c r="CE74" s="125"/>
      <c r="CF74" s="125"/>
      <c r="CG74" s="125"/>
      <c r="CH74" s="125"/>
      <c r="CI74" s="125"/>
      <c r="CJ74" s="125"/>
      <c r="CK74" s="125"/>
      <c r="CL74" s="125"/>
      <c r="CM74" s="125"/>
      <c r="CN74" s="125"/>
      <c r="CO74" s="125"/>
      <c r="CP74" s="125"/>
      <c r="CQ74" s="125"/>
      <c r="CR74" s="125"/>
      <c r="CS74" s="125"/>
      <c r="CT74" s="125"/>
      <c r="CU74" s="125"/>
      <c r="CV74" s="125"/>
      <c r="CW74" s="125"/>
      <c r="CX74" s="125"/>
      <c r="CY74" s="125"/>
      <c r="CZ74" s="125"/>
      <c r="DA74" s="125"/>
      <c r="DB74" s="125"/>
      <c r="DC74" s="125"/>
      <c r="DD74" s="125"/>
      <c r="DE74" s="125"/>
      <c r="DF74" s="125"/>
      <c r="DG74" s="125"/>
      <c r="DH74" s="125"/>
      <c r="DI74" s="125"/>
      <c r="DJ74" s="125"/>
      <c r="DK74" s="125"/>
      <c r="DL74" s="125"/>
      <c r="DM74" s="125"/>
      <c r="DN74" s="125"/>
      <c r="DO74" s="125"/>
      <c r="DP74" s="125"/>
      <c r="DQ74" s="125"/>
      <c r="DR74" s="125"/>
      <c r="DS74" s="125"/>
      <c r="DT74" s="125"/>
      <c r="DU74" s="125"/>
      <c r="DV74" s="125"/>
      <c r="DW74" s="125"/>
      <c r="DX74" s="125"/>
      <c r="DY74" s="125"/>
      <c r="DZ74" s="125"/>
      <c r="EA74" s="125"/>
      <c r="EB74" s="125"/>
      <c r="EC74" s="125"/>
      <c r="ED74" s="125"/>
      <c r="EE74" s="125"/>
      <c r="EF74" s="125"/>
      <c r="EG74" s="125"/>
      <c r="EH74" s="125"/>
      <c r="EI74" s="125"/>
      <c r="EJ74" s="125"/>
      <c r="EK74" s="125"/>
      <c r="EL74" s="125"/>
      <c r="EM74" s="125"/>
      <c r="EN74" s="125"/>
      <c r="EO74" s="125"/>
      <c r="EP74" s="125"/>
      <c r="EQ74" s="125"/>
      <c r="ER74" s="125"/>
      <c r="ES74" s="125"/>
      <c r="ET74" s="125"/>
      <c r="EU74" s="125"/>
      <c r="EV74" s="125"/>
      <c r="EW74" s="125"/>
      <c r="EX74" s="125"/>
      <c r="EY74" s="125"/>
      <c r="EZ74" s="125"/>
      <c r="FA74" s="125"/>
      <c r="FB74" s="125"/>
      <c r="FC74" s="125"/>
      <c r="FD74" s="125"/>
      <c r="FE74" s="125"/>
      <c r="FF74" s="125"/>
      <c r="FG74" s="125"/>
      <c r="FH74" s="125"/>
      <c r="FI74" s="125"/>
      <c r="FJ74" s="125"/>
      <c r="FK74" s="125"/>
      <c r="FL74" s="125"/>
      <c r="FM74" s="125"/>
      <c r="FN74" s="125"/>
      <c r="FO74" s="125"/>
      <c r="FP74" s="125"/>
      <c r="FQ74" s="125"/>
      <c r="FR74" s="125"/>
      <c r="FS74" s="125"/>
      <c r="FT74" s="125"/>
      <c r="FU74" s="125"/>
      <c r="FV74" s="125"/>
      <c r="FW74" s="125"/>
      <c r="FX74" s="125"/>
      <c r="FY74" s="125"/>
      <c r="FZ74" s="125"/>
      <c r="GA74" s="125"/>
      <c r="GB74" s="125"/>
      <c r="GC74" s="125"/>
      <c r="GD74" s="125"/>
      <c r="GE74" s="125"/>
      <c r="GF74" s="125"/>
      <c r="GG74" s="125"/>
      <c r="GH74" s="125"/>
      <c r="GI74" s="125"/>
      <c r="GJ74" s="125"/>
      <c r="GK74" s="125"/>
      <c r="GL74" s="125"/>
      <c r="GM74" s="125"/>
      <c r="GN74" s="125"/>
      <c r="GO74" s="125"/>
      <c r="GP74" s="125"/>
      <c r="GQ74" s="125"/>
      <c r="GR74" s="125"/>
      <c r="GS74" s="125"/>
      <c r="GT74" s="125"/>
      <c r="GU74" s="125"/>
      <c r="GV74" s="125"/>
      <c r="GW74" s="125"/>
      <c r="GX74" s="125"/>
      <c r="GY74" s="125"/>
      <c r="GZ74" s="125"/>
      <c r="HA74" s="125"/>
      <c r="HB74" s="125"/>
      <c r="HC74" s="125"/>
      <c r="HD74" s="125"/>
      <c r="HE74" s="125"/>
      <c r="HF74" s="125"/>
      <c r="HG74" s="125"/>
      <c r="HH74" s="125"/>
      <c r="HI74" s="125"/>
      <c r="HJ74" s="125"/>
      <c r="HK74" s="125"/>
      <c r="HL74" s="125"/>
      <c r="HM74" s="125"/>
      <c r="HN74" s="125"/>
      <c r="HO74" s="125"/>
      <c r="HP74" s="125"/>
      <c r="HQ74" s="125"/>
      <c r="HR74" s="125"/>
      <c r="HS74" s="125"/>
      <c r="HT74" s="125"/>
      <c r="HU74" s="125"/>
      <c r="HV74" s="125"/>
      <c r="HW74" s="125"/>
      <c r="HX74" s="125"/>
      <c r="HY74" s="125"/>
      <c r="HZ74" s="125"/>
      <c r="IA74" s="125"/>
      <c r="IB74" s="125"/>
      <c r="IC74" s="125"/>
      <c r="ID74" s="125"/>
      <c r="IE74" s="125"/>
      <c r="IF74" s="125"/>
      <c r="IG74" s="125"/>
      <c r="IH74" s="125"/>
      <c r="II74" s="125"/>
      <c r="IJ74" s="125"/>
      <c r="IK74" s="125"/>
      <c r="IL74" s="125"/>
      <c r="IM74" s="125"/>
      <c r="IN74" s="125"/>
      <c r="IO74" s="125"/>
      <c r="IP74" s="125"/>
      <c r="IQ74" s="125"/>
      <c r="IR74" s="125"/>
      <c r="IS74" s="125"/>
      <c r="IT74" s="125"/>
      <c r="IU74" s="125"/>
      <c r="IV74" s="125"/>
      <c r="IW74" s="125"/>
      <c r="IX74" s="125"/>
      <c r="IY74" s="125"/>
      <c r="IZ74" s="125"/>
      <c r="JA74" s="125"/>
      <c r="JB74" s="125"/>
      <c r="JC74" s="125"/>
      <c r="JD74" s="125"/>
      <c r="JE74" s="125"/>
      <c r="JF74" s="125"/>
      <c r="JG74" s="125"/>
      <c r="JH74" s="125"/>
      <c r="JI74" s="125"/>
      <c r="JJ74" s="125"/>
      <c r="JK74" s="125"/>
      <c r="JL74" s="125"/>
      <c r="JM74" s="125"/>
      <c r="JN74" s="125"/>
      <c r="JO74" s="125"/>
      <c r="JP74" s="125"/>
      <c r="JQ74" s="125"/>
      <c r="JR74" s="125"/>
      <c r="JS74" s="125"/>
      <c r="JT74" s="125"/>
      <c r="JU74" s="125"/>
      <c r="JV74" s="125"/>
      <c r="JW74" s="125"/>
      <c r="JX74" s="125"/>
      <c r="JY74" s="125"/>
      <c r="JZ74" s="125"/>
      <c r="KA74" s="125"/>
      <c r="KB74" s="125"/>
      <c r="KC74" s="125"/>
      <c r="KD74" s="125"/>
      <c r="KE74" s="125"/>
      <c r="KF74" s="125"/>
      <c r="KG74" s="125"/>
      <c r="KH74" s="125"/>
      <c r="KI74" s="125"/>
      <c r="KJ74" s="125"/>
      <c r="KK74" s="125"/>
      <c r="KL74" s="125"/>
      <c r="KM74" s="125"/>
      <c r="KN74" s="125"/>
      <c r="KO74" s="125"/>
      <c r="KP74" s="125"/>
      <c r="KQ74" s="125"/>
      <c r="KR74" s="125"/>
      <c r="KS74" s="125"/>
      <c r="KT74" s="125"/>
      <c r="KU74" s="125"/>
      <c r="KV74" s="125"/>
      <c r="KW74" s="125"/>
      <c r="KX74" s="125"/>
      <c r="KY74" s="125"/>
      <c r="KZ74" s="125"/>
      <c r="LA74" s="125"/>
      <c r="LB74" s="125"/>
      <c r="LC74" s="125"/>
      <c r="LD74" s="125"/>
      <c r="LE74" s="125"/>
      <c r="LF74" s="125"/>
      <c r="LG74" s="125"/>
      <c r="LH74" s="125"/>
      <c r="LI74" s="125"/>
      <c r="LJ74" s="125"/>
      <c r="LK74" s="125"/>
      <c r="LL74" s="125"/>
      <c r="LM74" s="125"/>
      <c r="LN74" s="125"/>
      <c r="LO74" s="125"/>
      <c r="LP74" s="125"/>
      <c r="LQ74" s="125"/>
      <c r="LR74" s="125"/>
      <c r="LS74" s="125"/>
      <c r="LT74" s="125"/>
      <c r="LU74" s="125"/>
      <c r="LV74" s="125"/>
      <c r="LW74" s="125"/>
      <c r="LX74" s="125"/>
      <c r="LY74" s="125"/>
      <c r="LZ74" s="125"/>
      <c r="MA74" s="125"/>
      <c r="MB74" s="125"/>
      <c r="MC74" s="125"/>
      <c r="MD74" s="125"/>
      <c r="ME74" s="125"/>
      <c r="MF74" s="125"/>
      <c r="MG74" s="125"/>
      <c r="MH74" s="125"/>
      <c r="MI74" s="125"/>
      <c r="MJ74" s="125"/>
      <c r="MK74" s="125"/>
      <c r="ML74" s="125"/>
      <c r="MM74" s="125"/>
      <c r="MN74" s="125"/>
      <c r="MO74" s="125"/>
      <c r="MP74" s="125"/>
      <c r="MQ74" s="125"/>
      <c r="MR74" s="125"/>
      <c r="MS74" s="125"/>
      <c r="MT74" s="125"/>
      <c r="MU74" s="125"/>
      <c r="MV74" s="125"/>
      <c r="MW74" s="125"/>
      <c r="MX74" s="125"/>
      <c r="MY74" s="125"/>
      <c r="MZ74" s="125"/>
      <c r="NA74" s="125"/>
      <c r="NB74" s="125"/>
      <c r="NC74" s="125"/>
      <c r="ND74" s="125"/>
      <c r="NE74" s="125"/>
      <c r="NF74" s="125"/>
      <c r="NG74" s="125"/>
      <c r="NH74" s="125"/>
      <c r="NI74" s="125"/>
      <c r="NJ74" s="125"/>
      <c r="NK74" s="125"/>
      <c r="NL74" s="125"/>
      <c r="NM74" s="125"/>
      <c r="NN74" s="125"/>
      <c r="NO74" s="125"/>
      <c r="NP74" s="125"/>
      <c r="NQ74" s="125"/>
      <c r="NR74" s="125"/>
      <c r="NS74" s="125"/>
      <c r="NT74" s="125"/>
      <c r="NU74" s="125"/>
      <c r="NV74" s="125"/>
      <c r="NW74" s="125"/>
      <c r="NX74" s="125"/>
      <c r="NY74" s="125"/>
      <c r="NZ74" s="125"/>
      <c r="OA74" s="125"/>
      <c r="OB74" s="125"/>
      <c r="OC74" s="125"/>
      <c r="OD74" s="125"/>
      <c r="OE74" s="125"/>
      <c r="OF74" s="125"/>
      <c r="OG74" s="125"/>
      <c r="OH74" s="125"/>
      <c r="OI74" s="125"/>
      <c r="OJ74" s="125"/>
      <c r="OK74" s="125"/>
      <c r="OL74" s="125"/>
      <c r="OM74" s="125"/>
      <c r="ON74" s="125"/>
      <c r="OO74" s="125"/>
      <c r="OP74" s="125"/>
      <c r="OQ74" s="125"/>
      <c r="OR74" s="125"/>
      <c r="OS74" s="125"/>
      <c r="OT74" s="125"/>
      <c r="OU74" s="125"/>
      <c r="OV74" s="125"/>
      <c r="OW74" s="125"/>
      <c r="OX74" s="125"/>
      <c r="OY74" s="125"/>
      <c r="OZ74" s="125"/>
      <c r="PA74" s="125"/>
      <c r="PB74" s="125"/>
      <c r="PC74" s="125"/>
      <c r="PD74" s="125"/>
      <c r="PE74" s="125"/>
      <c r="PF74" s="125"/>
      <c r="PG74" s="125"/>
      <c r="PH74" s="125"/>
      <c r="PI74" s="125"/>
      <c r="PJ74" s="125"/>
      <c r="PK74" s="125"/>
      <c r="PL74" s="125"/>
      <c r="PM74" s="125"/>
      <c r="PN74" s="125"/>
      <c r="PO74" s="125"/>
      <c r="PP74" s="125"/>
      <c r="PQ74" s="125"/>
      <c r="PR74" s="125"/>
      <c r="PS74" s="125"/>
      <c r="PT74" s="125"/>
      <c r="PU74" s="125"/>
      <c r="PV74" s="125"/>
      <c r="PW74" s="125"/>
      <c r="PX74" s="125"/>
      <c r="PY74" s="125"/>
      <c r="PZ74" s="125"/>
      <c r="QA74" s="125"/>
      <c r="QB74" s="125"/>
      <c r="QC74" s="125"/>
      <c r="QD74" s="125"/>
      <c r="QE74" s="125"/>
      <c r="QF74" s="125"/>
      <c r="QG74" s="125"/>
      <c r="QH74" s="125"/>
      <c r="QI74" s="125"/>
      <c r="QJ74" s="125"/>
      <c r="QK74" s="125"/>
      <c r="QL74" s="125"/>
      <c r="QM74" s="125"/>
      <c r="QN74" s="125"/>
      <c r="QO74" s="125"/>
      <c r="QP74" s="125"/>
      <c r="QQ74" s="125"/>
      <c r="QR74" s="125"/>
      <c r="QS74" s="125"/>
      <c r="QT74" s="125"/>
      <c r="QU74" s="125"/>
      <c r="QV74" s="125"/>
      <c r="QW74" s="125"/>
      <c r="QX74" s="125"/>
      <c r="QY74" s="125"/>
      <c r="QZ74" s="125"/>
      <c r="RA74" s="125"/>
      <c r="RB74" s="125"/>
      <c r="RC74" s="125"/>
      <c r="RD74" s="125"/>
      <c r="RE74" s="125"/>
      <c r="RF74" s="125"/>
      <c r="RG74" s="125"/>
      <c r="RH74" s="125"/>
      <c r="RI74" s="125"/>
      <c r="RJ74" s="125"/>
      <c r="RK74" s="125"/>
      <c r="RL74" s="125"/>
      <c r="RM74" s="125"/>
      <c r="RN74" s="125"/>
      <c r="RO74" s="125"/>
      <c r="RP74" s="125"/>
      <c r="RQ74" s="125"/>
      <c r="RR74" s="125"/>
      <c r="RS74" s="125"/>
      <c r="RT74" s="125"/>
      <c r="RU74" s="125"/>
      <c r="RV74" s="125"/>
      <c r="RW74" s="125"/>
      <c r="RX74" s="125"/>
      <c r="RY74" s="125"/>
      <c r="RZ74" s="125"/>
      <c r="SA74" s="125"/>
      <c r="SB74" s="125"/>
      <c r="SC74" s="125"/>
      <c r="SD74" s="125"/>
      <c r="SE74" s="125"/>
      <c r="SF74" s="125"/>
      <c r="SG74" s="125"/>
      <c r="SH74" s="125"/>
      <c r="SI74" s="125"/>
      <c r="SJ74" s="125"/>
      <c r="SK74" s="125"/>
      <c r="SL74" s="125"/>
      <c r="SM74" s="125"/>
      <c r="SN74" s="125"/>
      <c r="SO74" s="125"/>
      <c r="SP74" s="125"/>
      <c r="SQ74" s="125"/>
      <c r="SR74" s="125"/>
      <c r="SS74" s="125"/>
      <c r="ST74" s="125"/>
      <c r="SU74" s="125"/>
      <c r="SV74" s="125"/>
      <c r="SW74" s="125"/>
    </row>
    <row r="75" customFormat="false" ht="14.25" hidden="false" customHeight="false" outlineLevel="0" collapsed="false">
      <c r="C75" s="124"/>
      <c r="D75" s="125"/>
      <c r="E75" s="125"/>
      <c r="F75" s="125"/>
      <c r="G75" s="125"/>
      <c r="H75" s="125"/>
      <c r="I75" s="126"/>
      <c r="J75" s="126"/>
      <c r="K75" s="126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25"/>
      <c r="AB75" s="125"/>
      <c r="AC75" s="125"/>
      <c r="AD75" s="125"/>
      <c r="AE75" s="125"/>
      <c r="AF75" s="125"/>
      <c r="AG75" s="125"/>
      <c r="AH75" s="125"/>
      <c r="AI75" s="125"/>
      <c r="AJ75" s="125"/>
      <c r="AK75" s="125"/>
      <c r="AL75" s="125"/>
      <c r="AM75" s="125"/>
      <c r="AN75" s="125"/>
      <c r="AO75" s="125"/>
      <c r="AP75" s="125"/>
      <c r="AQ75" s="125"/>
      <c r="AR75" s="125"/>
      <c r="AS75" s="125"/>
      <c r="AT75" s="125"/>
      <c r="AU75" s="125"/>
      <c r="AV75" s="125"/>
      <c r="AW75" s="125"/>
      <c r="AX75" s="125"/>
      <c r="AY75" s="125"/>
      <c r="AZ75" s="125"/>
      <c r="BA75" s="125"/>
      <c r="BB75" s="125"/>
      <c r="BC75" s="125"/>
      <c r="BD75" s="125"/>
      <c r="BE75" s="125"/>
      <c r="BF75" s="125"/>
      <c r="BG75" s="125"/>
      <c r="BH75" s="125"/>
      <c r="BI75" s="125"/>
      <c r="BJ75" s="125"/>
      <c r="BK75" s="125"/>
      <c r="BL75" s="125"/>
      <c r="BM75" s="125"/>
      <c r="BN75" s="125"/>
      <c r="BO75" s="125"/>
      <c r="BP75" s="125"/>
      <c r="BQ75" s="125"/>
      <c r="BR75" s="125"/>
      <c r="BS75" s="125"/>
      <c r="BT75" s="125"/>
      <c r="BU75" s="125"/>
      <c r="BV75" s="125"/>
      <c r="BW75" s="125"/>
      <c r="BX75" s="125"/>
      <c r="BY75" s="125"/>
      <c r="BZ75" s="125"/>
      <c r="CA75" s="125"/>
      <c r="CB75" s="125"/>
      <c r="CC75" s="125"/>
      <c r="CD75" s="125"/>
      <c r="CE75" s="125"/>
      <c r="CF75" s="125"/>
      <c r="CG75" s="125"/>
      <c r="CH75" s="125"/>
      <c r="CI75" s="125"/>
      <c r="CJ75" s="125"/>
      <c r="CK75" s="125"/>
      <c r="CL75" s="125"/>
      <c r="CM75" s="125"/>
      <c r="CN75" s="125"/>
      <c r="CO75" s="125"/>
      <c r="CP75" s="125"/>
      <c r="CQ75" s="125"/>
      <c r="CR75" s="125"/>
      <c r="CS75" s="125"/>
      <c r="CT75" s="125"/>
      <c r="CU75" s="125"/>
      <c r="CV75" s="125"/>
      <c r="CW75" s="125"/>
      <c r="CX75" s="125"/>
      <c r="CY75" s="125"/>
      <c r="CZ75" s="125"/>
      <c r="DA75" s="125"/>
      <c r="DB75" s="125"/>
      <c r="DC75" s="125"/>
      <c r="DD75" s="125"/>
      <c r="DE75" s="125"/>
      <c r="DF75" s="125"/>
      <c r="DG75" s="125"/>
      <c r="DH75" s="125"/>
      <c r="DI75" s="125"/>
      <c r="DJ75" s="125"/>
      <c r="DK75" s="125"/>
      <c r="DL75" s="125"/>
      <c r="DM75" s="125"/>
      <c r="DN75" s="125"/>
      <c r="DO75" s="125"/>
      <c r="DP75" s="125"/>
      <c r="DQ75" s="125"/>
      <c r="DR75" s="125"/>
      <c r="DS75" s="125"/>
      <c r="DT75" s="125"/>
      <c r="DU75" s="125"/>
      <c r="DV75" s="125"/>
      <c r="DW75" s="125"/>
      <c r="DX75" s="125"/>
      <c r="DY75" s="125"/>
      <c r="DZ75" s="125"/>
      <c r="EA75" s="125"/>
      <c r="EB75" s="125"/>
      <c r="EC75" s="125"/>
      <c r="ED75" s="125"/>
      <c r="EE75" s="125"/>
      <c r="EF75" s="125"/>
      <c r="EG75" s="125"/>
      <c r="EH75" s="125"/>
      <c r="EI75" s="125"/>
      <c r="EJ75" s="125"/>
      <c r="EK75" s="125"/>
      <c r="EL75" s="125"/>
      <c r="EM75" s="125"/>
      <c r="EN75" s="125"/>
      <c r="EO75" s="125"/>
      <c r="EP75" s="125"/>
      <c r="EQ75" s="125"/>
      <c r="ER75" s="125"/>
      <c r="ES75" s="125"/>
      <c r="ET75" s="125"/>
      <c r="EU75" s="125"/>
      <c r="EV75" s="125"/>
      <c r="EW75" s="125"/>
      <c r="EX75" s="125"/>
      <c r="EY75" s="125"/>
      <c r="EZ75" s="125"/>
      <c r="FA75" s="125"/>
      <c r="FB75" s="125"/>
      <c r="FC75" s="125"/>
      <c r="FD75" s="125"/>
      <c r="FE75" s="125"/>
      <c r="FF75" s="125"/>
      <c r="FG75" s="125"/>
      <c r="FH75" s="125"/>
      <c r="FI75" s="125"/>
      <c r="FJ75" s="125"/>
      <c r="FK75" s="125"/>
      <c r="FL75" s="125"/>
      <c r="FM75" s="125"/>
      <c r="FN75" s="125"/>
      <c r="FO75" s="125"/>
      <c r="FP75" s="125"/>
      <c r="FQ75" s="125"/>
      <c r="FR75" s="125"/>
      <c r="FS75" s="125"/>
      <c r="FT75" s="125"/>
      <c r="FU75" s="125"/>
      <c r="FV75" s="125"/>
      <c r="FW75" s="125"/>
      <c r="FX75" s="125"/>
      <c r="FY75" s="125"/>
      <c r="FZ75" s="125"/>
      <c r="GA75" s="125"/>
      <c r="GB75" s="125"/>
      <c r="GC75" s="125"/>
      <c r="GD75" s="125"/>
      <c r="GE75" s="125"/>
      <c r="GF75" s="125"/>
      <c r="GG75" s="125"/>
      <c r="GH75" s="125"/>
      <c r="GI75" s="125"/>
      <c r="GJ75" s="125"/>
      <c r="GK75" s="125"/>
      <c r="GL75" s="125"/>
      <c r="GM75" s="125"/>
      <c r="GN75" s="125"/>
      <c r="GO75" s="125"/>
      <c r="GP75" s="125"/>
      <c r="GQ75" s="125"/>
      <c r="GR75" s="125"/>
      <c r="GS75" s="125"/>
      <c r="GT75" s="125"/>
      <c r="GU75" s="125"/>
      <c r="GV75" s="125"/>
      <c r="GW75" s="125"/>
      <c r="GX75" s="125"/>
      <c r="GY75" s="125"/>
      <c r="GZ75" s="125"/>
      <c r="HA75" s="125"/>
      <c r="HB75" s="125"/>
      <c r="HC75" s="125"/>
      <c r="HD75" s="125"/>
      <c r="HE75" s="125"/>
      <c r="HF75" s="125"/>
      <c r="HG75" s="125"/>
      <c r="HH75" s="125"/>
      <c r="HI75" s="125"/>
      <c r="HJ75" s="125"/>
      <c r="HK75" s="125"/>
      <c r="HL75" s="125"/>
      <c r="HM75" s="125"/>
      <c r="HN75" s="125"/>
      <c r="HO75" s="125"/>
      <c r="HP75" s="125"/>
      <c r="HQ75" s="125"/>
      <c r="HR75" s="125"/>
      <c r="HS75" s="125"/>
      <c r="HT75" s="125"/>
      <c r="HU75" s="125"/>
      <c r="HV75" s="125"/>
      <c r="HW75" s="125"/>
      <c r="HX75" s="125"/>
      <c r="HY75" s="125"/>
      <c r="HZ75" s="125"/>
      <c r="IA75" s="125"/>
      <c r="IB75" s="125"/>
      <c r="IC75" s="125"/>
      <c r="ID75" s="125"/>
      <c r="IE75" s="125"/>
      <c r="IF75" s="125"/>
      <c r="IG75" s="125"/>
      <c r="IH75" s="125"/>
      <c r="II75" s="125"/>
      <c r="IJ75" s="125"/>
      <c r="IK75" s="125"/>
      <c r="IL75" s="125"/>
      <c r="IM75" s="125"/>
      <c r="IN75" s="125"/>
      <c r="IO75" s="125"/>
      <c r="IP75" s="125"/>
      <c r="IQ75" s="125"/>
      <c r="IR75" s="125"/>
      <c r="IS75" s="125"/>
      <c r="IT75" s="125"/>
      <c r="IU75" s="125"/>
      <c r="IV75" s="125"/>
      <c r="IW75" s="125"/>
      <c r="IX75" s="125"/>
      <c r="IY75" s="125"/>
      <c r="IZ75" s="125"/>
      <c r="JA75" s="125"/>
      <c r="JB75" s="125"/>
      <c r="JC75" s="125"/>
      <c r="JD75" s="125"/>
      <c r="JE75" s="125"/>
      <c r="JF75" s="125"/>
      <c r="JG75" s="125"/>
      <c r="JH75" s="125"/>
      <c r="JI75" s="125"/>
      <c r="JJ75" s="125"/>
      <c r="JK75" s="125"/>
      <c r="JL75" s="125"/>
      <c r="JM75" s="125"/>
      <c r="JN75" s="125"/>
      <c r="JO75" s="125"/>
      <c r="JP75" s="125"/>
      <c r="JQ75" s="125"/>
      <c r="JR75" s="125"/>
      <c r="JS75" s="125"/>
      <c r="JT75" s="125"/>
      <c r="JU75" s="125"/>
      <c r="JV75" s="125"/>
      <c r="JW75" s="125"/>
      <c r="JX75" s="125"/>
      <c r="JY75" s="125"/>
      <c r="JZ75" s="125"/>
      <c r="KA75" s="125"/>
      <c r="KB75" s="125"/>
      <c r="KC75" s="125"/>
      <c r="KD75" s="125"/>
      <c r="KE75" s="125"/>
      <c r="KF75" s="125"/>
      <c r="KG75" s="125"/>
      <c r="KH75" s="125"/>
      <c r="KI75" s="125"/>
      <c r="KJ75" s="125"/>
      <c r="KK75" s="125"/>
      <c r="KL75" s="125"/>
      <c r="KM75" s="125"/>
      <c r="KN75" s="125"/>
      <c r="KO75" s="125"/>
      <c r="KP75" s="125"/>
      <c r="KQ75" s="125"/>
      <c r="KR75" s="125"/>
      <c r="KS75" s="125"/>
      <c r="KT75" s="125"/>
      <c r="KU75" s="125"/>
      <c r="KV75" s="125"/>
      <c r="KW75" s="125"/>
      <c r="KX75" s="125"/>
      <c r="KY75" s="125"/>
      <c r="KZ75" s="125"/>
      <c r="LA75" s="125"/>
      <c r="LB75" s="125"/>
      <c r="LC75" s="125"/>
      <c r="LD75" s="125"/>
      <c r="LE75" s="125"/>
      <c r="LF75" s="125"/>
      <c r="LG75" s="125"/>
      <c r="LH75" s="125"/>
      <c r="LI75" s="125"/>
      <c r="LJ75" s="125"/>
      <c r="LK75" s="125"/>
      <c r="LL75" s="125"/>
      <c r="LM75" s="125"/>
      <c r="LN75" s="125"/>
      <c r="LO75" s="125"/>
      <c r="LP75" s="125"/>
      <c r="LQ75" s="125"/>
      <c r="LR75" s="125"/>
      <c r="LS75" s="125"/>
      <c r="LT75" s="125"/>
      <c r="LU75" s="125"/>
      <c r="LV75" s="125"/>
      <c r="LW75" s="125"/>
      <c r="LX75" s="125"/>
      <c r="LY75" s="125"/>
      <c r="LZ75" s="125"/>
      <c r="MA75" s="125"/>
      <c r="MB75" s="125"/>
      <c r="MC75" s="125"/>
      <c r="MD75" s="125"/>
      <c r="ME75" s="125"/>
      <c r="MF75" s="125"/>
      <c r="MG75" s="125"/>
      <c r="MH75" s="125"/>
      <c r="MI75" s="125"/>
      <c r="MJ75" s="125"/>
      <c r="MK75" s="125"/>
      <c r="ML75" s="125"/>
      <c r="MM75" s="125"/>
      <c r="MN75" s="125"/>
      <c r="MO75" s="125"/>
      <c r="MP75" s="125"/>
      <c r="MQ75" s="125"/>
      <c r="MR75" s="125"/>
      <c r="MS75" s="125"/>
      <c r="MT75" s="125"/>
      <c r="MU75" s="125"/>
      <c r="MV75" s="125"/>
      <c r="MW75" s="125"/>
      <c r="MX75" s="125"/>
      <c r="MY75" s="125"/>
      <c r="MZ75" s="125"/>
      <c r="NA75" s="125"/>
      <c r="NB75" s="125"/>
      <c r="NC75" s="125"/>
      <c r="ND75" s="125"/>
      <c r="NE75" s="125"/>
      <c r="NF75" s="125"/>
      <c r="NG75" s="125"/>
      <c r="NH75" s="125"/>
      <c r="NI75" s="125"/>
      <c r="NJ75" s="125"/>
      <c r="NK75" s="125"/>
      <c r="NL75" s="125"/>
      <c r="NM75" s="125"/>
      <c r="NN75" s="125"/>
      <c r="NO75" s="125"/>
      <c r="NP75" s="125"/>
      <c r="NQ75" s="125"/>
      <c r="NR75" s="125"/>
      <c r="NS75" s="125"/>
      <c r="NT75" s="125"/>
      <c r="NU75" s="125"/>
      <c r="NV75" s="125"/>
      <c r="NW75" s="125"/>
      <c r="NX75" s="125"/>
      <c r="NY75" s="125"/>
      <c r="NZ75" s="125"/>
      <c r="OA75" s="125"/>
      <c r="OB75" s="125"/>
      <c r="OC75" s="125"/>
      <c r="OD75" s="125"/>
      <c r="OE75" s="125"/>
      <c r="OF75" s="125"/>
      <c r="OG75" s="125"/>
      <c r="OH75" s="125"/>
      <c r="OI75" s="125"/>
      <c r="OJ75" s="125"/>
      <c r="OK75" s="125"/>
      <c r="OL75" s="125"/>
      <c r="OM75" s="125"/>
      <c r="ON75" s="125"/>
      <c r="OO75" s="125"/>
      <c r="OP75" s="125"/>
      <c r="OQ75" s="125"/>
      <c r="OR75" s="125"/>
      <c r="OS75" s="125"/>
      <c r="OT75" s="125"/>
      <c r="OU75" s="125"/>
      <c r="OV75" s="125"/>
      <c r="OW75" s="125"/>
      <c r="OX75" s="125"/>
      <c r="OY75" s="125"/>
      <c r="OZ75" s="125"/>
      <c r="PA75" s="125"/>
      <c r="PB75" s="125"/>
      <c r="PC75" s="125"/>
      <c r="PD75" s="125"/>
      <c r="PE75" s="125"/>
      <c r="PF75" s="125"/>
      <c r="PG75" s="125"/>
      <c r="PH75" s="125"/>
      <c r="PI75" s="125"/>
      <c r="PJ75" s="125"/>
      <c r="PK75" s="125"/>
      <c r="PL75" s="125"/>
      <c r="PM75" s="125"/>
      <c r="PN75" s="125"/>
      <c r="PO75" s="125"/>
      <c r="PP75" s="125"/>
      <c r="PQ75" s="125"/>
      <c r="PR75" s="125"/>
      <c r="PS75" s="125"/>
      <c r="PT75" s="125"/>
      <c r="PU75" s="125"/>
      <c r="PV75" s="125"/>
      <c r="PW75" s="125"/>
      <c r="PX75" s="125"/>
      <c r="PY75" s="125"/>
      <c r="PZ75" s="125"/>
      <c r="QA75" s="125"/>
      <c r="QB75" s="125"/>
      <c r="QC75" s="125"/>
      <c r="QD75" s="125"/>
      <c r="QE75" s="125"/>
      <c r="QF75" s="125"/>
      <c r="QG75" s="125"/>
      <c r="QH75" s="125"/>
      <c r="QI75" s="125"/>
      <c r="QJ75" s="125"/>
      <c r="QK75" s="125"/>
      <c r="QL75" s="125"/>
      <c r="QM75" s="125"/>
      <c r="QN75" s="125"/>
      <c r="QO75" s="125"/>
      <c r="QP75" s="125"/>
      <c r="QQ75" s="125"/>
      <c r="QR75" s="125"/>
      <c r="QS75" s="125"/>
      <c r="QT75" s="125"/>
      <c r="QU75" s="125"/>
      <c r="QV75" s="125"/>
      <c r="QW75" s="125"/>
      <c r="QX75" s="125"/>
      <c r="QY75" s="125"/>
      <c r="QZ75" s="125"/>
      <c r="RA75" s="125"/>
      <c r="RB75" s="125"/>
      <c r="RC75" s="125"/>
      <c r="RD75" s="125"/>
      <c r="RE75" s="125"/>
      <c r="RF75" s="125"/>
      <c r="RG75" s="125"/>
      <c r="RH75" s="125"/>
      <c r="RI75" s="125"/>
      <c r="RJ75" s="125"/>
      <c r="RK75" s="125"/>
      <c r="RL75" s="125"/>
      <c r="RM75" s="125"/>
      <c r="RN75" s="125"/>
      <c r="RO75" s="125"/>
      <c r="RP75" s="125"/>
      <c r="RQ75" s="125"/>
      <c r="RR75" s="125"/>
      <c r="RS75" s="125"/>
      <c r="RT75" s="125"/>
      <c r="RU75" s="125"/>
      <c r="RV75" s="125"/>
      <c r="RW75" s="125"/>
      <c r="RX75" s="125"/>
      <c r="RY75" s="125"/>
      <c r="RZ75" s="125"/>
      <c r="SA75" s="125"/>
      <c r="SB75" s="125"/>
      <c r="SC75" s="125"/>
      <c r="SD75" s="125"/>
      <c r="SE75" s="125"/>
      <c r="SF75" s="125"/>
      <c r="SG75" s="125"/>
      <c r="SH75" s="125"/>
      <c r="SI75" s="125"/>
      <c r="SJ75" s="125"/>
      <c r="SK75" s="125"/>
      <c r="SL75" s="125"/>
      <c r="SM75" s="125"/>
      <c r="SN75" s="125"/>
      <c r="SO75" s="125"/>
      <c r="SP75" s="125"/>
      <c r="SQ75" s="125"/>
      <c r="SR75" s="125"/>
      <c r="SS75" s="125"/>
      <c r="ST75" s="125"/>
      <c r="SU75" s="125"/>
      <c r="SV75" s="125"/>
      <c r="SW75" s="125"/>
    </row>
    <row r="76" customFormat="false" ht="14.25" hidden="false" customHeight="false" outlineLevel="0" collapsed="false">
      <c r="C76" s="124"/>
      <c r="D76" s="125"/>
      <c r="E76" s="125"/>
      <c r="F76" s="125"/>
      <c r="G76" s="125"/>
      <c r="H76" s="125"/>
      <c r="I76" s="126"/>
      <c r="J76" s="126"/>
      <c r="K76" s="126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  <c r="AA76" s="125"/>
      <c r="AB76" s="125"/>
      <c r="AC76" s="125"/>
      <c r="AD76" s="125"/>
      <c r="AE76" s="125"/>
      <c r="AF76" s="125"/>
      <c r="AG76" s="125"/>
      <c r="AH76" s="125"/>
      <c r="AI76" s="125"/>
      <c r="AJ76" s="125"/>
      <c r="AK76" s="125"/>
      <c r="AL76" s="125"/>
      <c r="AM76" s="125"/>
      <c r="AN76" s="125"/>
      <c r="AO76" s="125"/>
      <c r="AP76" s="125"/>
      <c r="AQ76" s="125"/>
      <c r="AR76" s="125"/>
      <c r="AS76" s="125"/>
      <c r="AT76" s="125"/>
      <c r="AU76" s="125"/>
      <c r="AV76" s="125"/>
      <c r="AW76" s="125"/>
      <c r="AX76" s="125"/>
      <c r="AY76" s="125"/>
      <c r="AZ76" s="125"/>
      <c r="BA76" s="125"/>
      <c r="BB76" s="125"/>
      <c r="BC76" s="125"/>
      <c r="BD76" s="125"/>
      <c r="BE76" s="125"/>
      <c r="BF76" s="125"/>
      <c r="BG76" s="125"/>
      <c r="BH76" s="125"/>
      <c r="BI76" s="125"/>
      <c r="BJ76" s="125"/>
      <c r="BK76" s="125"/>
      <c r="BL76" s="125"/>
      <c r="BM76" s="125"/>
      <c r="BN76" s="125"/>
      <c r="BO76" s="125"/>
      <c r="BP76" s="125"/>
      <c r="BQ76" s="125"/>
      <c r="BR76" s="125"/>
      <c r="BS76" s="125"/>
      <c r="BT76" s="125"/>
      <c r="BU76" s="125"/>
      <c r="BV76" s="125"/>
      <c r="BW76" s="125"/>
      <c r="BX76" s="125"/>
      <c r="BY76" s="125"/>
      <c r="BZ76" s="125"/>
      <c r="CA76" s="125"/>
      <c r="CB76" s="125"/>
      <c r="CC76" s="125"/>
      <c r="CD76" s="125"/>
      <c r="CE76" s="125"/>
      <c r="CF76" s="125"/>
      <c r="CG76" s="125"/>
      <c r="CH76" s="125"/>
      <c r="CI76" s="125"/>
      <c r="CJ76" s="125"/>
      <c r="CK76" s="125"/>
      <c r="CL76" s="125"/>
      <c r="CM76" s="125"/>
      <c r="CN76" s="125"/>
      <c r="CO76" s="125"/>
      <c r="CP76" s="125"/>
      <c r="CQ76" s="125"/>
      <c r="CR76" s="125"/>
      <c r="CS76" s="125"/>
      <c r="CT76" s="125"/>
      <c r="CU76" s="125"/>
      <c r="CV76" s="125"/>
      <c r="CW76" s="125"/>
      <c r="CX76" s="125"/>
      <c r="CY76" s="125"/>
      <c r="CZ76" s="125"/>
      <c r="DA76" s="125"/>
      <c r="DB76" s="125"/>
      <c r="DC76" s="125"/>
      <c r="DD76" s="125"/>
      <c r="DE76" s="125"/>
      <c r="DF76" s="125"/>
      <c r="DG76" s="125"/>
      <c r="DH76" s="125"/>
      <c r="DI76" s="125"/>
      <c r="DJ76" s="125"/>
      <c r="DK76" s="125"/>
      <c r="DL76" s="125"/>
      <c r="DM76" s="125"/>
      <c r="DN76" s="125"/>
      <c r="DO76" s="125"/>
      <c r="DP76" s="125"/>
      <c r="DQ76" s="125"/>
      <c r="DR76" s="125"/>
      <c r="DS76" s="125"/>
      <c r="DT76" s="125"/>
      <c r="DU76" s="125"/>
      <c r="DV76" s="125"/>
      <c r="DW76" s="125"/>
      <c r="DX76" s="125"/>
      <c r="DY76" s="125"/>
      <c r="DZ76" s="125"/>
      <c r="EA76" s="125"/>
      <c r="EB76" s="125"/>
      <c r="EC76" s="125"/>
      <c r="ED76" s="125"/>
      <c r="EE76" s="125"/>
      <c r="EF76" s="125"/>
      <c r="EG76" s="125"/>
      <c r="EH76" s="125"/>
      <c r="EI76" s="125"/>
      <c r="EJ76" s="125"/>
      <c r="EK76" s="125"/>
      <c r="EL76" s="125"/>
      <c r="EM76" s="125"/>
      <c r="EN76" s="125"/>
      <c r="EO76" s="125"/>
      <c r="EP76" s="125"/>
      <c r="EQ76" s="125"/>
      <c r="ER76" s="125"/>
      <c r="ES76" s="125"/>
      <c r="ET76" s="125"/>
      <c r="EU76" s="125"/>
      <c r="EV76" s="125"/>
      <c r="EW76" s="125"/>
      <c r="EX76" s="125"/>
      <c r="EY76" s="125"/>
      <c r="EZ76" s="125"/>
      <c r="FA76" s="125"/>
      <c r="FB76" s="125"/>
      <c r="FC76" s="125"/>
      <c r="FD76" s="125"/>
      <c r="FE76" s="125"/>
      <c r="FF76" s="125"/>
      <c r="FG76" s="125"/>
      <c r="FH76" s="125"/>
      <c r="FI76" s="125"/>
      <c r="FJ76" s="125"/>
      <c r="FK76" s="125"/>
      <c r="FL76" s="125"/>
      <c r="FM76" s="125"/>
      <c r="FN76" s="125"/>
      <c r="FO76" s="125"/>
      <c r="FP76" s="125"/>
      <c r="FQ76" s="125"/>
      <c r="FR76" s="125"/>
      <c r="FS76" s="125"/>
      <c r="FT76" s="125"/>
      <c r="FU76" s="125"/>
      <c r="FV76" s="125"/>
      <c r="FW76" s="125"/>
      <c r="FX76" s="125"/>
      <c r="FY76" s="125"/>
      <c r="FZ76" s="125"/>
      <c r="GA76" s="125"/>
      <c r="GB76" s="125"/>
      <c r="GC76" s="125"/>
      <c r="GD76" s="125"/>
      <c r="GE76" s="125"/>
      <c r="GF76" s="125"/>
      <c r="GG76" s="125"/>
      <c r="GH76" s="125"/>
      <c r="GI76" s="125"/>
      <c r="GJ76" s="125"/>
      <c r="GK76" s="125"/>
      <c r="GL76" s="125"/>
      <c r="GM76" s="125"/>
      <c r="GN76" s="125"/>
      <c r="GO76" s="125"/>
      <c r="GP76" s="125"/>
      <c r="GQ76" s="125"/>
      <c r="GR76" s="125"/>
      <c r="GS76" s="125"/>
      <c r="GT76" s="125"/>
      <c r="GU76" s="125"/>
      <c r="GV76" s="125"/>
      <c r="GW76" s="125"/>
      <c r="GX76" s="125"/>
      <c r="GY76" s="125"/>
      <c r="GZ76" s="125"/>
      <c r="HA76" s="125"/>
      <c r="HB76" s="125"/>
      <c r="HC76" s="125"/>
      <c r="HD76" s="125"/>
      <c r="HE76" s="125"/>
      <c r="HF76" s="125"/>
      <c r="HG76" s="125"/>
      <c r="HH76" s="125"/>
      <c r="HI76" s="125"/>
      <c r="HJ76" s="125"/>
      <c r="HK76" s="125"/>
      <c r="HL76" s="125"/>
      <c r="HM76" s="125"/>
      <c r="HN76" s="125"/>
      <c r="HO76" s="125"/>
      <c r="HP76" s="125"/>
      <c r="HQ76" s="125"/>
      <c r="HR76" s="125"/>
      <c r="HS76" s="125"/>
      <c r="HT76" s="125"/>
      <c r="HU76" s="125"/>
      <c r="HV76" s="125"/>
      <c r="HW76" s="125"/>
      <c r="HX76" s="125"/>
      <c r="HY76" s="125"/>
      <c r="HZ76" s="125"/>
      <c r="IA76" s="125"/>
      <c r="IB76" s="125"/>
      <c r="IC76" s="125"/>
      <c r="ID76" s="125"/>
      <c r="IE76" s="125"/>
      <c r="IF76" s="125"/>
      <c r="IG76" s="125"/>
      <c r="IH76" s="125"/>
      <c r="II76" s="125"/>
      <c r="IJ76" s="125"/>
      <c r="IK76" s="125"/>
      <c r="IL76" s="125"/>
      <c r="IM76" s="125"/>
      <c r="IN76" s="125"/>
      <c r="IO76" s="125"/>
      <c r="IP76" s="125"/>
      <c r="IQ76" s="125"/>
      <c r="IR76" s="125"/>
      <c r="IS76" s="125"/>
      <c r="IT76" s="125"/>
      <c r="IU76" s="125"/>
      <c r="IV76" s="125"/>
      <c r="IW76" s="125"/>
      <c r="IX76" s="125"/>
      <c r="IY76" s="125"/>
      <c r="IZ76" s="125"/>
      <c r="JA76" s="125"/>
      <c r="JB76" s="125"/>
      <c r="JC76" s="125"/>
      <c r="JD76" s="125"/>
      <c r="JE76" s="125"/>
      <c r="JF76" s="125"/>
      <c r="JG76" s="125"/>
      <c r="JH76" s="125"/>
      <c r="JI76" s="125"/>
      <c r="JJ76" s="125"/>
      <c r="JK76" s="125"/>
      <c r="JL76" s="125"/>
      <c r="JM76" s="125"/>
      <c r="JN76" s="125"/>
      <c r="JO76" s="125"/>
      <c r="JP76" s="125"/>
      <c r="JQ76" s="125"/>
      <c r="JR76" s="125"/>
      <c r="JS76" s="125"/>
      <c r="JT76" s="125"/>
      <c r="JU76" s="125"/>
      <c r="JV76" s="125"/>
      <c r="JW76" s="125"/>
      <c r="JX76" s="125"/>
      <c r="JY76" s="125"/>
      <c r="JZ76" s="125"/>
      <c r="KA76" s="125"/>
      <c r="KB76" s="125"/>
      <c r="KC76" s="125"/>
      <c r="KD76" s="125"/>
      <c r="KE76" s="125"/>
      <c r="KF76" s="125"/>
      <c r="KG76" s="125"/>
      <c r="KH76" s="125"/>
      <c r="KI76" s="125"/>
      <c r="KJ76" s="125"/>
      <c r="KK76" s="125"/>
      <c r="KL76" s="125"/>
      <c r="KM76" s="125"/>
      <c r="KN76" s="125"/>
      <c r="KO76" s="125"/>
      <c r="KP76" s="125"/>
      <c r="KQ76" s="125"/>
      <c r="KR76" s="125"/>
      <c r="KS76" s="125"/>
      <c r="KT76" s="125"/>
      <c r="KU76" s="125"/>
      <c r="KV76" s="125"/>
      <c r="KW76" s="125"/>
      <c r="KX76" s="125"/>
      <c r="KY76" s="125"/>
      <c r="KZ76" s="125"/>
      <c r="LA76" s="125"/>
      <c r="LB76" s="125"/>
      <c r="LC76" s="125"/>
      <c r="LD76" s="125"/>
      <c r="LE76" s="125"/>
      <c r="LF76" s="125"/>
      <c r="LG76" s="125"/>
      <c r="LH76" s="125"/>
      <c r="LI76" s="125"/>
      <c r="LJ76" s="125"/>
      <c r="LK76" s="125"/>
      <c r="LL76" s="125"/>
      <c r="LM76" s="125"/>
      <c r="LN76" s="125"/>
      <c r="LO76" s="125"/>
      <c r="LP76" s="125"/>
      <c r="LQ76" s="125"/>
      <c r="LR76" s="125"/>
      <c r="LS76" s="125"/>
      <c r="LT76" s="125"/>
      <c r="LU76" s="125"/>
      <c r="LV76" s="125"/>
      <c r="LW76" s="125"/>
      <c r="LX76" s="125"/>
      <c r="LY76" s="125"/>
      <c r="LZ76" s="125"/>
      <c r="MA76" s="125"/>
      <c r="MB76" s="125"/>
      <c r="MC76" s="125"/>
      <c r="MD76" s="125"/>
      <c r="ME76" s="125"/>
      <c r="MF76" s="125"/>
      <c r="MG76" s="125"/>
      <c r="MH76" s="125"/>
      <c r="MI76" s="125"/>
      <c r="MJ76" s="125"/>
      <c r="MK76" s="125"/>
      <c r="ML76" s="125"/>
      <c r="MM76" s="125"/>
      <c r="MN76" s="125"/>
      <c r="MO76" s="125"/>
      <c r="MP76" s="125"/>
      <c r="MQ76" s="125"/>
      <c r="MR76" s="125"/>
      <c r="MS76" s="125"/>
      <c r="MT76" s="125"/>
      <c r="MU76" s="125"/>
      <c r="MV76" s="125"/>
      <c r="MW76" s="125"/>
      <c r="MX76" s="125"/>
      <c r="MY76" s="125"/>
      <c r="MZ76" s="125"/>
      <c r="NA76" s="125"/>
      <c r="NB76" s="125"/>
      <c r="NC76" s="125"/>
      <c r="ND76" s="125"/>
      <c r="NE76" s="125"/>
      <c r="NF76" s="125"/>
      <c r="NG76" s="125"/>
      <c r="NH76" s="125"/>
      <c r="NI76" s="125"/>
      <c r="NJ76" s="125"/>
      <c r="NK76" s="125"/>
      <c r="NL76" s="125"/>
      <c r="NM76" s="125"/>
      <c r="NN76" s="125"/>
      <c r="NO76" s="125"/>
      <c r="NP76" s="125"/>
      <c r="NQ76" s="125"/>
      <c r="NR76" s="125"/>
      <c r="NS76" s="125"/>
      <c r="NT76" s="125"/>
      <c r="NU76" s="125"/>
      <c r="NV76" s="125"/>
      <c r="NW76" s="125"/>
      <c r="NX76" s="125"/>
      <c r="NY76" s="125"/>
      <c r="NZ76" s="125"/>
      <c r="OA76" s="125"/>
      <c r="OB76" s="125"/>
      <c r="OC76" s="125"/>
      <c r="OD76" s="125"/>
      <c r="OE76" s="125"/>
      <c r="OF76" s="125"/>
      <c r="OG76" s="125"/>
      <c r="OH76" s="125"/>
      <c r="OI76" s="125"/>
      <c r="OJ76" s="125"/>
      <c r="OK76" s="125"/>
      <c r="OL76" s="125"/>
      <c r="OM76" s="125"/>
      <c r="ON76" s="125"/>
      <c r="OO76" s="125"/>
      <c r="OP76" s="125"/>
      <c r="OQ76" s="125"/>
      <c r="OR76" s="125"/>
      <c r="OS76" s="125"/>
      <c r="OT76" s="125"/>
      <c r="OU76" s="125"/>
      <c r="OV76" s="125"/>
      <c r="OW76" s="125"/>
      <c r="OX76" s="125"/>
      <c r="OY76" s="125"/>
      <c r="OZ76" s="125"/>
      <c r="PA76" s="125"/>
      <c r="PB76" s="125"/>
      <c r="PC76" s="125"/>
      <c r="PD76" s="125"/>
      <c r="PE76" s="125"/>
      <c r="PF76" s="125"/>
      <c r="PG76" s="125"/>
      <c r="PH76" s="125"/>
      <c r="PI76" s="125"/>
      <c r="PJ76" s="125"/>
      <c r="PK76" s="125"/>
      <c r="PL76" s="125"/>
      <c r="PM76" s="125"/>
      <c r="PN76" s="125"/>
      <c r="PO76" s="125"/>
      <c r="PP76" s="125"/>
      <c r="PQ76" s="125"/>
      <c r="PR76" s="125"/>
      <c r="PS76" s="125"/>
      <c r="PT76" s="125"/>
      <c r="PU76" s="125"/>
      <c r="PV76" s="125"/>
      <c r="PW76" s="125"/>
      <c r="PX76" s="125"/>
      <c r="PY76" s="125"/>
      <c r="PZ76" s="125"/>
      <c r="QA76" s="125"/>
      <c r="QB76" s="125"/>
      <c r="QC76" s="125"/>
      <c r="QD76" s="125"/>
      <c r="QE76" s="125"/>
      <c r="QF76" s="125"/>
      <c r="QG76" s="125"/>
      <c r="QH76" s="125"/>
      <c r="QI76" s="125"/>
      <c r="QJ76" s="125"/>
      <c r="QK76" s="125"/>
      <c r="QL76" s="125"/>
      <c r="QM76" s="125"/>
      <c r="QN76" s="125"/>
      <c r="QO76" s="125"/>
      <c r="QP76" s="125"/>
      <c r="QQ76" s="125"/>
      <c r="QR76" s="125"/>
      <c r="QS76" s="125"/>
      <c r="QT76" s="125"/>
      <c r="QU76" s="125"/>
      <c r="QV76" s="125"/>
      <c r="QW76" s="125"/>
      <c r="QX76" s="125"/>
      <c r="QY76" s="125"/>
      <c r="QZ76" s="125"/>
      <c r="RA76" s="125"/>
      <c r="RB76" s="125"/>
      <c r="RC76" s="125"/>
      <c r="RD76" s="125"/>
      <c r="RE76" s="125"/>
      <c r="RF76" s="125"/>
      <c r="RG76" s="125"/>
      <c r="RH76" s="125"/>
      <c r="RI76" s="125"/>
      <c r="RJ76" s="125"/>
      <c r="RK76" s="125"/>
      <c r="RL76" s="125"/>
      <c r="RM76" s="125"/>
      <c r="RN76" s="125"/>
      <c r="RO76" s="125"/>
      <c r="RP76" s="125"/>
      <c r="RQ76" s="125"/>
      <c r="RR76" s="125"/>
      <c r="RS76" s="125"/>
      <c r="RT76" s="125"/>
      <c r="RU76" s="125"/>
      <c r="RV76" s="125"/>
      <c r="RW76" s="125"/>
      <c r="RX76" s="125"/>
      <c r="RY76" s="125"/>
      <c r="RZ76" s="125"/>
      <c r="SA76" s="125"/>
      <c r="SB76" s="125"/>
      <c r="SC76" s="125"/>
      <c r="SD76" s="125"/>
      <c r="SE76" s="125"/>
      <c r="SF76" s="125"/>
      <c r="SG76" s="125"/>
      <c r="SH76" s="125"/>
      <c r="SI76" s="125"/>
      <c r="SJ76" s="125"/>
      <c r="SK76" s="125"/>
      <c r="SL76" s="125"/>
      <c r="SM76" s="125"/>
      <c r="SN76" s="125"/>
      <c r="SO76" s="125"/>
      <c r="SP76" s="125"/>
      <c r="SQ76" s="125"/>
      <c r="SR76" s="125"/>
      <c r="SS76" s="125"/>
      <c r="ST76" s="125"/>
      <c r="SU76" s="125"/>
      <c r="SV76" s="125"/>
      <c r="SW76" s="125"/>
    </row>
    <row r="77" customFormat="false" ht="14.25" hidden="false" customHeight="false" outlineLevel="0" collapsed="false">
      <c r="C77" s="124"/>
      <c r="D77" s="125"/>
      <c r="E77" s="125"/>
      <c r="F77" s="125"/>
      <c r="G77" s="125"/>
      <c r="H77" s="125"/>
      <c r="I77" s="126"/>
      <c r="J77" s="126"/>
      <c r="K77" s="126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  <c r="AA77" s="125"/>
      <c r="AB77" s="125"/>
      <c r="AC77" s="125"/>
      <c r="AD77" s="125"/>
      <c r="AE77" s="125"/>
      <c r="AF77" s="125"/>
      <c r="AG77" s="125"/>
      <c r="AH77" s="125"/>
      <c r="AI77" s="125"/>
      <c r="AJ77" s="125"/>
      <c r="AK77" s="125"/>
      <c r="AL77" s="125"/>
      <c r="AM77" s="125"/>
      <c r="AN77" s="125"/>
      <c r="AO77" s="125"/>
      <c r="AP77" s="125"/>
      <c r="AQ77" s="125"/>
      <c r="AR77" s="125"/>
      <c r="AS77" s="125"/>
      <c r="AT77" s="125"/>
      <c r="AU77" s="125"/>
      <c r="AV77" s="125"/>
      <c r="AW77" s="125"/>
      <c r="AX77" s="125"/>
      <c r="AY77" s="125"/>
      <c r="AZ77" s="125"/>
      <c r="BA77" s="125"/>
      <c r="BB77" s="125"/>
      <c r="BC77" s="125"/>
      <c r="BD77" s="125"/>
      <c r="BE77" s="125"/>
      <c r="BF77" s="125"/>
      <c r="BG77" s="125"/>
      <c r="BH77" s="125"/>
      <c r="BI77" s="125"/>
      <c r="BJ77" s="125"/>
      <c r="BK77" s="125"/>
      <c r="BL77" s="125"/>
      <c r="BM77" s="125"/>
      <c r="BN77" s="125"/>
      <c r="BO77" s="125"/>
      <c r="BP77" s="125"/>
      <c r="BQ77" s="125"/>
      <c r="BR77" s="125"/>
      <c r="BS77" s="125"/>
      <c r="BT77" s="125"/>
      <c r="BU77" s="125"/>
      <c r="BV77" s="125"/>
      <c r="BW77" s="125"/>
      <c r="BX77" s="125"/>
      <c r="BY77" s="125"/>
      <c r="BZ77" s="125"/>
      <c r="CA77" s="125"/>
      <c r="CB77" s="125"/>
      <c r="CC77" s="125"/>
      <c r="CD77" s="125"/>
      <c r="CE77" s="125"/>
      <c r="CF77" s="125"/>
      <c r="CG77" s="125"/>
      <c r="CH77" s="125"/>
      <c r="CI77" s="125"/>
      <c r="CJ77" s="125"/>
      <c r="CK77" s="125"/>
      <c r="CL77" s="125"/>
      <c r="CM77" s="125"/>
      <c r="CN77" s="125"/>
      <c r="CO77" s="125"/>
      <c r="CP77" s="125"/>
      <c r="CQ77" s="125"/>
      <c r="CR77" s="125"/>
      <c r="CS77" s="125"/>
      <c r="CT77" s="125"/>
      <c r="CU77" s="125"/>
      <c r="CV77" s="125"/>
      <c r="CW77" s="125"/>
      <c r="CX77" s="125"/>
      <c r="CY77" s="125"/>
      <c r="CZ77" s="125"/>
      <c r="DA77" s="125"/>
      <c r="DB77" s="125"/>
      <c r="DC77" s="125"/>
      <c r="DD77" s="125"/>
      <c r="DE77" s="125"/>
      <c r="DF77" s="125"/>
      <c r="DG77" s="125"/>
      <c r="DH77" s="125"/>
      <c r="DI77" s="125"/>
      <c r="DJ77" s="125"/>
      <c r="DK77" s="125"/>
      <c r="DL77" s="125"/>
      <c r="DM77" s="125"/>
      <c r="DN77" s="125"/>
      <c r="DO77" s="125"/>
      <c r="DP77" s="125"/>
      <c r="DQ77" s="125"/>
      <c r="DR77" s="125"/>
      <c r="DS77" s="125"/>
      <c r="DT77" s="125"/>
      <c r="DU77" s="125"/>
      <c r="DV77" s="125"/>
      <c r="DW77" s="125"/>
      <c r="DX77" s="125"/>
      <c r="DY77" s="125"/>
      <c r="DZ77" s="125"/>
      <c r="EA77" s="125"/>
      <c r="EB77" s="125"/>
      <c r="EC77" s="125"/>
      <c r="ED77" s="125"/>
      <c r="EE77" s="125"/>
      <c r="EF77" s="125"/>
      <c r="EG77" s="125"/>
      <c r="EH77" s="125"/>
      <c r="EI77" s="125"/>
      <c r="EJ77" s="125"/>
      <c r="EK77" s="125"/>
      <c r="EL77" s="125"/>
      <c r="EM77" s="125"/>
      <c r="EN77" s="125"/>
      <c r="EO77" s="125"/>
      <c r="EP77" s="125"/>
      <c r="EQ77" s="125"/>
      <c r="ER77" s="125"/>
      <c r="ES77" s="125"/>
      <c r="ET77" s="125"/>
      <c r="EU77" s="125"/>
      <c r="EV77" s="125"/>
      <c r="EW77" s="125"/>
      <c r="EX77" s="125"/>
      <c r="EY77" s="125"/>
      <c r="EZ77" s="125"/>
      <c r="FA77" s="125"/>
      <c r="FB77" s="125"/>
      <c r="FC77" s="125"/>
      <c r="FD77" s="125"/>
      <c r="FE77" s="125"/>
      <c r="FF77" s="125"/>
      <c r="FG77" s="125"/>
      <c r="FH77" s="125"/>
      <c r="FI77" s="125"/>
      <c r="FJ77" s="125"/>
      <c r="FK77" s="125"/>
      <c r="FL77" s="125"/>
      <c r="FM77" s="125"/>
      <c r="FN77" s="125"/>
      <c r="FO77" s="125"/>
      <c r="FP77" s="125"/>
      <c r="FQ77" s="125"/>
      <c r="FR77" s="125"/>
      <c r="FS77" s="125"/>
      <c r="FT77" s="125"/>
      <c r="FU77" s="125"/>
      <c r="FV77" s="125"/>
      <c r="FW77" s="125"/>
      <c r="FX77" s="125"/>
      <c r="FY77" s="125"/>
      <c r="FZ77" s="125"/>
      <c r="GA77" s="125"/>
      <c r="GB77" s="125"/>
      <c r="GC77" s="125"/>
      <c r="GD77" s="125"/>
      <c r="GE77" s="125"/>
      <c r="GF77" s="125"/>
      <c r="GG77" s="125"/>
      <c r="GH77" s="125"/>
      <c r="GI77" s="125"/>
      <c r="GJ77" s="125"/>
      <c r="GK77" s="125"/>
      <c r="GL77" s="125"/>
      <c r="GM77" s="125"/>
      <c r="GN77" s="125"/>
      <c r="GO77" s="125"/>
      <c r="GP77" s="125"/>
      <c r="GQ77" s="125"/>
      <c r="GR77" s="125"/>
      <c r="GS77" s="125"/>
      <c r="GT77" s="125"/>
      <c r="GU77" s="125"/>
      <c r="GV77" s="125"/>
      <c r="GW77" s="125"/>
      <c r="GX77" s="125"/>
      <c r="GY77" s="125"/>
      <c r="GZ77" s="125"/>
      <c r="HA77" s="125"/>
      <c r="HB77" s="125"/>
      <c r="HC77" s="125"/>
      <c r="HD77" s="125"/>
      <c r="HE77" s="125"/>
      <c r="HF77" s="125"/>
      <c r="HG77" s="125"/>
      <c r="HH77" s="125"/>
      <c r="HI77" s="125"/>
      <c r="HJ77" s="125"/>
      <c r="HK77" s="125"/>
      <c r="HL77" s="125"/>
      <c r="HM77" s="125"/>
      <c r="HN77" s="125"/>
      <c r="HO77" s="125"/>
      <c r="HP77" s="125"/>
      <c r="HQ77" s="125"/>
      <c r="HR77" s="125"/>
      <c r="HS77" s="125"/>
      <c r="HT77" s="125"/>
      <c r="HU77" s="125"/>
      <c r="HV77" s="125"/>
      <c r="HW77" s="125"/>
      <c r="HX77" s="125"/>
      <c r="HY77" s="125"/>
      <c r="HZ77" s="125"/>
      <c r="IA77" s="125"/>
      <c r="IB77" s="125"/>
      <c r="IC77" s="125"/>
      <c r="ID77" s="125"/>
      <c r="IE77" s="125"/>
      <c r="IF77" s="125"/>
      <c r="IG77" s="125"/>
      <c r="IH77" s="125"/>
      <c r="II77" s="125"/>
      <c r="IJ77" s="125"/>
      <c r="IK77" s="125"/>
      <c r="IL77" s="125"/>
      <c r="IM77" s="125"/>
      <c r="IN77" s="125"/>
      <c r="IO77" s="125"/>
      <c r="IP77" s="125"/>
      <c r="IQ77" s="125"/>
      <c r="IR77" s="125"/>
      <c r="IS77" s="125"/>
      <c r="IT77" s="125"/>
      <c r="IU77" s="125"/>
      <c r="IV77" s="125"/>
      <c r="IW77" s="125"/>
      <c r="IX77" s="125"/>
      <c r="IY77" s="125"/>
      <c r="IZ77" s="125"/>
      <c r="JA77" s="125"/>
      <c r="JB77" s="125"/>
      <c r="JC77" s="125"/>
      <c r="JD77" s="125"/>
      <c r="JE77" s="125"/>
      <c r="JF77" s="125"/>
      <c r="JG77" s="125"/>
      <c r="JH77" s="125"/>
      <c r="JI77" s="125"/>
      <c r="JJ77" s="125"/>
      <c r="JK77" s="125"/>
      <c r="JL77" s="125"/>
      <c r="JM77" s="125"/>
      <c r="JN77" s="125"/>
      <c r="JO77" s="125"/>
      <c r="JP77" s="125"/>
      <c r="JQ77" s="125"/>
      <c r="JR77" s="125"/>
      <c r="JS77" s="125"/>
      <c r="JT77" s="125"/>
      <c r="JU77" s="125"/>
      <c r="JV77" s="125"/>
      <c r="JW77" s="125"/>
      <c r="JX77" s="125"/>
      <c r="JY77" s="125"/>
      <c r="JZ77" s="125"/>
      <c r="KA77" s="125"/>
      <c r="KB77" s="125"/>
      <c r="KC77" s="125"/>
      <c r="KD77" s="125"/>
      <c r="KE77" s="125"/>
      <c r="KF77" s="125"/>
      <c r="KG77" s="125"/>
      <c r="KH77" s="125"/>
      <c r="KI77" s="125"/>
      <c r="KJ77" s="125"/>
      <c r="KK77" s="125"/>
      <c r="KL77" s="125"/>
      <c r="KM77" s="125"/>
      <c r="KN77" s="125"/>
      <c r="KO77" s="125"/>
      <c r="KP77" s="125"/>
      <c r="KQ77" s="125"/>
      <c r="KR77" s="125"/>
      <c r="KS77" s="125"/>
      <c r="KT77" s="125"/>
      <c r="KU77" s="125"/>
      <c r="KV77" s="125"/>
      <c r="KW77" s="125"/>
      <c r="KX77" s="125"/>
      <c r="KY77" s="125"/>
      <c r="KZ77" s="125"/>
      <c r="LA77" s="125"/>
      <c r="LB77" s="125"/>
      <c r="LC77" s="125"/>
      <c r="LD77" s="125"/>
      <c r="LE77" s="125"/>
      <c r="LF77" s="125"/>
      <c r="LG77" s="125"/>
      <c r="LH77" s="125"/>
      <c r="LI77" s="125"/>
      <c r="LJ77" s="125"/>
      <c r="LK77" s="125"/>
      <c r="LL77" s="125"/>
      <c r="LM77" s="125"/>
      <c r="LN77" s="125"/>
      <c r="LO77" s="125"/>
      <c r="LP77" s="125"/>
      <c r="LQ77" s="125"/>
      <c r="LR77" s="125"/>
      <c r="LS77" s="125"/>
      <c r="LT77" s="125"/>
      <c r="LU77" s="125"/>
      <c r="LV77" s="125"/>
      <c r="LW77" s="125"/>
      <c r="LX77" s="125"/>
      <c r="LY77" s="125"/>
      <c r="LZ77" s="125"/>
      <c r="MA77" s="125"/>
      <c r="MB77" s="125"/>
      <c r="MC77" s="125"/>
      <c r="MD77" s="125"/>
      <c r="ME77" s="125"/>
      <c r="MF77" s="125"/>
      <c r="MG77" s="125"/>
      <c r="MH77" s="125"/>
      <c r="MI77" s="125"/>
      <c r="MJ77" s="125"/>
      <c r="MK77" s="125"/>
      <c r="ML77" s="125"/>
      <c r="MM77" s="125"/>
      <c r="MN77" s="125"/>
      <c r="MO77" s="125"/>
      <c r="MP77" s="125"/>
      <c r="MQ77" s="125"/>
      <c r="MR77" s="125"/>
      <c r="MS77" s="125"/>
      <c r="MT77" s="125"/>
      <c r="MU77" s="125"/>
      <c r="MV77" s="125"/>
      <c r="MW77" s="125"/>
      <c r="MX77" s="125"/>
      <c r="MY77" s="125"/>
      <c r="MZ77" s="125"/>
      <c r="NA77" s="125"/>
      <c r="NB77" s="125"/>
      <c r="NC77" s="125"/>
      <c r="ND77" s="125"/>
      <c r="NE77" s="125"/>
      <c r="NF77" s="125"/>
      <c r="NG77" s="125"/>
      <c r="NH77" s="125"/>
      <c r="NI77" s="125"/>
      <c r="NJ77" s="125"/>
      <c r="NK77" s="125"/>
      <c r="NL77" s="125"/>
      <c r="NM77" s="125"/>
      <c r="NN77" s="125"/>
      <c r="NO77" s="125"/>
      <c r="NP77" s="125"/>
      <c r="NQ77" s="125"/>
      <c r="NR77" s="125"/>
      <c r="NS77" s="125"/>
      <c r="NT77" s="125"/>
      <c r="NU77" s="125"/>
      <c r="NV77" s="125"/>
      <c r="NW77" s="125"/>
      <c r="NX77" s="125"/>
      <c r="NY77" s="125"/>
      <c r="NZ77" s="125"/>
      <c r="OA77" s="125"/>
      <c r="OB77" s="125"/>
      <c r="OC77" s="125"/>
      <c r="OD77" s="125"/>
      <c r="OE77" s="125"/>
      <c r="OF77" s="125"/>
      <c r="OG77" s="125"/>
      <c r="OH77" s="125"/>
      <c r="OI77" s="125"/>
      <c r="OJ77" s="125"/>
      <c r="OK77" s="125"/>
      <c r="OL77" s="125"/>
      <c r="OM77" s="125"/>
      <c r="ON77" s="125"/>
      <c r="OO77" s="125"/>
      <c r="OP77" s="125"/>
      <c r="OQ77" s="125"/>
      <c r="OR77" s="125"/>
      <c r="OS77" s="125"/>
      <c r="OT77" s="125"/>
      <c r="OU77" s="125"/>
      <c r="OV77" s="125"/>
      <c r="OW77" s="125"/>
      <c r="OX77" s="125"/>
      <c r="OY77" s="125"/>
      <c r="OZ77" s="125"/>
      <c r="PA77" s="125"/>
      <c r="PB77" s="125"/>
      <c r="PC77" s="125"/>
      <c r="PD77" s="125"/>
      <c r="PE77" s="125"/>
      <c r="PF77" s="125"/>
      <c r="PG77" s="125"/>
      <c r="PH77" s="125"/>
      <c r="PI77" s="125"/>
      <c r="PJ77" s="125"/>
      <c r="PK77" s="125"/>
      <c r="PL77" s="125"/>
      <c r="PM77" s="125"/>
      <c r="PN77" s="125"/>
      <c r="PO77" s="125"/>
      <c r="PP77" s="125"/>
      <c r="PQ77" s="125"/>
      <c r="PR77" s="125"/>
      <c r="PS77" s="125"/>
      <c r="PT77" s="125"/>
      <c r="PU77" s="125"/>
      <c r="PV77" s="125"/>
      <c r="PW77" s="125"/>
      <c r="PX77" s="125"/>
      <c r="PY77" s="125"/>
      <c r="PZ77" s="125"/>
      <c r="QA77" s="125"/>
      <c r="QB77" s="125"/>
      <c r="QC77" s="125"/>
      <c r="QD77" s="125"/>
      <c r="QE77" s="125"/>
      <c r="QF77" s="125"/>
      <c r="QG77" s="125"/>
      <c r="QH77" s="125"/>
      <c r="QI77" s="125"/>
      <c r="QJ77" s="125"/>
      <c r="QK77" s="125"/>
      <c r="QL77" s="125"/>
      <c r="QM77" s="125"/>
      <c r="QN77" s="125"/>
      <c r="QO77" s="125"/>
      <c r="QP77" s="125"/>
      <c r="QQ77" s="125"/>
      <c r="QR77" s="125"/>
      <c r="QS77" s="125"/>
      <c r="QT77" s="125"/>
      <c r="QU77" s="125"/>
      <c r="QV77" s="125"/>
      <c r="QW77" s="125"/>
      <c r="QX77" s="125"/>
      <c r="QY77" s="125"/>
      <c r="QZ77" s="125"/>
      <c r="RA77" s="125"/>
      <c r="RB77" s="125"/>
      <c r="RC77" s="125"/>
      <c r="RD77" s="125"/>
      <c r="RE77" s="125"/>
      <c r="RF77" s="125"/>
      <c r="RG77" s="125"/>
      <c r="RH77" s="125"/>
      <c r="RI77" s="125"/>
      <c r="RJ77" s="125"/>
      <c r="RK77" s="125"/>
      <c r="RL77" s="125"/>
      <c r="RM77" s="125"/>
      <c r="RN77" s="125"/>
      <c r="RO77" s="125"/>
      <c r="RP77" s="125"/>
      <c r="RQ77" s="125"/>
      <c r="RR77" s="125"/>
      <c r="RS77" s="125"/>
      <c r="RT77" s="125"/>
      <c r="RU77" s="125"/>
      <c r="RV77" s="125"/>
      <c r="RW77" s="125"/>
      <c r="RX77" s="125"/>
      <c r="RY77" s="125"/>
      <c r="RZ77" s="125"/>
      <c r="SA77" s="125"/>
      <c r="SB77" s="125"/>
      <c r="SC77" s="125"/>
      <c r="SD77" s="125"/>
      <c r="SE77" s="125"/>
      <c r="SF77" s="125"/>
      <c r="SG77" s="125"/>
      <c r="SH77" s="125"/>
      <c r="SI77" s="125"/>
      <c r="SJ77" s="125"/>
      <c r="SK77" s="125"/>
      <c r="SL77" s="125"/>
      <c r="SM77" s="125"/>
      <c r="SN77" s="125"/>
      <c r="SO77" s="125"/>
      <c r="SP77" s="125"/>
      <c r="SQ77" s="125"/>
      <c r="SR77" s="125"/>
      <c r="SS77" s="125"/>
      <c r="ST77" s="125"/>
      <c r="SU77" s="125"/>
      <c r="SV77" s="125"/>
      <c r="SW77" s="125"/>
    </row>
    <row r="78" customFormat="false" ht="14.25" hidden="false" customHeight="false" outlineLevel="0" collapsed="false">
      <c r="C78" s="128"/>
      <c r="D78" s="129"/>
      <c r="E78" s="129"/>
      <c r="F78" s="129"/>
      <c r="G78" s="129"/>
      <c r="H78" s="129"/>
      <c r="I78" s="130"/>
      <c r="J78" s="130"/>
      <c r="K78" s="130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  <c r="AA78" s="129"/>
      <c r="AB78" s="129"/>
      <c r="AC78" s="129"/>
      <c r="AD78" s="129"/>
      <c r="AE78" s="129"/>
      <c r="AF78" s="129"/>
      <c r="AG78" s="129"/>
      <c r="AH78" s="129"/>
      <c r="AI78" s="129"/>
      <c r="AJ78" s="129"/>
      <c r="AK78" s="129"/>
      <c r="AL78" s="129"/>
      <c r="AM78" s="129"/>
      <c r="AN78" s="129"/>
      <c r="AO78" s="129"/>
      <c r="AP78" s="129"/>
      <c r="AQ78" s="129"/>
      <c r="AR78" s="129"/>
      <c r="AS78" s="129"/>
      <c r="AT78" s="129"/>
      <c r="AU78" s="129"/>
      <c r="AV78" s="129"/>
      <c r="AW78" s="129"/>
      <c r="AX78" s="129"/>
      <c r="AY78" s="129"/>
      <c r="AZ78" s="129"/>
      <c r="BA78" s="129"/>
      <c r="BB78" s="129"/>
      <c r="BC78" s="129"/>
      <c r="BD78" s="129"/>
      <c r="BE78" s="129"/>
      <c r="BF78" s="129"/>
      <c r="BG78" s="129"/>
      <c r="BH78" s="129"/>
      <c r="BI78" s="129"/>
      <c r="BJ78" s="129"/>
      <c r="BK78" s="129"/>
      <c r="BL78" s="129"/>
      <c r="BM78" s="129"/>
      <c r="BN78" s="129"/>
      <c r="BO78" s="129"/>
      <c r="BP78" s="129"/>
      <c r="BQ78" s="129"/>
      <c r="BR78" s="129"/>
      <c r="BS78" s="129"/>
      <c r="BT78" s="129"/>
      <c r="BU78" s="129"/>
      <c r="BV78" s="129"/>
      <c r="BW78" s="129"/>
      <c r="BX78" s="129"/>
      <c r="BY78" s="129"/>
      <c r="BZ78" s="129"/>
      <c r="CA78" s="129"/>
      <c r="CB78" s="129"/>
      <c r="CC78" s="129"/>
      <c r="CD78" s="129"/>
      <c r="CE78" s="129"/>
      <c r="CF78" s="129"/>
      <c r="CG78" s="129"/>
      <c r="CH78" s="129"/>
      <c r="CI78" s="129"/>
      <c r="CJ78" s="129"/>
      <c r="CK78" s="129"/>
      <c r="CL78" s="129"/>
      <c r="CM78" s="129"/>
      <c r="CN78" s="129"/>
      <c r="CO78" s="129"/>
      <c r="CP78" s="129"/>
      <c r="CQ78" s="129"/>
      <c r="CR78" s="129"/>
      <c r="CS78" s="129"/>
      <c r="CT78" s="129"/>
      <c r="CU78" s="129"/>
      <c r="CV78" s="129"/>
      <c r="CW78" s="129"/>
      <c r="CX78" s="129"/>
      <c r="CY78" s="129"/>
      <c r="CZ78" s="129"/>
      <c r="DA78" s="129"/>
      <c r="DB78" s="129"/>
      <c r="DC78" s="129"/>
      <c r="DD78" s="129"/>
      <c r="DE78" s="129"/>
      <c r="DF78" s="129"/>
      <c r="DG78" s="129"/>
      <c r="DH78" s="129"/>
      <c r="DI78" s="129"/>
      <c r="DJ78" s="129"/>
      <c r="DK78" s="129"/>
      <c r="DL78" s="129"/>
      <c r="DM78" s="129"/>
      <c r="DN78" s="129"/>
      <c r="DO78" s="129"/>
      <c r="DP78" s="129"/>
      <c r="DQ78" s="129"/>
      <c r="DR78" s="129"/>
      <c r="DS78" s="129"/>
      <c r="DT78" s="129"/>
      <c r="DU78" s="129"/>
      <c r="DV78" s="129"/>
      <c r="DW78" s="129"/>
      <c r="DX78" s="129"/>
      <c r="DY78" s="129"/>
      <c r="DZ78" s="129"/>
      <c r="EA78" s="129"/>
      <c r="EB78" s="129"/>
      <c r="EC78" s="129"/>
      <c r="ED78" s="129"/>
      <c r="EE78" s="129"/>
      <c r="EF78" s="129"/>
      <c r="EG78" s="129"/>
      <c r="EH78" s="129"/>
      <c r="EI78" s="129"/>
      <c r="EJ78" s="129"/>
      <c r="EK78" s="129"/>
      <c r="EL78" s="129"/>
      <c r="EM78" s="129"/>
      <c r="EN78" s="129"/>
      <c r="EO78" s="129"/>
      <c r="EP78" s="129"/>
      <c r="EQ78" s="129"/>
      <c r="ER78" s="129"/>
      <c r="ES78" s="129"/>
      <c r="ET78" s="129"/>
      <c r="EU78" s="129"/>
      <c r="EV78" s="129"/>
      <c r="EW78" s="129"/>
      <c r="EX78" s="129"/>
      <c r="EY78" s="129"/>
      <c r="EZ78" s="129"/>
      <c r="FA78" s="129"/>
      <c r="FB78" s="129"/>
      <c r="FC78" s="129"/>
      <c r="FD78" s="129"/>
      <c r="FE78" s="129"/>
      <c r="FF78" s="129"/>
      <c r="FG78" s="129"/>
      <c r="FH78" s="129"/>
      <c r="FI78" s="129"/>
      <c r="FJ78" s="129"/>
      <c r="FK78" s="129"/>
      <c r="FL78" s="129"/>
      <c r="FM78" s="129"/>
      <c r="FN78" s="129"/>
      <c r="FO78" s="129"/>
      <c r="FP78" s="129"/>
      <c r="FQ78" s="129"/>
      <c r="FR78" s="129"/>
      <c r="FS78" s="129"/>
      <c r="FT78" s="129"/>
      <c r="FU78" s="129"/>
      <c r="FV78" s="129"/>
      <c r="FW78" s="129"/>
      <c r="FX78" s="129"/>
      <c r="FY78" s="129"/>
      <c r="FZ78" s="129"/>
      <c r="GA78" s="129"/>
      <c r="GB78" s="129"/>
      <c r="GC78" s="129"/>
      <c r="GD78" s="129"/>
      <c r="GE78" s="129"/>
      <c r="GF78" s="129"/>
      <c r="GG78" s="129"/>
      <c r="GH78" s="129"/>
      <c r="GI78" s="129"/>
      <c r="GJ78" s="129"/>
      <c r="GK78" s="129"/>
      <c r="GL78" s="129"/>
      <c r="GM78" s="129"/>
      <c r="GN78" s="129"/>
      <c r="GO78" s="129"/>
      <c r="GP78" s="129"/>
      <c r="GQ78" s="129"/>
      <c r="GR78" s="129"/>
      <c r="GS78" s="129"/>
      <c r="GT78" s="129"/>
      <c r="GU78" s="129"/>
      <c r="GV78" s="129"/>
      <c r="GW78" s="129"/>
      <c r="GX78" s="129"/>
      <c r="GY78" s="129"/>
      <c r="GZ78" s="129"/>
      <c r="HA78" s="129"/>
      <c r="HB78" s="129"/>
      <c r="HC78" s="129"/>
      <c r="HD78" s="129"/>
      <c r="HE78" s="129"/>
      <c r="HF78" s="129"/>
      <c r="HG78" s="129"/>
      <c r="HH78" s="129"/>
      <c r="HI78" s="129"/>
      <c r="HJ78" s="129"/>
      <c r="HK78" s="129"/>
      <c r="HL78" s="129"/>
      <c r="HM78" s="129"/>
      <c r="HN78" s="129"/>
      <c r="HO78" s="129"/>
      <c r="HP78" s="129"/>
      <c r="HQ78" s="129"/>
      <c r="HR78" s="129"/>
      <c r="HS78" s="129"/>
      <c r="HT78" s="129"/>
      <c r="HU78" s="129"/>
      <c r="HV78" s="129"/>
      <c r="HW78" s="129"/>
      <c r="HX78" s="129"/>
      <c r="HY78" s="129"/>
      <c r="HZ78" s="129"/>
      <c r="IA78" s="129"/>
      <c r="IB78" s="129"/>
      <c r="IC78" s="129"/>
      <c r="ID78" s="129"/>
      <c r="IE78" s="129"/>
      <c r="IF78" s="129"/>
      <c r="IG78" s="129"/>
      <c r="IH78" s="129"/>
      <c r="II78" s="129"/>
      <c r="IJ78" s="129"/>
      <c r="IK78" s="129"/>
      <c r="IL78" s="129"/>
      <c r="IM78" s="129"/>
      <c r="IN78" s="129"/>
      <c r="IO78" s="129"/>
      <c r="IP78" s="129"/>
      <c r="IQ78" s="129"/>
      <c r="IR78" s="129"/>
      <c r="IS78" s="129"/>
      <c r="IT78" s="129"/>
      <c r="IU78" s="129"/>
      <c r="IV78" s="129"/>
      <c r="IW78" s="129"/>
      <c r="IX78" s="129"/>
      <c r="IY78" s="129"/>
      <c r="IZ78" s="129"/>
      <c r="JA78" s="129"/>
      <c r="JB78" s="129"/>
      <c r="JC78" s="129"/>
      <c r="JD78" s="129"/>
      <c r="JE78" s="129"/>
      <c r="JF78" s="129"/>
      <c r="JG78" s="129"/>
      <c r="JH78" s="129"/>
      <c r="JI78" s="129"/>
      <c r="JJ78" s="129"/>
      <c r="JK78" s="129"/>
      <c r="JL78" s="129"/>
      <c r="JM78" s="129"/>
      <c r="JN78" s="129"/>
      <c r="JO78" s="129"/>
      <c r="JP78" s="129"/>
      <c r="JQ78" s="129"/>
      <c r="JR78" s="129"/>
      <c r="JS78" s="129"/>
      <c r="JT78" s="129"/>
      <c r="JU78" s="129"/>
      <c r="JV78" s="129"/>
      <c r="JW78" s="129"/>
      <c r="JX78" s="129"/>
      <c r="JY78" s="129"/>
      <c r="JZ78" s="129"/>
      <c r="KA78" s="129"/>
      <c r="KB78" s="129"/>
      <c r="KC78" s="129"/>
      <c r="KD78" s="129"/>
      <c r="KE78" s="129"/>
      <c r="KF78" s="129"/>
      <c r="KG78" s="129"/>
      <c r="KH78" s="129"/>
      <c r="KI78" s="129"/>
      <c r="KJ78" s="129"/>
      <c r="KK78" s="129"/>
      <c r="KL78" s="129"/>
      <c r="KM78" s="129"/>
      <c r="KN78" s="129"/>
      <c r="KO78" s="129"/>
      <c r="KP78" s="129"/>
      <c r="KQ78" s="129"/>
      <c r="KR78" s="129"/>
      <c r="KS78" s="129"/>
      <c r="KT78" s="129"/>
      <c r="KU78" s="129"/>
      <c r="KV78" s="129"/>
      <c r="KW78" s="129"/>
      <c r="KX78" s="129"/>
      <c r="KY78" s="129"/>
      <c r="KZ78" s="129"/>
      <c r="LA78" s="129"/>
      <c r="LB78" s="129"/>
      <c r="LC78" s="129"/>
      <c r="LD78" s="129"/>
      <c r="LE78" s="129"/>
      <c r="LF78" s="129"/>
      <c r="LG78" s="129"/>
      <c r="LH78" s="129"/>
      <c r="LI78" s="129"/>
      <c r="LJ78" s="129"/>
      <c r="LK78" s="129"/>
      <c r="LL78" s="129"/>
      <c r="LM78" s="129"/>
      <c r="LN78" s="129"/>
      <c r="LO78" s="129"/>
      <c r="LP78" s="129"/>
      <c r="LQ78" s="129"/>
      <c r="LR78" s="129"/>
      <c r="LS78" s="129"/>
      <c r="LT78" s="129"/>
      <c r="LU78" s="129"/>
      <c r="LV78" s="129"/>
      <c r="LW78" s="129"/>
      <c r="LX78" s="129"/>
      <c r="LY78" s="129"/>
      <c r="LZ78" s="129"/>
      <c r="MA78" s="129"/>
      <c r="MB78" s="129"/>
      <c r="MC78" s="129"/>
      <c r="MD78" s="129"/>
      <c r="ME78" s="129"/>
      <c r="MF78" s="129"/>
      <c r="MG78" s="129"/>
      <c r="MH78" s="129"/>
      <c r="MI78" s="129"/>
      <c r="MJ78" s="129"/>
      <c r="MK78" s="129"/>
      <c r="ML78" s="129"/>
      <c r="MM78" s="129"/>
      <c r="MN78" s="129"/>
      <c r="MO78" s="129"/>
      <c r="MP78" s="129"/>
      <c r="MQ78" s="129"/>
      <c r="MR78" s="129"/>
      <c r="MS78" s="129"/>
      <c r="MT78" s="129"/>
      <c r="MU78" s="129"/>
      <c r="MV78" s="129"/>
      <c r="MW78" s="129"/>
      <c r="MX78" s="129"/>
      <c r="MY78" s="129"/>
      <c r="MZ78" s="129"/>
      <c r="NA78" s="129"/>
      <c r="NB78" s="129"/>
      <c r="NC78" s="129"/>
      <c r="ND78" s="129"/>
      <c r="NE78" s="129"/>
      <c r="NF78" s="129"/>
      <c r="NG78" s="129"/>
      <c r="NH78" s="129"/>
      <c r="NI78" s="129"/>
      <c r="NJ78" s="129"/>
      <c r="NK78" s="129"/>
      <c r="NL78" s="129"/>
      <c r="NM78" s="129"/>
      <c r="NN78" s="129"/>
      <c r="NO78" s="129"/>
      <c r="NP78" s="129"/>
      <c r="NQ78" s="129"/>
      <c r="NR78" s="129"/>
      <c r="NS78" s="129"/>
      <c r="NT78" s="129"/>
      <c r="NU78" s="129"/>
      <c r="NV78" s="129"/>
      <c r="NW78" s="129"/>
      <c r="NX78" s="129"/>
      <c r="NY78" s="129"/>
      <c r="NZ78" s="129"/>
      <c r="OA78" s="129"/>
      <c r="OB78" s="129"/>
      <c r="OC78" s="129"/>
      <c r="OD78" s="129"/>
      <c r="OE78" s="129"/>
      <c r="OF78" s="129"/>
      <c r="OG78" s="129"/>
      <c r="OH78" s="129"/>
      <c r="OI78" s="129"/>
      <c r="OJ78" s="129"/>
      <c r="OK78" s="129"/>
      <c r="OL78" s="129"/>
      <c r="OM78" s="129"/>
      <c r="ON78" s="129"/>
      <c r="OO78" s="129"/>
      <c r="OP78" s="129"/>
      <c r="OQ78" s="129"/>
      <c r="OR78" s="129"/>
      <c r="OS78" s="129"/>
      <c r="OT78" s="129"/>
      <c r="OU78" s="129"/>
      <c r="OV78" s="129"/>
      <c r="OW78" s="129"/>
      <c r="OX78" s="129"/>
      <c r="OY78" s="129"/>
      <c r="OZ78" s="129"/>
      <c r="PA78" s="129"/>
      <c r="PB78" s="129"/>
      <c r="PC78" s="129"/>
      <c r="PD78" s="129"/>
      <c r="PE78" s="129"/>
      <c r="PF78" s="129"/>
      <c r="PG78" s="129"/>
      <c r="PH78" s="129"/>
      <c r="PI78" s="129"/>
      <c r="PJ78" s="129"/>
      <c r="PK78" s="129"/>
      <c r="PL78" s="129"/>
      <c r="PM78" s="129"/>
      <c r="PN78" s="129"/>
      <c r="PO78" s="129"/>
      <c r="PP78" s="129"/>
      <c r="PQ78" s="129"/>
      <c r="PR78" s="129"/>
      <c r="PS78" s="129"/>
      <c r="PT78" s="129"/>
      <c r="PU78" s="129"/>
      <c r="PV78" s="129"/>
      <c r="PW78" s="129"/>
      <c r="PX78" s="129"/>
      <c r="PY78" s="129"/>
      <c r="PZ78" s="129"/>
      <c r="QA78" s="129"/>
      <c r="QB78" s="129"/>
      <c r="QC78" s="129"/>
      <c r="QD78" s="129"/>
      <c r="QE78" s="129"/>
      <c r="QF78" s="129"/>
      <c r="QG78" s="129"/>
      <c r="QH78" s="129"/>
      <c r="QI78" s="129"/>
      <c r="QJ78" s="129"/>
      <c r="QK78" s="129"/>
      <c r="QL78" s="129"/>
      <c r="QM78" s="129"/>
      <c r="QN78" s="129"/>
      <c r="QO78" s="129"/>
      <c r="QP78" s="129"/>
      <c r="QQ78" s="129"/>
      <c r="QR78" s="129"/>
      <c r="QS78" s="129"/>
      <c r="QT78" s="129"/>
      <c r="QU78" s="129"/>
      <c r="QV78" s="129"/>
      <c r="QW78" s="129"/>
      <c r="QX78" s="129"/>
      <c r="QY78" s="129"/>
      <c r="QZ78" s="129"/>
      <c r="RA78" s="129"/>
      <c r="RB78" s="129"/>
      <c r="RC78" s="129"/>
      <c r="RD78" s="129"/>
      <c r="RE78" s="129"/>
      <c r="RF78" s="129"/>
      <c r="RG78" s="129"/>
      <c r="RH78" s="129"/>
      <c r="RI78" s="129"/>
      <c r="RJ78" s="129"/>
      <c r="RK78" s="129"/>
      <c r="RL78" s="129"/>
      <c r="RM78" s="129"/>
      <c r="RN78" s="129"/>
      <c r="RO78" s="129"/>
      <c r="RP78" s="129"/>
      <c r="RQ78" s="129"/>
      <c r="RR78" s="129"/>
      <c r="RS78" s="129"/>
      <c r="RT78" s="129"/>
      <c r="RU78" s="129"/>
      <c r="RV78" s="129"/>
      <c r="RW78" s="129"/>
      <c r="RX78" s="129"/>
      <c r="RY78" s="129"/>
      <c r="RZ78" s="129"/>
      <c r="SA78" s="129"/>
      <c r="SB78" s="129"/>
      <c r="SC78" s="129"/>
      <c r="SD78" s="129"/>
      <c r="SE78" s="129"/>
      <c r="SF78" s="129"/>
      <c r="SG78" s="129"/>
      <c r="SH78" s="129"/>
      <c r="SI78" s="129"/>
      <c r="SJ78" s="129"/>
      <c r="SK78" s="129"/>
      <c r="SL78" s="129"/>
      <c r="SM78" s="129"/>
      <c r="SN78" s="129"/>
      <c r="SO78" s="129"/>
      <c r="SP78" s="129"/>
      <c r="SQ78" s="129"/>
      <c r="SR78" s="129"/>
      <c r="SS78" s="129"/>
      <c r="ST78" s="129"/>
      <c r="SU78" s="129"/>
      <c r="SV78" s="129"/>
      <c r="SW78" s="129"/>
    </row>
  </sheetData>
  <mergeCells count="8">
    <mergeCell ref="E4:F4"/>
    <mergeCell ref="I4:J4"/>
    <mergeCell ref="M4:O4"/>
    <mergeCell ref="P4:S4"/>
    <mergeCell ref="U4:W4"/>
    <mergeCell ref="X4:AA4"/>
    <mergeCell ref="AJ6:AL6"/>
    <mergeCell ref="D14:J14"/>
  </mergeCells>
  <conditionalFormatting sqref="L54:SW63">
    <cfRule type="expression" priority="2" aboveAverage="0" equalAverage="0" bottom="0" percent="0" rank="0" text="" dxfId="0">
      <formula>L$16=$I$4</formula>
    </cfRule>
    <cfRule type="expression" priority="3" aboveAverage="0" equalAverage="0" bottom="0" percent="0" rank="0" text="" dxfId="1">
      <formula>AND(L$16&gt;=$F54,L$16&lt;=$H54,$J54="Atrasado")</formula>
    </cfRule>
    <cfRule type="expression" priority="4" aboveAverage="0" equalAverage="0" bottom="0" percent="0" rank="0" text="" dxfId="2">
      <formula>AND(L$16&gt;=$F54,L$16&lt;=$H54,$J54="")</formula>
    </cfRule>
    <cfRule type="expression" priority="5" aboveAverage="0" equalAverage="0" bottom="0" percent="0" rank="0" text="" dxfId="3">
      <formula>AND(L$16&gt;=$F54,L$16&lt;=$H54,$J54="Sin Empezar")</formula>
    </cfRule>
    <cfRule type="expression" priority="6" aboveAverage="0" equalAverage="0" bottom="0" percent="0" rank="0" text="" dxfId="4">
      <formula>AND(L$16&gt;=$F54,L$16&lt;=$H54,$J54="En Proceso")</formula>
    </cfRule>
    <cfRule type="expression" priority="7" aboveAverage="0" equalAverage="0" bottom="0" percent="0" rank="0" text="" dxfId="5">
      <formula>AND(L$16&gt;=$F54,L$16&lt;=$H54,$J54="Completado")</formula>
    </cfRule>
    <cfRule type="expression" priority="8" aboveAverage="0" equalAverage="0" bottom="0" percent="0" rank="0" text="" dxfId="6">
      <formula>AND(L$16&gt;=$F54,L$16&lt;$H54,$J54="Atrasado")</formula>
    </cfRule>
    <cfRule type="expression" priority="9" aboveAverage="0" equalAverage="0" bottom="0" percent="0" rank="0" text="" dxfId="7">
      <formula>AND(L$16&gt;=$F54,L$16&lt;$H54,$J54="")</formula>
    </cfRule>
    <cfRule type="expression" priority="10" aboveAverage="0" equalAverage="0" bottom="0" percent="0" rank="0" text="" dxfId="8">
      <formula>AND(L$16&gt;=$F54,L$16&lt;$H54,$J54="Sin Empezar")</formula>
    </cfRule>
    <cfRule type="expression" priority="11" aboveAverage="0" equalAverage="0" bottom="0" percent="0" rank="0" text="" dxfId="9">
      <formula>AND(L$16&gt;=$F54,L$16&lt;$H54,$J54="En Proceso")</formula>
    </cfRule>
    <cfRule type="expression" priority="12" aboveAverage="0" equalAverage="0" bottom="0" percent="0" rank="0" text="" dxfId="10">
      <formula>AND(L$16&gt;=$F54,L$16&lt;$H54,$J54="Completado")</formula>
    </cfRule>
  </conditionalFormatting>
  <conditionalFormatting sqref="L32:SW41 L43:SW52 L19:SW30">
    <cfRule type="expression" priority="13" aboveAverage="0" equalAverage="0" bottom="0" percent="0" rank="0" text="" dxfId="11">
      <formula>L$16=$I$4</formula>
    </cfRule>
  </conditionalFormatting>
  <conditionalFormatting sqref="L43:SW52">
    <cfRule type="expression" priority="14" aboveAverage="0" equalAverage="0" bottom="0" percent="0" rank="0" text="" dxfId="12">
      <formula>AND(L$16&gt;=$F43,L$16&lt;=$H43,$J43="Atrasado")</formula>
    </cfRule>
    <cfRule type="expression" priority="15" aboveAverage="0" equalAverage="0" bottom="0" percent="0" rank="0" text="" dxfId="13">
      <formula>AND(L$16&gt;=$F43,L$16&lt;=$H43,$J43="")</formula>
    </cfRule>
    <cfRule type="expression" priority="16" aboveAverage="0" equalAverage="0" bottom="0" percent="0" rank="0" text="" dxfId="14">
      <formula>AND(L$16&gt;=$F43,L$16&lt;=$H43,$J43="Sin Empezar")</formula>
    </cfRule>
    <cfRule type="expression" priority="17" aboveAverage="0" equalAverage="0" bottom="0" percent="0" rank="0" text="" dxfId="15">
      <formula>AND(L$16&gt;=$F43,L$16&lt;=$H43,$J43="En Proceso")</formula>
    </cfRule>
    <cfRule type="expression" priority="18" aboveAverage="0" equalAverage="0" bottom="0" percent="0" rank="0" text="" dxfId="16">
      <formula>AND(L$16&gt;=$F43,L$16&lt;=$H43,$J43="Completado")</formula>
    </cfRule>
    <cfRule type="expression" priority="19" aboveAverage="0" equalAverage="0" bottom="0" percent="0" rank="0" text="" dxfId="17">
      <formula>AND(L$16&gt;=$F43,L$16&lt;$H43,$J43="Atrasado")</formula>
    </cfRule>
    <cfRule type="expression" priority="20" aboveAverage="0" equalAverage="0" bottom="0" percent="0" rank="0" text="" dxfId="18">
      <formula>AND(L$16&gt;=$F43,L$16&lt;$H43,$J43="")</formula>
    </cfRule>
    <cfRule type="expression" priority="21" aboveAverage="0" equalAverage="0" bottom="0" percent="0" rank="0" text="" dxfId="19">
      <formula>AND(L$16&gt;=$F43,L$16&lt;$H43,$J43="Sin Empezar")</formula>
    </cfRule>
    <cfRule type="expression" priority="22" aboveAverage="0" equalAverage="0" bottom="0" percent="0" rank="0" text="" dxfId="20">
      <formula>AND(L$16&gt;=$F43,L$16&lt;$H43,$J43="En Proceso")</formula>
    </cfRule>
    <cfRule type="expression" priority="23" aboveAverage="0" equalAverage="0" bottom="0" percent="0" rank="0" text="" dxfId="21">
      <formula>AND(L$16&gt;=$F43,L$16&lt;$H43,$J43="Completado")</formula>
    </cfRule>
  </conditionalFormatting>
  <conditionalFormatting sqref="L32:SW41">
    <cfRule type="expression" priority="24" aboveAverage="0" equalAverage="0" bottom="0" percent="0" rank="0" text="" dxfId="22">
      <formula>AND(L$16&gt;=$F32,L$16&lt;=$H32,$J32="Atrasado")</formula>
    </cfRule>
    <cfRule type="expression" priority="25" aboveAverage="0" equalAverage="0" bottom="0" percent="0" rank="0" text="" dxfId="23">
      <formula>AND(L$16&gt;=$F32,L$16&lt;=$H32,$J32="")</formula>
    </cfRule>
    <cfRule type="expression" priority="26" aboveAverage="0" equalAverage="0" bottom="0" percent="0" rank="0" text="" dxfId="24">
      <formula>AND(L$16&gt;=$F32,L$16&lt;=$H32,$J32="Sin Empezar")</formula>
    </cfRule>
    <cfRule type="expression" priority="27" aboveAverage="0" equalAverage="0" bottom="0" percent="0" rank="0" text="" dxfId="25">
      <formula>AND(L$16&gt;=$F32,L$16&lt;=$H32,$J32="En Proceso")</formula>
    </cfRule>
    <cfRule type="expression" priority="28" aboveAverage="0" equalAverage="0" bottom="0" percent="0" rank="0" text="" dxfId="26">
      <formula>AND(L$16&gt;=$F32,L$16&lt;=$H32,$J32="Completado")</formula>
    </cfRule>
    <cfRule type="expression" priority="29" aboveAverage="0" equalAverage="0" bottom="0" percent="0" rank="0" text="" dxfId="27">
      <formula>AND(L$16&gt;=$F32,L$16&lt;$H32,$J32="Atrasado")</formula>
    </cfRule>
  </conditionalFormatting>
  <conditionalFormatting sqref="L19:SW30">
    <cfRule type="expression" priority="30" aboveAverage="0" equalAverage="0" bottom="0" percent="0" rank="0" text="" dxfId="28">
      <formula>AND(L$16&gt;=$F19,L$16&lt;=$H19,$J19="Atrasado")</formula>
    </cfRule>
    <cfRule type="expression" priority="31" aboveAverage="0" equalAverage="0" bottom="0" percent="0" rank="0" text="" dxfId="29">
      <formula>AND(L$16&gt;=$F19,L$16&lt;=$H19,$J19="")</formula>
    </cfRule>
  </conditionalFormatting>
  <conditionalFormatting sqref="R19:SW30">
    <cfRule type="expression" priority="32" aboveAverage="0" equalAverage="0" bottom="0" percent="0" rank="0" text="" dxfId="30">
      <formula>AND(R$16&gt;=$F19,R$16&lt;=$H19,$J19="Sin Empezar")</formula>
    </cfRule>
    <cfRule type="expression" priority="33" aboveAverage="0" equalAverage="0" bottom="0" percent="0" rank="0" text="" dxfId="31">
      <formula>AND(R$16&gt;=$F19,R$16&lt;=$H19,$J19="En Proceso")</formula>
    </cfRule>
    <cfRule type="expression" priority="34" aboveAverage="0" equalAverage="0" bottom="0" percent="0" rank="0" text="" dxfId="32">
      <formula>AND(R$16&gt;=$F19,R$16&lt;=$H19,$J19="Completado")</formula>
    </cfRule>
    <cfRule type="expression" priority="35" aboveAverage="0" equalAverage="0" bottom="0" percent="0" rank="0" text="" dxfId="33">
      <formula>AND(R$16&gt;=$F19,R$16&lt;$H19,$J19="Atrasado")</formula>
    </cfRule>
  </conditionalFormatting>
  <conditionalFormatting sqref="L19:N31 L42:N42 L53:N53">
    <cfRule type="expression" priority="36" aboveAverage="0" equalAverage="0" bottom="0" percent="0" rank="0" text="" dxfId="34">
      <formula>AND(L$16&gt;=$F19,L$16&lt;=$H19,$J19="")</formula>
    </cfRule>
  </conditionalFormatting>
  <conditionalFormatting sqref="L19:N31 L42:N42 L53:N53 L19:Q30">
    <cfRule type="expression" priority="37" aboveAverage="0" equalAverage="0" bottom="0" percent="0" rank="0" text="" dxfId="35">
      <formula>AND(L$16&gt;=$F19,L$16&lt;=$H19,$J19="Sin Empezar")</formula>
    </cfRule>
    <cfRule type="expression" priority="38" aboveAverage="0" equalAverage="0" bottom="0" percent="0" rank="0" text="" dxfId="36">
      <formula>AND(L$16&gt;=$F19,L$16&lt;=$H19,$J19="En Proceso")</formula>
    </cfRule>
    <cfRule type="expression" priority="39" aboveAverage="0" equalAverage="0" bottom="0" percent="0" rank="0" text="" dxfId="37">
      <formula>AND(L$16&gt;=$F19,L$16&lt;=$H19,$J19="Completado")</formula>
    </cfRule>
  </conditionalFormatting>
  <conditionalFormatting sqref="L19:Q30">
    <cfRule type="expression" priority="40" aboveAverage="0" equalAverage="0" bottom="0" percent="0" rank="0" text="" dxfId="38">
      <formula>AND(L$16&gt;=$F19,L$16&lt;$H19,$J19="Atrasado")</formula>
    </cfRule>
  </conditionalFormatting>
  <conditionalFormatting sqref="L53:SW53 L19:SW42">
    <cfRule type="expression" priority="41" aboveAverage="0" equalAverage="0" bottom="0" percent="0" rank="0" text="" dxfId="39">
      <formula>AND(L$16&gt;=$F19,L$16&lt;$H19,$J19="")</formula>
    </cfRule>
    <cfRule type="expression" priority="42" aboveAverage="0" equalAverage="0" bottom="0" percent="0" rank="0" text="" dxfId="40">
      <formula>AND(L$16&gt;=$F19,L$16&lt;$H19,$J19="Sin Empezar")</formula>
    </cfRule>
    <cfRule type="expression" priority="43" aboveAverage="0" equalAverage="0" bottom="0" percent="0" rank="0" text="" dxfId="41">
      <formula>AND(L$16&gt;=$F19,L$16&lt;$H19,$J19="En Proceso")</formula>
    </cfRule>
    <cfRule type="expression" priority="44" aboveAverage="0" equalAverage="0" bottom="0" percent="0" rank="0" text="" dxfId="42">
      <formula>AND(L$16&gt;=$F19,L$16&lt;$H19,$J19="Completado")</formula>
    </cfRule>
  </conditionalFormatting>
  <dataValidations count="2">
    <dataValidation allowBlank="false" errorStyle="stop" operator="between" showDropDown="false" showErrorMessage="true" showInputMessage="true" sqref="E19:E30 E32:E41 E43:E52 E54:E63" type="list">
      <formula1>Configuracion!$D$4:$D$23</formula1>
      <formula2>0</formula2>
    </dataValidation>
    <dataValidation allowBlank="true" errorStyle="stop" operator="between" showDropDown="false" showErrorMessage="true" showInputMessage="true" sqref="J19:J30 J32:J41 J43:J52 J54:J63" type="list">
      <formula1>Configuracion!$G$4:$G$8</formula1>
      <formula2>0</formula2>
    </dataValidation>
  </dataValidation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1" scale="4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4" name="Sábado">
              <controlPr defaultSize="0" locked="1" autoFill="0" autoLine="0" autoPict="0" print="true" altText="Check Box 8">
                <anchor moveWithCells="true" sizeWithCells="false">
                  <from>
                    <xdr:col>8</xdr:col>
                    <xdr:colOff>152280</xdr:colOff>
                    <xdr:row>1</xdr:row>
                    <xdr:rowOff>76320</xdr:rowOff>
                  </from>
                  <to>
                    <xdr:col>9</xdr:col>
                    <xdr:colOff>285480</xdr:colOff>
                    <xdr:row>2</xdr:row>
                    <xdr:rowOff>9720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" r:id="rId5" name="Domingo">
              <controlPr defaultSize="0" locked="1" autoFill="0" autoLine="0" autoPict="0" print="true" altText="Check Box 9">
                <anchor moveWithCells="true" sizeWithCells="false">
                  <from>
                    <xdr:col>9</xdr:col>
                    <xdr:colOff>295200</xdr:colOff>
                    <xdr:row>1</xdr:row>
                    <xdr:rowOff>76320</xdr:rowOff>
                  </from>
                  <to>
                    <xdr:col>10</xdr:col>
                    <xdr:colOff>0</xdr:colOff>
                    <xdr:row>2</xdr:row>
                    <xdr:rowOff>9720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3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4" activeCellId="0" sqref="J4"/>
    </sheetView>
  </sheetViews>
  <sheetFormatPr defaultColWidth="11.55859375" defaultRowHeight="14.25" customHeight="false" zeroHeight="false" outlineLevelRow="0" outlineLevelCol="0"/>
  <cols>
    <col collapsed="false" customWidth="true" hidden="false" outlineLevel="0" max="1" min="1" style="1" width="5.56"/>
    <col collapsed="false" customWidth="true" hidden="false" outlineLevel="0" max="2" min="2" style="1" width="11.66"/>
    <col collapsed="false" customWidth="true" hidden="false" outlineLevel="0" max="3" min="3" style="1" width="2.66"/>
    <col collapsed="false" customWidth="true" hidden="false" outlineLevel="0" max="4" min="4" style="1" width="17.56"/>
    <col collapsed="false" customWidth="true" hidden="false" outlineLevel="0" max="5" min="5" style="1" width="5.56"/>
    <col collapsed="false" customWidth="true" hidden="false" outlineLevel="0" max="6" min="6" style="1" width="12.33"/>
    <col collapsed="false" customWidth="true" hidden="false" outlineLevel="0" max="7" min="7" style="2" width="13.11"/>
    <col collapsed="false" customWidth="true" hidden="false" outlineLevel="0" max="8" min="8" style="1" width="5.56"/>
    <col collapsed="false" customWidth="true" hidden="false" outlineLevel="0" max="9" min="9" style="1" width="12.33"/>
    <col collapsed="false" customWidth="true" hidden="false" outlineLevel="0" max="10" min="10" style="1" width="15.33"/>
  </cols>
  <sheetData>
    <row r="2" customFormat="false" ht="14.25" hidden="false" customHeight="false" outlineLevel="0" collapsed="false">
      <c r="I2" s="1" t="s">
        <v>34</v>
      </c>
    </row>
    <row r="3" customFormat="false" ht="15" hidden="false" customHeight="true" outlineLevel="0" collapsed="false">
      <c r="B3" s="131" t="s">
        <v>35</v>
      </c>
      <c r="C3" s="131" t="s">
        <v>36</v>
      </c>
      <c r="D3" s="132" t="s">
        <v>37</v>
      </c>
      <c r="F3" s="131" t="s">
        <v>35</v>
      </c>
      <c r="G3" s="133" t="s">
        <v>38</v>
      </c>
      <c r="I3" s="134" t="s">
        <v>39</v>
      </c>
      <c r="J3" s="132" t="s">
        <v>40</v>
      </c>
    </row>
    <row r="4" customFormat="false" ht="14.25" hidden="false" customHeight="false" outlineLevel="0" collapsed="false">
      <c r="B4" s="131"/>
      <c r="C4" s="135" t="n">
        <v>1</v>
      </c>
      <c r="D4" s="136" t="s">
        <v>23</v>
      </c>
      <c r="F4" s="131"/>
      <c r="G4" s="137" t="s">
        <v>41</v>
      </c>
      <c r="I4" s="134"/>
      <c r="J4" s="138" t="n">
        <v>44150</v>
      </c>
    </row>
    <row r="5" customFormat="false" ht="14.25" hidden="false" customHeight="false" outlineLevel="0" collapsed="false">
      <c r="B5" s="131"/>
      <c r="C5" s="135" t="n">
        <v>2</v>
      </c>
      <c r="D5" s="136" t="s">
        <v>21</v>
      </c>
      <c r="F5" s="131"/>
      <c r="G5" s="137" t="s">
        <v>42</v>
      </c>
      <c r="I5" s="134"/>
      <c r="J5" s="138"/>
    </row>
    <row r="6" customFormat="false" ht="14.25" hidden="false" customHeight="false" outlineLevel="0" collapsed="false">
      <c r="B6" s="131"/>
      <c r="C6" s="135" t="n">
        <v>3</v>
      </c>
      <c r="D6" s="136" t="s">
        <v>15</v>
      </c>
      <c r="F6" s="131"/>
      <c r="G6" s="137" t="s">
        <v>16</v>
      </c>
      <c r="I6" s="134"/>
      <c r="J6" s="138"/>
    </row>
    <row r="7" customFormat="false" ht="14.25" hidden="false" customHeight="false" outlineLevel="0" collapsed="false">
      <c r="B7" s="131"/>
      <c r="C7" s="135" t="n">
        <v>4</v>
      </c>
      <c r="D7" s="136" t="s">
        <v>19</v>
      </c>
      <c r="F7" s="131"/>
      <c r="G7" s="137" t="s">
        <v>43</v>
      </c>
      <c r="I7" s="134"/>
      <c r="J7" s="138"/>
    </row>
    <row r="8" customFormat="false" ht="14.25" hidden="false" customHeight="false" outlineLevel="0" collapsed="false">
      <c r="B8" s="131"/>
      <c r="C8" s="135" t="n">
        <v>5</v>
      </c>
      <c r="D8" s="136"/>
      <c r="F8" s="2"/>
      <c r="I8" s="134"/>
      <c r="J8" s="138"/>
    </row>
    <row r="9" customFormat="false" ht="14.25" hidden="false" customHeight="false" outlineLevel="0" collapsed="false">
      <c r="B9" s="131"/>
      <c r="C9" s="135" t="n">
        <v>6</v>
      </c>
      <c r="D9" s="136"/>
      <c r="F9" s="2"/>
      <c r="I9" s="134"/>
      <c r="J9" s="138"/>
    </row>
    <row r="10" customFormat="false" ht="14.25" hidden="false" customHeight="false" outlineLevel="0" collapsed="false">
      <c r="B10" s="131"/>
      <c r="C10" s="135" t="n">
        <v>7</v>
      </c>
      <c r="D10" s="136"/>
      <c r="F10" s="2"/>
      <c r="I10" s="134"/>
      <c r="J10" s="138"/>
    </row>
    <row r="11" customFormat="false" ht="14.25" hidden="false" customHeight="false" outlineLevel="0" collapsed="false">
      <c r="B11" s="131"/>
      <c r="C11" s="135" t="n">
        <v>8</v>
      </c>
      <c r="D11" s="136"/>
      <c r="F11" s="2"/>
      <c r="I11" s="134"/>
      <c r="J11" s="138"/>
    </row>
    <row r="12" customFormat="false" ht="14.25" hidden="false" customHeight="false" outlineLevel="0" collapsed="false">
      <c r="B12" s="131"/>
      <c r="C12" s="135" t="n">
        <v>9</v>
      </c>
      <c r="D12" s="136"/>
      <c r="F12" s="2"/>
      <c r="I12" s="134"/>
      <c r="J12" s="138"/>
    </row>
    <row r="13" customFormat="false" ht="14.25" hidden="false" customHeight="false" outlineLevel="0" collapsed="false">
      <c r="B13" s="131"/>
      <c r="C13" s="135" t="n">
        <v>10</v>
      </c>
      <c r="D13" s="136"/>
      <c r="F13" s="2"/>
      <c r="I13" s="134"/>
      <c r="J13" s="138"/>
    </row>
    <row r="14" customFormat="false" ht="14.25" hidden="false" customHeight="false" outlineLevel="0" collapsed="false">
      <c r="B14" s="131"/>
      <c r="C14" s="135" t="n">
        <v>11</v>
      </c>
      <c r="D14" s="136"/>
      <c r="F14" s="2"/>
      <c r="I14" s="134"/>
      <c r="J14" s="138"/>
    </row>
    <row r="15" customFormat="false" ht="14.25" hidden="false" customHeight="false" outlineLevel="0" collapsed="false">
      <c r="B15" s="131"/>
      <c r="C15" s="135" t="n">
        <v>12</v>
      </c>
      <c r="D15" s="136"/>
      <c r="F15" s="2"/>
      <c r="I15" s="134"/>
      <c r="J15" s="138"/>
    </row>
    <row r="16" customFormat="false" ht="14.25" hidden="false" customHeight="false" outlineLevel="0" collapsed="false">
      <c r="B16" s="131"/>
      <c r="C16" s="135" t="n">
        <v>13</v>
      </c>
      <c r="D16" s="136"/>
      <c r="F16" s="2"/>
      <c r="I16" s="134"/>
      <c r="J16" s="138"/>
    </row>
    <row r="17" customFormat="false" ht="14.25" hidden="false" customHeight="false" outlineLevel="0" collapsed="false">
      <c r="B17" s="131"/>
      <c r="C17" s="135" t="n">
        <v>14</v>
      </c>
      <c r="D17" s="136"/>
      <c r="F17" s="2"/>
      <c r="I17" s="134"/>
      <c r="J17" s="138"/>
    </row>
    <row r="18" customFormat="false" ht="14.25" hidden="false" customHeight="false" outlineLevel="0" collapsed="false">
      <c r="B18" s="131"/>
      <c r="C18" s="135" t="n">
        <v>15</v>
      </c>
      <c r="D18" s="136"/>
      <c r="I18" s="134"/>
      <c r="J18" s="138"/>
    </row>
    <row r="19" customFormat="false" ht="14.25" hidden="false" customHeight="false" outlineLevel="0" collapsed="false">
      <c r="B19" s="131"/>
      <c r="C19" s="135" t="n">
        <v>16</v>
      </c>
      <c r="D19" s="136"/>
      <c r="I19" s="134"/>
      <c r="J19" s="138"/>
    </row>
    <row r="20" customFormat="false" ht="14.25" hidden="false" customHeight="false" outlineLevel="0" collapsed="false">
      <c r="B20" s="131"/>
      <c r="C20" s="135" t="n">
        <v>17</v>
      </c>
      <c r="D20" s="136"/>
      <c r="I20" s="134"/>
      <c r="J20" s="138"/>
    </row>
    <row r="21" customFormat="false" ht="14.25" hidden="false" customHeight="false" outlineLevel="0" collapsed="false">
      <c r="B21" s="131"/>
      <c r="C21" s="135" t="n">
        <v>18</v>
      </c>
      <c r="D21" s="136"/>
      <c r="I21" s="134"/>
      <c r="J21" s="138"/>
    </row>
    <row r="22" customFormat="false" ht="14.25" hidden="false" customHeight="false" outlineLevel="0" collapsed="false">
      <c r="B22" s="131"/>
      <c r="C22" s="135" t="n">
        <v>19</v>
      </c>
      <c r="D22" s="136"/>
      <c r="I22" s="134"/>
      <c r="J22" s="138"/>
    </row>
    <row r="23" customFormat="false" ht="14.25" hidden="false" customHeight="false" outlineLevel="0" collapsed="false">
      <c r="B23" s="131"/>
      <c r="C23" s="135" t="n">
        <v>20</v>
      </c>
      <c r="D23" s="136"/>
      <c r="I23" s="134"/>
      <c r="J23" s="138"/>
    </row>
    <row r="24" customFormat="false" ht="14.25" hidden="false" customHeight="false" outlineLevel="0" collapsed="false">
      <c r="I24" s="134"/>
      <c r="J24" s="138"/>
    </row>
    <row r="25" customFormat="false" ht="14.25" hidden="false" customHeight="false" outlineLevel="0" collapsed="false">
      <c r="I25" s="134"/>
      <c r="J25" s="138"/>
    </row>
    <row r="26" customFormat="false" ht="14.25" hidden="false" customHeight="false" outlineLevel="0" collapsed="false">
      <c r="I26" s="134"/>
      <c r="J26" s="138"/>
    </row>
    <row r="27" customFormat="false" ht="14.25" hidden="false" customHeight="false" outlineLevel="0" collapsed="false">
      <c r="I27" s="134"/>
      <c r="J27" s="138"/>
    </row>
    <row r="28" customFormat="false" ht="14.25" hidden="false" customHeight="false" outlineLevel="0" collapsed="false">
      <c r="I28" s="134"/>
      <c r="J28" s="138"/>
    </row>
    <row r="29" customFormat="false" ht="14.25" hidden="false" customHeight="false" outlineLevel="0" collapsed="false">
      <c r="I29" s="134"/>
      <c r="J29" s="138"/>
    </row>
    <row r="30" customFormat="false" ht="14.25" hidden="false" customHeight="false" outlineLevel="0" collapsed="false">
      <c r="I30" s="134"/>
      <c r="J30" s="138"/>
    </row>
    <row r="31" customFormat="false" ht="14.25" hidden="false" customHeight="false" outlineLevel="0" collapsed="false">
      <c r="I31" s="134"/>
      <c r="J31" s="138"/>
    </row>
    <row r="32" customFormat="false" ht="14.25" hidden="false" customHeight="false" outlineLevel="0" collapsed="false">
      <c r="I32" s="134"/>
      <c r="J32" s="138"/>
    </row>
    <row r="33" customFormat="false" ht="14.25" hidden="false" customHeight="false" outlineLevel="0" collapsed="false">
      <c r="I33" s="134"/>
      <c r="J33" s="138"/>
    </row>
  </sheetData>
  <mergeCells count="3">
    <mergeCell ref="B3:B23"/>
    <mergeCell ref="F3:F7"/>
    <mergeCell ref="I3:I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D14"/>
  <sheetViews>
    <sheetView showFormulas="false" showGridLines="tru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11.55859375" defaultRowHeight="14.25" customHeight="false" zeroHeight="false" outlineLevelRow="0" outlineLevelCol="0"/>
  <sheetData>
    <row r="3" customFormat="false" ht="14.25" hidden="false" customHeight="false" outlineLevel="0" collapsed="false">
      <c r="B3" s="139"/>
      <c r="C3" s="140"/>
      <c r="D3" s="141" t="s">
        <v>44</v>
      </c>
    </row>
    <row r="4" customFormat="false" ht="14.25" hidden="false" customHeight="false" outlineLevel="0" collapsed="false">
      <c r="B4" s="142" t="s">
        <v>45</v>
      </c>
      <c r="C4" s="1" t="n">
        <f aca="false">COUNTA('Tallerdata.com'!D19:D30,'Tallerdata.com'!D32:D41,'Tallerdata.com'!D43:D52,'Tallerdata.com'!D54:D302)</f>
        <v>12</v>
      </c>
      <c r="D4" s="143" t="n">
        <f aca="false">C4</f>
        <v>12</v>
      </c>
    </row>
    <row r="5" customFormat="false" ht="14.25" hidden="false" customHeight="false" outlineLevel="0" collapsed="false">
      <c r="B5" s="142" t="str">
        <f aca="false">Configuracion!G4</f>
        <v>Sin Empezar</v>
      </c>
      <c r="C5" s="1" t="n">
        <f aca="false">COUNTIF('Tallerdata.com'!$J$19:$J$302,B5)</f>
        <v>0</v>
      </c>
      <c r="D5" s="143"/>
    </row>
    <row r="6" customFormat="false" ht="14.25" hidden="false" customHeight="false" outlineLevel="0" collapsed="false">
      <c r="B6" s="142" t="str">
        <f aca="false">Configuracion!G5</f>
        <v>En Proceso</v>
      </c>
      <c r="C6" s="1" t="n">
        <f aca="false">COUNTIF('Tallerdata.com'!$J$19:$J$302,B6)</f>
        <v>0</v>
      </c>
      <c r="D6" s="143" t="n">
        <f aca="false">IFERROR(AVERAGEIF('Tallerdata.com'!J19:J302,B6,'Tallerdata.com'!I19:I302),0)*C6</f>
        <v>0</v>
      </c>
    </row>
    <row r="7" customFormat="false" ht="14.25" hidden="false" customHeight="false" outlineLevel="0" collapsed="false">
      <c r="B7" s="142" t="str">
        <f aca="false">Configuracion!G6</f>
        <v>Completado</v>
      </c>
      <c r="C7" s="1" t="n">
        <f aca="false">COUNTIF('Tallerdata.com'!$J$19:$J$302,B7)</f>
        <v>12</v>
      </c>
      <c r="D7" s="143" t="n">
        <f aca="false">C7</f>
        <v>12</v>
      </c>
    </row>
    <row r="8" customFormat="false" ht="14.25" hidden="false" customHeight="false" outlineLevel="0" collapsed="false">
      <c r="B8" s="142" t="str">
        <f aca="false">Configuracion!G7</f>
        <v>Atrasado</v>
      </c>
      <c r="C8" s="1" t="n">
        <f aca="false">COUNTIF('Tallerdata.com'!$J$19:$J$302,B8)</f>
        <v>0</v>
      </c>
      <c r="D8" s="144" t="n">
        <f aca="false">IFERROR(AVERAGEIF('Tallerdata.com'!J19:J302,B8,'Tallerdata.com'!I19:I302),0)*C8</f>
        <v>0</v>
      </c>
    </row>
    <row r="9" customFormat="false" ht="14.25" hidden="false" customHeight="false" outlineLevel="0" collapsed="false">
      <c r="B9" s="142"/>
      <c r="D9" s="145"/>
    </row>
    <row r="10" customFormat="false" ht="14.25" hidden="false" customHeight="false" outlineLevel="0" collapsed="false">
      <c r="B10" s="146" t="s">
        <v>46</v>
      </c>
      <c r="C10" s="147"/>
      <c r="D10" s="148" t="n">
        <f aca="false">+IFERROR((D6+D7+D8)/D4,0)</f>
        <v>1</v>
      </c>
    </row>
    <row r="14" customFormat="false" ht="14.25" hidden="false" customHeight="false" outlineLevel="0" collapsed="false">
      <c r="B14" s="1" t="s">
        <v>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10"/>
  <sheetViews>
    <sheetView showFormulas="false" showGridLines="tru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859375" defaultRowHeight="14.25" customHeight="false" zeroHeight="false" outlineLevelRow="0" outlineLevelCol="0"/>
  <cols>
    <col collapsed="false" customWidth="true" hidden="false" outlineLevel="0" max="1" min="1" style="1" width="13.11"/>
    <col collapsed="false" customWidth="true" hidden="false" outlineLevel="0" max="8" min="8" style="1" width="16"/>
    <col collapsed="false" customWidth="true" hidden="false" outlineLevel="0" max="9" min="9" style="2" width="13.11"/>
    <col collapsed="false" customWidth="true" hidden="false" outlineLevel="0" max="11" min="10" style="2" width="13"/>
    <col collapsed="false" customWidth="true" hidden="false" outlineLevel="0" max="12" min="12" style="2" width="11"/>
  </cols>
  <sheetData>
    <row r="1" customFormat="false" ht="14.25" hidden="false" customHeight="false" outlineLevel="0" collapsed="false">
      <c r="A1" s="1" t="s">
        <v>47</v>
      </c>
      <c r="F1" s="1" t="s">
        <v>48</v>
      </c>
    </row>
    <row r="2" customFormat="false" ht="14.25" hidden="false" customHeight="false" outlineLevel="0" collapsed="false">
      <c r="F2" s="149" t="n">
        <f aca="false">COUNTIF(F4:F509,1)</f>
        <v>0</v>
      </c>
    </row>
    <row r="3" customFormat="false" ht="14.25" hidden="false" customHeight="false" outlineLevel="0" collapsed="false">
      <c r="A3" s="1" t="s">
        <v>49</v>
      </c>
      <c r="C3" s="1" t="s">
        <v>50</v>
      </c>
      <c r="D3" s="1" t="s">
        <v>51</v>
      </c>
      <c r="F3" s="1" t="s">
        <v>52</v>
      </c>
      <c r="G3" s="1" t="s">
        <v>53</v>
      </c>
      <c r="H3" s="1" t="s">
        <v>54</v>
      </c>
      <c r="I3" s="2" t="s">
        <v>49</v>
      </c>
      <c r="J3" s="2" t="s">
        <v>55</v>
      </c>
      <c r="K3" s="2" t="s">
        <v>56</v>
      </c>
      <c r="L3" s="2" t="s">
        <v>57</v>
      </c>
      <c r="N3" s="2" t="s">
        <v>56</v>
      </c>
      <c r="O3" s="2" t="s">
        <v>58</v>
      </c>
    </row>
    <row r="4" customFormat="false" ht="14.25" hidden="false" customHeight="false" outlineLevel="0" collapsed="false">
      <c r="A4" s="150" t="n">
        <f aca="false">Configuracion!J4</f>
        <v>44150</v>
      </c>
      <c r="C4" s="1" t="s">
        <v>59</v>
      </c>
      <c r="D4" s="1" t="b">
        <f aca="false">FALSE()</f>
        <v>0</v>
      </c>
      <c r="F4" s="1" t="n">
        <f aca="false">IF(OR(I4=1,J4=1),1,0)</f>
        <v>0</v>
      </c>
      <c r="G4" s="1" t="str">
        <f aca="false">TEXT(H4,"DDD")</f>
        <v>vie</v>
      </c>
      <c r="H4" s="151" t="n">
        <f aca="false">'Tallerdata.com'!P4</f>
        <v>46136</v>
      </c>
      <c r="I4" s="2" t="n">
        <f aca="false">IFERROR(IF(VLOOKUP(H4,$A$4:$A$33,1,0),1,0),0)</f>
        <v>0</v>
      </c>
      <c r="J4" s="2" t="n">
        <f aca="false">IF(AND($D$4=TRUE(),G4="Sáb"),1,IF(AND($D$5=TRUE(),G4="Dom"),1,0))</f>
        <v>0</v>
      </c>
      <c r="K4" s="2" t="n">
        <f aca="false">IF(L4="No",0,1)</f>
        <v>1</v>
      </c>
      <c r="L4" s="152" t="n">
        <f aca="false">IF(AND(I4=0,J4=0),H4,"NO")</f>
        <v>46136</v>
      </c>
      <c r="N4" s="1" t="n">
        <v>1</v>
      </c>
      <c r="O4" s="150" t="n">
        <f aca="false">IFERROR(VLOOKUP(N4,$K$4:$L$509,2,0),"")</f>
        <v>46136</v>
      </c>
    </row>
    <row r="5" customFormat="false" ht="14.25" hidden="false" customHeight="false" outlineLevel="0" collapsed="false">
      <c r="A5" s="150" t="n">
        <f aca="false">Configuracion!J5</f>
        <v>0</v>
      </c>
      <c r="C5" s="1" t="s">
        <v>60</v>
      </c>
      <c r="D5" s="1" t="b">
        <f aca="false">FALSE()</f>
        <v>0</v>
      </c>
      <c r="F5" s="1" t="n">
        <f aca="false">IF(OR(I5=1,J5=1),1,0)</f>
        <v>0</v>
      </c>
      <c r="G5" s="1" t="str">
        <f aca="false">TEXT(H5,"DDD")</f>
        <v>sáb</v>
      </c>
      <c r="H5" s="150" t="n">
        <f aca="false">IF(H4&gt;='Tallerdata.com'!$X$4,NA(),H4+1)</f>
        <v>46137</v>
      </c>
      <c r="I5" s="2" t="n">
        <f aca="false">IFERROR(IF(VLOOKUP(H5,$A$4:$A$33,1,0),1,0),0)</f>
        <v>0</v>
      </c>
      <c r="J5" s="2" t="n">
        <f aca="false">IF(AND($D$4=TRUE(),G5="Sáb"),1,IF(AND($D$5=TRUE(),G5="Dom"),1,0))</f>
        <v>0</v>
      </c>
      <c r="K5" s="2" t="n">
        <f aca="false">IF(L5="No",K4,K4+1)</f>
        <v>2</v>
      </c>
      <c r="L5" s="152" t="n">
        <f aca="false">IF(AND(I5=0,J5=0),H5,"NO")</f>
        <v>46137</v>
      </c>
      <c r="N5" s="1" t="n">
        <f aca="false">N4+1</f>
        <v>2</v>
      </c>
      <c r="O5" s="150" t="n">
        <f aca="false">IFERROR(VLOOKUP(N5,$K$4:$L$509,2,0),"")</f>
        <v>46137</v>
      </c>
    </row>
    <row r="6" customFormat="false" ht="14.25" hidden="false" customHeight="false" outlineLevel="0" collapsed="false">
      <c r="A6" s="150" t="n">
        <f aca="false">Configuracion!J6</f>
        <v>0</v>
      </c>
      <c r="F6" s="1" t="n">
        <f aca="false">IF(OR(I6=1,J6=1),1,0)</f>
        <v>0</v>
      </c>
      <c r="G6" s="1" t="str">
        <f aca="false">TEXT(H6,"DDD")</f>
        <v>dom</v>
      </c>
      <c r="H6" s="150" t="n">
        <f aca="false">IF(H5&gt;='Tallerdata.com'!$X$4,NA(),H5+1)</f>
        <v>46138</v>
      </c>
      <c r="I6" s="2" t="n">
        <f aca="false">IFERROR(IF(VLOOKUP(H6,$A$4:$A$33,1,0),1,0),0)</f>
        <v>0</v>
      </c>
      <c r="J6" s="2" t="n">
        <f aca="false">IF(AND($D$4=TRUE(),G6="Sáb"),1,IF(AND($D$5=TRUE(),G6="Dom"),1,0))</f>
        <v>0</v>
      </c>
      <c r="K6" s="2" t="n">
        <f aca="false">IF(L6="No",K5,K5+1)</f>
        <v>3</v>
      </c>
      <c r="L6" s="152" t="n">
        <f aca="false">IF(AND(I6=0,J6=0),H6,"NO")</f>
        <v>46138</v>
      </c>
      <c r="N6" s="1" t="n">
        <f aca="false">N5+1</f>
        <v>3</v>
      </c>
      <c r="O6" s="150" t="n">
        <f aca="false">IFERROR(VLOOKUP(N6,$K$4:$L$509,2,0),"")</f>
        <v>46138</v>
      </c>
    </row>
    <row r="7" customFormat="false" ht="14.25" hidden="false" customHeight="false" outlineLevel="0" collapsed="false">
      <c r="A7" s="150" t="n">
        <f aca="false">Configuracion!J7</f>
        <v>0</v>
      </c>
      <c r="F7" s="1" t="n">
        <f aca="false">IF(OR(I7=1,J7=1),1,0)</f>
        <v>0</v>
      </c>
      <c r="G7" s="1" t="str">
        <f aca="false">TEXT(H7,"DDD")</f>
        <v>lun</v>
      </c>
      <c r="H7" s="150" t="n">
        <f aca="false">IF(H6&gt;='Tallerdata.com'!$X$4,NA(),H6+1)</f>
        <v>46139</v>
      </c>
      <c r="I7" s="2" t="n">
        <f aca="false">IFERROR(IF(VLOOKUP(H7,$A$4:$A$33,1,0),1,0),0)</f>
        <v>0</v>
      </c>
      <c r="J7" s="2" t="n">
        <f aca="false">IF(AND($D$4=TRUE(),G7="Sáb"),1,IF(AND($D$5=TRUE(),G7="Dom"),1,0))</f>
        <v>0</v>
      </c>
      <c r="K7" s="2" t="n">
        <f aca="false">IF(L7="No",K6,K6+1)</f>
        <v>4</v>
      </c>
      <c r="L7" s="152" t="n">
        <f aca="false">IF(AND(I7=0,J7=0),H7,"NO")</f>
        <v>46139</v>
      </c>
      <c r="N7" s="1" t="n">
        <f aca="false">N6+1</f>
        <v>4</v>
      </c>
      <c r="O7" s="150" t="n">
        <f aca="false">IFERROR(VLOOKUP(N7,$K$4:$L$509,2,0),"")</f>
        <v>46139</v>
      </c>
    </row>
    <row r="8" customFormat="false" ht="14.25" hidden="false" customHeight="false" outlineLevel="0" collapsed="false">
      <c r="A8" s="150" t="n">
        <f aca="false">Configuracion!J8</f>
        <v>0</v>
      </c>
      <c r="F8" s="1" t="n">
        <f aca="false">IF(OR(I8=1,J8=1),1,0)</f>
        <v>0</v>
      </c>
      <c r="G8" s="1" t="str">
        <f aca="false">TEXT(H8,"DDD")</f>
        <v>mar</v>
      </c>
      <c r="H8" s="150" t="n">
        <f aca="false">IF(H7&gt;='Tallerdata.com'!$X$4,NA(),H7+1)</f>
        <v>46140</v>
      </c>
      <c r="I8" s="2" t="n">
        <f aca="false">IFERROR(IF(VLOOKUP(H8,$A$4:$A$33,1,0),1,0),0)</f>
        <v>0</v>
      </c>
      <c r="J8" s="2" t="n">
        <f aca="false">IF(AND($D$4=TRUE(),G8="Sáb"),1,IF(AND($D$5=TRUE(),G8="Dom"),1,0))</f>
        <v>0</v>
      </c>
      <c r="K8" s="2" t="n">
        <f aca="false">IF(L8="No",K7,K7+1)</f>
        <v>5</v>
      </c>
      <c r="L8" s="152" t="n">
        <f aca="false">IF(AND(I8=0,J8=0),H8,"NO")</f>
        <v>46140</v>
      </c>
      <c r="N8" s="1" t="n">
        <f aca="false">N7+1</f>
        <v>5</v>
      </c>
      <c r="O8" s="150" t="n">
        <f aca="false">IFERROR(VLOOKUP(N8,$K$4:$L$509,2,0),"")</f>
        <v>46140</v>
      </c>
    </row>
    <row r="9" customFormat="false" ht="14.25" hidden="false" customHeight="false" outlineLevel="0" collapsed="false">
      <c r="A9" s="150" t="n">
        <f aca="false">Configuracion!J9</f>
        <v>0</v>
      </c>
      <c r="C9" s="1" t="s">
        <v>61</v>
      </c>
      <c r="D9" s="150" t="n">
        <f aca="false">'Tallerdata.com'!P4</f>
        <v>46136</v>
      </c>
      <c r="F9" s="1" t="n">
        <f aca="false">IF(OR(I9=1,J9=1),1,0)</f>
        <v>0</v>
      </c>
      <c r="G9" s="1" t="str">
        <f aca="false">TEXT(H9,"DDD")</f>
        <v>mié</v>
      </c>
      <c r="H9" s="150" t="n">
        <f aca="false">IF(H8&gt;='Tallerdata.com'!$X$4,NA(),H8+1)</f>
        <v>46141</v>
      </c>
      <c r="I9" s="2" t="n">
        <f aca="false">IFERROR(IF(VLOOKUP(H9,$A$4:$A$33,1,0),1,0),0)</f>
        <v>0</v>
      </c>
      <c r="J9" s="2" t="n">
        <f aca="false">IF(AND($D$4=TRUE(),G9="Sáb"),1,IF(AND($D$5=TRUE(),G9="Dom"),1,0))</f>
        <v>0</v>
      </c>
      <c r="K9" s="2" t="n">
        <f aca="false">IF(L9="No",K8,K8+1)</f>
        <v>6</v>
      </c>
      <c r="L9" s="152" t="n">
        <f aca="false">IF(AND(I9=0,J9=0),H9,"NO")</f>
        <v>46141</v>
      </c>
      <c r="N9" s="1" t="n">
        <f aca="false">N8+1</f>
        <v>6</v>
      </c>
      <c r="O9" s="150" t="n">
        <f aca="false">IFERROR(VLOOKUP(N9,$K$4:$L$509,2,0),"")</f>
        <v>46141</v>
      </c>
    </row>
    <row r="10" customFormat="false" ht="14.25" hidden="false" customHeight="false" outlineLevel="0" collapsed="false">
      <c r="A10" s="150" t="n">
        <f aca="false">Configuracion!J10</f>
        <v>0</v>
      </c>
      <c r="C10" s="1" t="s">
        <v>62</v>
      </c>
      <c r="D10" s="150" t="n">
        <f aca="false">'Tallerdata.com'!X4</f>
        <v>46218</v>
      </c>
      <c r="F10" s="1" t="n">
        <f aca="false">IF(OR(I10=1,J10=1),1,0)</f>
        <v>0</v>
      </c>
      <c r="G10" s="1" t="str">
        <f aca="false">TEXT(H10,"DDD")</f>
        <v>jue</v>
      </c>
      <c r="H10" s="150" t="n">
        <f aca="false">IF(H9&gt;='Tallerdata.com'!$X$4,NA(),H9+1)</f>
        <v>46142</v>
      </c>
      <c r="I10" s="2" t="n">
        <f aca="false">IFERROR(IF(VLOOKUP(H10,$A$4:$A$33,1,0),1,0),0)</f>
        <v>0</v>
      </c>
      <c r="J10" s="2" t="n">
        <f aca="false">IF(AND($D$4=TRUE(),G10="Sáb"),1,IF(AND($D$5=TRUE(),G10="Dom"),1,0))</f>
        <v>0</v>
      </c>
      <c r="K10" s="2" t="n">
        <f aca="false">IF(L10="No",K9,K9+1)</f>
        <v>7</v>
      </c>
      <c r="L10" s="152" t="n">
        <f aca="false">IF(AND(I10=0,J10=0),H10,"NO")</f>
        <v>46142</v>
      </c>
      <c r="N10" s="1" t="n">
        <f aca="false">N9+1</f>
        <v>7</v>
      </c>
      <c r="O10" s="150" t="n">
        <f aca="false">IFERROR(VLOOKUP(N10,$K$4:$L$509,2,0),"")</f>
        <v>46142</v>
      </c>
    </row>
    <row r="11" customFormat="false" ht="14.25" hidden="false" customHeight="false" outlineLevel="0" collapsed="false">
      <c r="A11" s="150" t="n">
        <f aca="false">Configuracion!J11</f>
        <v>0</v>
      </c>
      <c r="F11" s="1" t="n">
        <f aca="false">IF(OR(I11=1,J11=1),1,0)</f>
        <v>0</v>
      </c>
      <c r="G11" s="1" t="str">
        <f aca="false">TEXT(H11,"DDD")</f>
        <v>vie</v>
      </c>
      <c r="H11" s="150" t="n">
        <f aca="false">IF(H10&gt;='Tallerdata.com'!$X$4,NA(),H10+1)</f>
        <v>46143</v>
      </c>
      <c r="I11" s="2" t="n">
        <f aca="false">IFERROR(IF(VLOOKUP(H11,$A$4:$A$33,1,0),1,0),0)</f>
        <v>0</v>
      </c>
      <c r="J11" s="2" t="n">
        <f aca="false">IF(AND($D$4=TRUE(),G11="Sáb"),1,IF(AND($D$5=TRUE(),G11="Dom"),1,0))</f>
        <v>0</v>
      </c>
      <c r="K11" s="2" t="n">
        <f aca="false">IF(L11="No",K10,K10+1)</f>
        <v>8</v>
      </c>
      <c r="L11" s="152" t="n">
        <f aca="false">IF(AND(I11=0,J11=0),H11,"NO")</f>
        <v>46143</v>
      </c>
      <c r="N11" s="1" t="n">
        <f aca="false">N10+1</f>
        <v>8</v>
      </c>
      <c r="O11" s="150" t="n">
        <f aca="false">IFERROR(VLOOKUP(N11,$K$4:$L$509,2,0),"")</f>
        <v>46143</v>
      </c>
    </row>
    <row r="12" customFormat="false" ht="14.25" hidden="false" customHeight="false" outlineLevel="0" collapsed="false">
      <c r="A12" s="150" t="n">
        <f aca="false">Configuracion!J12</f>
        <v>0</v>
      </c>
      <c r="C12" s="1" t="s">
        <v>63</v>
      </c>
      <c r="F12" s="1" t="n">
        <f aca="false">IF(OR(I12=1,J12=1),1,0)</f>
        <v>0</v>
      </c>
      <c r="G12" s="1" t="str">
        <f aca="false">TEXT(H12,"DDD")</f>
        <v>sáb</v>
      </c>
      <c r="H12" s="150" t="n">
        <f aca="false">IF(H11&gt;='Tallerdata.com'!$X$4,NA(),H11+1)</f>
        <v>46144</v>
      </c>
      <c r="I12" s="2" t="n">
        <f aca="false">IFERROR(IF(VLOOKUP(H12,$A$4:$A$33,1,0),1,0),0)</f>
        <v>0</v>
      </c>
      <c r="J12" s="2" t="n">
        <f aca="false">IF(AND($D$4=TRUE(),G12="Sáb"),1,IF(AND($D$5=TRUE(),G12="Dom"),1,0))</f>
        <v>0</v>
      </c>
      <c r="K12" s="2" t="n">
        <f aca="false">IF(L12="No",K11,K11+1)</f>
        <v>9</v>
      </c>
      <c r="L12" s="152" t="n">
        <f aca="false">IF(AND(I12=0,J12=0),H12,"NO")</f>
        <v>46144</v>
      </c>
      <c r="N12" s="1" t="n">
        <f aca="false">N11+1</f>
        <v>9</v>
      </c>
      <c r="O12" s="150" t="n">
        <f aca="false">IFERROR(VLOOKUP(N12,$K$4:$L$509,2,0),"")</f>
        <v>46144</v>
      </c>
    </row>
    <row r="13" customFormat="false" ht="14.25" hidden="false" customHeight="false" outlineLevel="0" collapsed="false">
      <c r="A13" s="150" t="n">
        <f aca="false">Configuracion!J13</f>
        <v>0</v>
      </c>
      <c r="C13" s="1" t="s">
        <v>64</v>
      </c>
      <c r="D13" s="1" t="n">
        <f aca="false">DATEDIF(D9,D10,"m")</f>
        <v>2</v>
      </c>
      <c r="F13" s="1" t="n">
        <f aca="false">IF(OR(I13=1,J13=1),1,0)</f>
        <v>0</v>
      </c>
      <c r="G13" s="1" t="str">
        <f aca="false">TEXT(H13,"DDD")</f>
        <v>dom</v>
      </c>
      <c r="H13" s="150" t="n">
        <f aca="false">IF(H12&gt;='Tallerdata.com'!$X$4,NA(),H12+1)</f>
        <v>46145</v>
      </c>
      <c r="I13" s="2" t="n">
        <f aca="false">IFERROR(IF(VLOOKUP(H13,$A$4:$A$33,1,0),1,0),0)</f>
        <v>0</v>
      </c>
      <c r="J13" s="2" t="n">
        <f aca="false">IF(AND($D$4=TRUE(),G13="Sáb"),1,IF(AND($D$5=TRUE(),G13="Dom"),1,0))</f>
        <v>0</v>
      </c>
      <c r="K13" s="2" t="n">
        <f aca="false">IF(L13="No",K12,K12+1)</f>
        <v>10</v>
      </c>
      <c r="L13" s="152" t="n">
        <f aca="false">IF(AND(I13=0,J13=0),H13,"NO")</f>
        <v>46145</v>
      </c>
      <c r="N13" s="1" t="n">
        <f aca="false">N12+1</f>
        <v>10</v>
      </c>
      <c r="O13" s="150" t="n">
        <f aca="false">IFERROR(VLOOKUP(N13,$K$4:$L$509,2,0),"")</f>
        <v>46145</v>
      </c>
    </row>
    <row r="14" customFormat="false" ht="14.25" hidden="false" customHeight="false" outlineLevel="0" collapsed="false">
      <c r="A14" s="150" t="n">
        <f aca="false">Configuracion!J14</f>
        <v>0</v>
      </c>
      <c r="C14" s="1" t="s">
        <v>65</v>
      </c>
      <c r="D14" s="153" t="n">
        <f aca="false">DATEDIF(D9,D10,"md")+1</f>
        <v>22</v>
      </c>
      <c r="F14" s="1" t="n">
        <f aca="false">IF(OR(I14=1,J14=1),1,0)</f>
        <v>0</v>
      </c>
      <c r="G14" s="1" t="str">
        <f aca="false">TEXT(H14,"DDD")</f>
        <v>lun</v>
      </c>
      <c r="H14" s="150" t="n">
        <f aca="false">IF(H13&gt;='Tallerdata.com'!$X$4,NA(),H13+1)</f>
        <v>46146</v>
      </c>
      <c r="I14" s="2" t="n">
        <f aca="false">IFERROR(IF(VLOOKUP(H14,$A$4:$A$33,1,0),1,0),0)</f>
        <v>0</v>
      </c>
      <c r="J14" s="2" t="n">
        <f aca="false">IF(AND($D$4=TRUE(),G14="Sáb"),1,IF(AND($D$5=TRUE(),G14="Dom"),1,0))</f>
        <v>0</v>
      </c>
      <c r="K14" s="2" t="n">
        <f aca="false">IF(L14="No",K13,K13+1)</f>
        <v>11</v>
      </c>
      <c r="L14" s="152" t="n">
        <f aca="false">IF(AND(I14=0,J14=0),H14,"NO")</f>
        <v>46146</v>
      </c>
      <c r="N14" s="1" t="n">
        <f aca="false">N13+1</f>
        <v>11</v>
      </c>
      <c r="O14" s="150" t="n">
        <f aca="false">IFERROR(VLOOKUP(N14,$K$4:$L$509,2,0),"")</f>
        <v>46146</v>
      </c>
    </row>
    <row r="15" customFormat="false" ht="14.25" hidden="false" customHeight="false" outlineLevel="0" collapsed="false">
      <c r="A15" s="150" t="n">
        <f aca="false">Configuracion!J15</f>
        <v>0</v>
      </c>
      <c r="F15" s="1" t="n">
        <f aca="false">IF(OR(I15=1,J15=1),1,0)</f>
        <v>0</v>
      </c>
      <c r="G15" s="1" t="str">
        <f aca="false">TEXT(H15,"DDD")</f>
        <v>mar</v>
      </c>
      <c r="H15" s="150" t="n">
        <f aca="false">IF(H14&gt;='Tallerdata.com'!$X$4,NA(),H14+1)</f>
        <v>46147</v>
      </c>
      <c r="I15" s="2" t="n">
        <f aca="false">IFERROR(IF(VLOOKUP(H15,$A$4:$A$33,1,0),1,0),0)</f>
        <v>0</v>
      </c>
      <c r="J15" s="2" t="n">
        <f aca="false">IF(AND($D$4=TRUE(),G15="Sáb"),1,IF(AND($D$5=TRUE(),G15="Dom"),1,0))</f>
        <v>0</v>
      </c>
      <c r="K15" s="2" t="n">
        <f aca="false">IF(L15="No",K14,K14+1)</f>
        <v>12</v>
      </c>
      <c r="L15" s="152" t="n">
        <f aca="false">IF(AND(I15=0,J15=0),H15,"NO")</f>
        <v>46147</v>
      </c>
      <c r="N15" s="1" t="n">
        <f aca="false">N14+1</f>
        <v>12</v>
      </c>
      <c r="O15" s="150" t="n">
        <f aca="false">IFERROR(VLOOKUP(N15,$K$4:$L$509,2,0),"")</f>
        <v>46147</v>
      </c>
    </row>
    <row r="16" customFormat="false" ht="14.25" hidden="false" customHeight="false" outlineLevel="0" collapsed="false">
      <c r="A16" s="150" t="n">
        <f aca="false">Configuracion!J16</f>
        <v>0</v>
      </c>
      <c r="C16" s="1" t="s">
        <v>66</v>
      </c>
      <c r="D16" s="1" t="n">
        <f aca="false">F2</f>
        <v>0</v>
      </c>
      <c r="F16" s="1" t="n">
        <f aca="false">IF(OR(I16=1,J16=1),1,0)</f>
        <v>0</v>
      </c>
      <c r="G16" s="1" t="str">
        <f aca="false">TEXT(H16,"DDD")</f>
        <v>mié</v>
      </c>
      <c r="H16" s="150" t="n">
        <f aca="false">IF(H15&gt;='Tallerdata.com'!$X$4,NA(),H15+1)</f>
        <v>46148</v>
      </c>
      <c r="I16" s="2" t="n">
        <f aca="false">IFERROR(IF(VLOOKUP(H16,$A$4:$A$33,1,0),1,0),0)</f>
        <v>0</v>
      </c>
      <c r="J16" s="2" t="n">
        <f aca="false">IF(AND($D$4=TRUE(),G16="Sáb"),1,IF(AND($D$5=TRUE(),G16="Dom"),1,0))</f>
        <v>0</v>
      </c>
      <c r="K16" s="2" t="n">
        <f aca="false">IF(L16="No",K15,K15+1)</f>
        <v>13</v>
      </c>
      <c r="L16" s="152" t="n">
        <f aca="false">IF(AND(I16=0,J16=0),H16,"NO")</f>
        <v>46148</v>
      </c>
      <c r="N16" s="1" t="n">
        <f aca="false">N15+1</f>
        <v>13</v>
      </c>
      <c r="O16" s="150" t="n">
        <f aca="false">IFERROR(VLOOKUP(N16,$K$4:$L$509,2,0),"")</f>
        <v>46148</v>
      </c>
    </row>
    <row r="17" customFormat="false" ht="14.25" hidden="false" customHeight="false" outlineLevel="0" collapsed="false">
      <c r="A17" s="150" t="n">
        <f aca="false">Configuracion!J17</f>
        <v>0</v>
      </c>
      <c r="F17" s="1" t="n">
        <f aca="false">IF(OR(I17=1,J17=1),1,0)</f>
        <v>0</v>
      </c>
      <c r="G17" s="1" t="str">
        <f aca="false">TEXT(H17,"DDD")</f>
        <v>jue</v>
      </c>
      <c r="H17" s="150" t="n">
        <f aca="false">IF(H16&gt;='Tallerdata.com'!$X$4,NA(),H16+1)</f>
        <v>46149</v>
      </c>
      <c r="I17" s="2" t="n">
        <f aca="false">IFERROR(IF(VLOOKUP(H17,$A$4:$A$33,1,0),1,0),0)</f>
        <v>0</v>
      </c>
      <c r="J17" s="2" t="n">
        <f aca="false">IF(AND($D$4=TRUE(),G17="Sáb"),1,IF(AND($D$5=TRUE(),G17="Dom"),1,0))</f>
        <v>0</v>
      </c>
      <c r="K17" s="2" t="n">
        <f aca="false">IF(L17="No",K16,K16+1)</f>
        <v>14</v>
      </c>
      <c r="L17" s="152" t="n">
        <f aca="false">IF(AND(I17=0,J17=0),H17,"NO")</f>
        <v>46149</v>
      </c>
      <c r="N17" s="1" t="n">
        <f aca="false">N16+1</f>
        <v>14</v>
      </c>
      <c r="O17" s="150" t="n">
        <f aca="false">IFERROR(VLOOKUP(N17,$K$4:$L$509,2,0),"")</f>
        <v>46149</v>
      </c>
    </row>
    <row r="18" customFormat="false" ht="14.25" hidden="false" customHeight="false" outlineLevel="0" collapsed="false">
      <c r="A18" s="150" t="n">
        <f aca="false">Configuracion!J18</f>
        <v>0</v>
      </c>
      <c r="C18" s="1" t="s">
        <v>67</v>
      </c>
      <c r="D18" s="150" t="n">
        <f aca="false">D10-D16</f>
        <v>46218</v>
      </c>
      <c r="F18" s="1" t="n">
        <f aca="false">IF(OR(I18=1,J18=1),1,0)</f>
        <v>0</v>
      </c>
      <c r="G18" s="1" t="str">
        <f aca="false">TEXT(H18,"DDD")</f>
        <v>vie</v>
      </c>
      <c r="H18" s="150" t="n">
        <f aca="false">IF(H17&gt;='Tallerdata.com'!$X$4,NA(),H17+1)</f>
        <v>46150</v>
      </c>
      <c r="I18" s="2" t="n">
        <f aca="false">IFERROR(IF(VLOOKUP(H18,$A$4:$A$33,1,0),1,0),0)</f>
        <v>0</v>
      </c>
      <c r="J18" s="2" t="n">
        <f aca="false">IF(AND($D$4=TRUE(),G18="Sáb"),1,IF(AND($D$5=TRUE(),G18="Dom"),1,0))</f>
        <v>0</v>
      </c>
      <c r="K18" s="2" t="n">
        <f aca="false">IF(L18="No",K17,K17+1)</f>
        <v>15</v>
      </c>
      <c r="L18" s="152" t="n">
        <f aca="false">IF(AND(I18=0,J18=0),H18,"NO")</f>
        <v>46150</v>
      </c>
      <c r="N18" s="1" t="n">
        <f aca="false">N17+1</f>
        <v>15</v>
      </c>
      <c r="O18" s="150" t="n">
        <f aca="false">IFERROR(VLOOKUP(N18,$K$4:$L$509,2,0),"")</f>
        <v>46150</v>
      </c>
    </row>
    <row r="19" customFormat="false" ht="14.25" hidden="false" customHeight="false" outlineLevel="0" collapsed="false">
      <c r="A19" s="150" t="n">
        <f aca="false">Configuracion!J19</f>
        <v>0</v>
      </c>
      <c r="F19" s="1" t="n">
        <f aca="false">IF(OR(I19=1,J19=1),1,0)</f>
        <v>0</v>
      </c>
      <c r="G19" s="1" t="str">
        <f aca="false">TEXT(H19,"DDD")</f>
        <v>sáb</v>
      </c>
      <c r="H19" s="150" t="n">
        <f aca="false">IF(H18&gt;='Tallerdata.com'!$X$4,NA(),H18+1)</f>
        <v>46151</v>
      </c>
      <c r="I19" s="2" t="n">
        <f aca="false">IFERROR(IF(VLOOKUP(H19,$A$4:$A$33,1,0),1,0),0)</f>
        <v>0</v>
      </c>
      <c r="J19" s="2" t="n">
        <f aca="false">IF(AND($D$4=TRUE(),G19="Sáb"),1,IF(AND($D$5=TRUE(),G19="Dom"),1,0))</f>
        <v>0</v>
      </c>
      <c r="K19" s="2" t="n">
        <f aca="false">IF(L19="No",K18,K18+1)</f>
        <v>16</v>
      </c>
      <c r="L19" s="152" t="n">
        <f aca="false">IF(AND(I19=0,J19=0),H19,"NO")</f>
        <v>46151</v>
      </c>
      <c r="N19" s="1" t="n">
        <f aca="false">N18+1</f>
        <v>16</v>
      </c>
      <c r="O19" s="150" t="n">
        <f aca="false">IFERROR(VLOOKUP(N19,$K$4:$L$509,2,0),"")</f>
        <v>46151</v>
      </c>
    </row>
    <row r="20" customFormat="false" ht="14.25" hidden="false" customHeight="false" outlineLevel="0" collapsed="false">
      <c r="A20" s="150" t="n">
        <f aca="false">Configuracion!J20</f>
        <v>0</v>
      </c>
      <c r="C20" s="1" t="s">
        <v>68</v>
      </c>
      <c r="F20" s="1" t="n">
        <f aca="false">IF(OR(I20=1,J20=1),1,0)</f>
        <v>0</v>
      </c>
      <c r="G20" s="1" t="str">
        <f aca="false">TEXT(H20,"DDD")</f>
        <v>dom</v>
      </c>
      <c r="H20" s="150" t="n">
        <f aca="false">IF(H19&gt;='Tallerdata.com'!$X$4,NA(),H19+1)</f>
        <v>46152</v>
      </c>
      <c r="I20" s="2" t="n">
        <f aca="false">IFERROR(IF(VLOOKUP(H20,$A$4:$A$33,1,0),1,0),0)</f>
        <v>0</v>
      </c>
      <c r="J20" s="2" t="n">
        <f aca="false">IF(AND($D$4=TRUE(),G20="Sáb"),1,IF(AND($D$5=TRUE(),G20="Dom"),1,0))</f>
        <v>0</v>
      </c>
      <c r="K20" s="2" t="n">
        <f aca="false">IF(L20="No",K19,K19+1)</f>
        <v>17</v>
      </c>
      <c r="L20" s="152" t="n">
        <f aca="false">IF(AND(I20=0,J20=0),H20,"NO")</f>
        <v>46152</v>
      </c>
      <c r="N20" s="1" t="n">
        <f aca="false">N19+1</f>
        <v>17</v>
      </c>
      <c r="O20" s="150" t="n">
        <f aca="false">IFERROR(VLOOKUP(N20,$K$4:$L$509,2,0),"")</f>
        <v>46152</v>
      </c>
    </row>
    <row r="21" customFormat="false" ht="14.25" hidden="false" customHeight="false" outlineLevel="0" collapsed="false">
      <c r="A21" s="150" t="n">
        <f aca="false">Configuracion!J21</f>
        <v>0</v>
      </c>
      <c r="C21" s="1" t="s">
        <v>64</v>
      </c>
      <c r="D21" s="1" t="n">
        <f aca="false">DATEDIF(D9,D18,"m")</f>
        <v>2</v>
      </c>
      <c r="F21" s="1" t="n">
        <f aca="false">IF(OR(I21=1,J21=1),1,0)</f>
        <v>0</v>
      </c>
      <c r="G21" s="1" t="str">
        <f aca="false">TEXT(H21,"DDD")</f>
        <v>lun</v>
      </c>
      <c r="H21" s="150" t="n">
        <f aca="false">IF(H20&gt;='Tallerdata.com'!$X$4,NA(),H20+1)</f>
        <v>46153</v>
      </c>
      <c r="I21" s="2" t="n">
        <f aca="false">IFERROR(IF(VLOOKUP(H21,$A$4:$A$33,1,0),1,0),0)</f>
        <v>0</v>
      </c>
      <c r="J21" s="2" t="n">
        <f aca="false">IF(AND($D$4=TRUE(),G21="Sáb"),1,IF(AND($D$5=TRUE(),G21="Dom"),1,0))</f>
        <v>0</v>
      </c>
      <c r="K21" s="2" t="n">
        <f aca="false">IF(L21="No",K20,K20+1)</f>
        <v>18</v>
      </c>
      <c r="L21" s="152" t="n">
        <f aca="false">IF(AND(I21=0,J21=0),H21,"NO")</f>
        <v>46153</v>
      </c>
      <c r="N21" s="1" t="n">
        <f aca="false">N20+1</f>
        <v>18</v>
      </c>
      <c r="O21" s="150" t="n">
        <f aca="false">IFERROR(VLOOKUP(N21,$K$4:$L$509,2,0),"")</f>
        <v>46153</v>
      </c>
    </row>
    <row r="22" customFormat="false" ht="14.25" hidden="false" customHeight="false" outlineLevel="0" collapsed="false">
      <c r="A22" s="150" t="n">
        <f aca="false">Configuracion!J22</f>
        <v>0</v>
      </c>
      <c r="C22" s="1" t="s">
        <v>65</v>
      </c>
      <c r="D22" s="153" t="n">
        <f aca="false">DATEDIF(D9,D18,"md")+1</f>
        <v>22</v>
      </c>
      <c r="F22" s="1" t="n">
        <f aca="false">IF(OR(I22=1,J22=1),1,0)</f>
        <v>0</v>
      </c>
      <c r="G22" s="1" t="str">
        <f aca="false">TEXT(H22,"DDD")</f>
        <v>mar</v>
      </c>
      <c r="H22" s="150" t="n">
        <f aca="false">IF(H21&gt;='Tallerdata.com'!$X$4,NA(),H21+1)</f>
        <v>46154</v>
      </c>
      <c r="I22" s="2" t="n">
        <f aca="false">IFERROR(IF(VLOOKUP(H22,$A$4:$A$33,1,0),1,0),0)</f>
        <v>0</v>
      </c>
      <c r="J22" s="2" t="n">
        <f aca="false">IF(AND($D$4=TRUE(),G22="Sáb"),1,IF(AND($D$5=TRUE(),G22="Dom"),1,0))</f>
        <v>0</v>
      </c>
      <c r="K22" s="2" t="n">
        <f aca="false">IF(L22="No",K21,K21+1)</f>
        <v>19</v>
      </c>
      <c r="L22" s="152" t="n">
        <f aca="false">IF(AND(I22=0,J22=0),H22,"NO")</f>
        <v>46154</v>
      </c>
      <c r="N22" s="1" t="n">
        <f aca="false">N21+1</f>
        <v>19</v>
      </c>
      <c r="O22" s="150" t="n">
        <f aca="false">IFERROR(VLOOKUP(N22,$K$4:$L$509,2,0),"")</f>
        <v>46154</v>
      </c>
    </row>
    <row r="23" customFormat="false" ht="14.25" hidden="false" customHeight="false" outlineLevel="0" collapsed="false">
      <c r="A23" s="150" t="n">
        <f aca="false">Configuracion!J23</f>
        <v>0</v>
      </c>
      <c r="F23" s="1" t="n">
        <f aca="false">IF(OR(I23=1,J23=1),1,0)</f>
        <v>0</v>
      </c>
      <c r="G23" s="1" t="str">
        <f aca="false">TEXT(H23,"DDD")</f>
        <v>mié</v>
      </c>
      <c r="H23" s="150" t="n">
        <f aca="false">IF(H22&gt;='Tallerdata.com'!$X$4,NA(),H22+1)</f>
        <v>46155</v>
      </c>
      <c r="I23" s="2" t="n">
        <f aca="false">IFERROR(IF(VLOOKUP(H23,$A$4:$A$33,1,0),1,0),0)</f>
        <v>0</v>
      </c>
      <c r="J23" s="2" t="n">
        <f aca="false">IF(AND($D$4=TRUE(),G23="Sáb"),1,IF(AND($D$5=TRUE(),G23="Dom"),1,0))</f>
        <v>0</v>
      </c>
      <c r="K23" s="2" t="n">
        <f aca="false">IF(L23="No",K22,K22+1)</f>
        <v>20</v>
      </c>
      <c r="L23" s="152" t="n">
        <f aca="false">IF(AND(I23=0,J23=0),H23,"NO")</f>
        <v>46155</v>
      </c>
      <c r="N23" s="1" t="n">
        <f aca="false">N22+1</f>
        <v>20</v>
      </c>
      <c r="O23" s="150" t="n">
        <f aca="false">IFERROR(VLOOKUP(N23,$K$4:$L$509,2,0),"")</f>
        <v>46155</v>
      </c>
    </row>
    <row r="24" customFormat="false" ht="14.25" hidden="false" customHeight="false" outlineLevel="0" collapsed="false">
      <c r="A24" s="150" t="n">
        <f aca="false">Configuracion!J24</f>
        <v>0</v>
      </c>
      <c r="F24" s="1" t="n">
        <f aca="false">IF(OR(I24=1,J24=1),1,0)</f>
        <v>0</v>
      </c>
      <c r="G24" s="1" t="str">
        <f aca="false">TEXT(H24,"DDD")</f>
        <v>jue</v>
      </c>
      <c r="H24" s="150" t="n">
        <f aca="false">IF(H23&gt;='Tallerdata.com'!$X$4,NA(),H23+1)</f>
        <v>46156</v>
      </c>
      <c r="I24" s="2" t="n">
        <f aca="false">IFERROR(IF(VLOOKUP(H24,$A$4:$A$33,1,0),1,0),0)</f>
        <v>0</v>
      </c>
      <c r="J24" s="2" t="n">
        <f aca="false">IF(AND($D$4=TRUE(),G24="Sáb"),1,IF(AND($D$5=TRUE(),G24="Dom"),1,0))</f>
        <v>0</v>
      </c>
      <c r="K24" s="2" t="n">
        <f aca="false">IF(L24="No",K23,K23+1)</f>
        <v>21</v>
      </c>
      <c r="L24" s="152" t="n">
        <f aca="false">IF(AND(I24=0,J24=0),H24,"NO")</f>
        <v>46156</v>
      </c>
      <c r="N24" s="1" t="n">
        <f aca="false">N23+1</f>
        <v>21</v>
      </c>
      <c r="O24" s="150" t="n">
        <f aca="false">IFERROR(VLOOKUP(N24,$K$4:$L$509,2,0),"")</f>
        <v>46156</v>
      </c>
    </row>
    <row r="25" customFormat="false" ht="14.25" hidden="false" customHeight="false" outlineLevel="0" collapsed="false">
      <c r="A25" s="150" t="n">
        <f aca="false">Configuracion!J25</f>
        <v>0</v>
      </c>
      <c r="F25" s="1" t="n">
        <f aca="false">IF(OR(I25=1,J25=1),1,0)</f>
        <v>0</v>
      </c>
      <c r="G25" s="1" t="str">
        <f aca="false">TEXT(H25,"DDD")</f>
        <v>vie</v>
      </c>
      <c r="H25" s="150" t="n">
        <f aca="false">IF(H24&gt;='Tallerdata.com'!$X$4,NA(),H24+1)</f>
        <v>46157</v>
      </c>
      <c r="I25" s="2" t="n">
        <f aca="false">IFERROR(IF(VLOOKUP(H25,$A$4:$A$33,1,0),1,0),0)</f>
        <v>0</v>
      </c>
      <c r="J25" s="2" t="n">
        <f aca="false">IF(AND($D$4=TRUE(),G25="Sáb"),1,IF(AND($D$5=TRUE(),G25="Dom"),1,0))</f>
        <v>0</v>
      </c>
      <c r="K25" s="2" t="n">
        <f aca="false">IF(L25="No",K24,K24+1)</f>
        <v>22</v>
      </c>
      <c r="L25" s="152" t="n">
        <f aca="false">IF(AND(I25=0,J25=0),H25,"NO")</f>
        <v>46157</v>
      </c>
      <c r="N25" s="1" t="n">
        <f aca="false">N24+1</f>
        <v>22</v>
      </c>
      <c r="O25" s="150" t="n">
        <f aca="false">IFERROR(VLOOKUP(N25,$K$4:$L$509,2,0),"")</f>
        <v>46157</v>
      </c>
    </row>
    <row r="26" customFormat="false" ht="14.25" hidden="false" customHeight="false" outlineLevel="0" collapsed="false">
      <c r="A26" s="150" t="n">
        <f aca="false">Configuracion!J26</f>
        <v>0</v>
      </c>
      <c r="F26" s="1" t="n">
        <f aca="false">IF(OR(I26=1,J26=1),1,0)</f>
        <v>0</v>
      </c>
      <c r="G26" s="1" t="str">
        <f aca="false">TEXT(H26,"DDD")</f>
        <v>sáb</v>
      </c>
      <c r="H26" s="150" t="n">
        <f aca="false">IF(H25&gt;='Tallerdata.com'!$X$4,NA(),H25+1)</f>
        <v>46158</v>
      </c>
      <c r="I26" s="2" t="n">
        <f aca="false">IFERROR(IF(VLOOKUP(H26,$A$4:$A$33,1,0),1,0),0)</f>
        <v>0</v>
      </c>
      <c r="J26" s="2" t="n">
        <f aca="false">IF(AND($D$4=TRUE(),G26="Sáb"),1,IF(AND($D$5=TRUE(),G26="Dom"),1,0))</f>
        <v>0</v>
      </c>
      <c r="K26" s="2" t="n">
        <f aca="false">IF(L26="No",K25,K25+1)</f>
        <v>23</v>
      </c>
      <c r="L26" s="152" t="n">
        <f aca="false">IF(AND(I26=0,J26=0),H26,"NO")</f>
        <v>46158</v>
      </c>
      <c r="N26" s="1" t="n">
        <f aca="false">N25+1</f>
        <v>23</v>
      </c>
      <c r="O26" s="150" t="n">
        <f aca="false">IFERROR(VLOOKUP(N26,$K$4:$L$509,2,0),"")</f>
        <v>46158</v>
      </c>
    </row>
    <row r="27" customFormat="false" ht="14.25" hidden="false" customHeight="false" outlineLevel="0" collapsed="false">
      <c r="A27" s="150" t="n">
        <f aca="false">Configuracion!J27</f>
        <v>0</v>
      </c>
      <c r="F27" s="1" t="n">
        <f aca="false">IF(OR(I27=1,J27=1),1,0)</f>
        <v>0</v>
      </c>
      <c r="G27" s="1" t="str">
        <f aca="false">TEXT(H27,"DDD")</f>
        <v>dom</v>
      </c>
      <c r="H27" s="150" t="n">
        <f aca="false">IF(H26&gt;='Tallerdata.com'!$X$4,NA(),H26+1)</f>
        <v>46159</v>
      </c>
      <c r="I27" s="2" t="n">
        <f aca="false">IFERROR(IF(VLOOKUP(H27,$A$4:$A$33,1,0),1,0),0)</f>
        <v>0</v>
      </c>
      <c r="J27" s="2" t="n">
        <f aca="false">IF(AND($D$4=TRUE(),G27="Sáb"),1,IF(AND($D$5=TRUE(),G27="Dom"),1,0))</f>
        <v>0</v>
      </c>
      <c r="K27" s="2" t="n">
        <f aca="false">IF(L27="No",K26,K26+1)</f>
        <v>24</v>
      </c>
      <c r="L27" s="152" t="n">
        <f aca="false">IF(AND(I27=0,J27=0),H27,"NO")</f>
        <v>46159</v>
      </c>
      <c r="N27" s="1" t="n">
        <f aca="false">N26+1</f>
        <v>24</v>
      </c>
      <c r="O27" s="150" t="n">
        <f aca="false">IFERROR(VLOOKUP(N27,$K$4:$L$509,2,0),"")</f>
        <v>46159</v>
      </c>
    </row>
    <row r="28" customFormat="false" ht="14.25" hidden="false" customHeight="false" outlineLevel="0" collapsed="false">
      <c r="A28" s="150" t="n">
        <f aca="false">Configuracion!J28</f>
        <v>0</v>
      </c>
      <c r="F28" s="1" t="n">
        <f aca="false">IF(OR(I28=1,J28=1),1,0)</f>
        <v>0</v>
      </c>
      <c r="G28" s="1" t="str">
        <f aca="false">TEXT(H28,"DDD")</f>
        <v>lun</v>
      </c>
      <c r="H28" s="150" t="n">
        <f aca="false">IF(H27&gt;='Tallerdata.com'!$X$4,NA(),H27+1)</f>
        <v>46160</v>
      </c>
      <c r="I28" s="2" t="n">
        <f aca="false">IFERROR(IF(VLOOKUP(H28,$A$4:$A$33,1,0),1,0),0)</f>
        <v>0</v>
      </c>
      <c r="J28" s="2" t="n">
        <f aca="false">IF(AND($D$4=TRUE(),G28="Sáb"),1,IF(AND($D$5=TRUE(),G28="Dom"),1,0))</f>
        <v>0</v>
      </c>
      <c r="K28" s="2" t="n">
        <f aca="false">IF(L28="No",K27,K27+1)</f>
        <v>25</v>
      </c>
      <c r="L28" s="152" t="n">
        <f aca="false">IF(AND(I28=0,J28=0),H28,"NO")</f>
        <v>46160</v>
      </c>
      <c r="N28" s="1" t="n">
        <f aca="false">N27+1</f>
        <v>25</v>
      </c>
      <c r="O28" s="150" t="n">
        <f aca="false">IFERROR(VLOOKUP(N28,$K$4:$L$509,2,0),"")</f>
        <v>46160</v>
      </c>
    </row>
    <row r="29" customFormat="false" ht="14.25" hidden="false" customHeight="false" outlineLevel="0" collapsed="false">
      <c r="A29" s="150" t="n">
        <f aca="false">Configuracion!J29</f>
        <v>0</v>
      </c>
      <c r="F29" s="1" t="n">
        <f aca="false">IF(OR(I29=1,J29=1),1,0)</f>
        <v>0</v>
      </c>
      <c r="G29" s="1" t="str">
        <f aca="false">TEXT(H29,"DDD")</f>
        <v>mar</v>
      </c>
      <c r="H29" s="150" t="n">
        <f aca="false">IF(H28&gt;='Tallerdata.com'!$X$4,NA(),H28+1)</f>
        <v>46161</v>
      </c>
      <c r="I29" s="2" t="n">
        <f aca="false">IFERROR(IF(VLOOKUP(H29,$A$4:$A$33,1,0),1,0),0)</f>
        <v>0</v>
      </c>
      <c r="J29" s="2" t="n">
        <f aca="false">IF(AND($D$4=TRUE(),G29="Sáb"),1,IF(AND($D$5=TRUE(),G29="Dom"),1,0))</f>
        <v>0</v>
      </c>
      <c r="K29" s="2" t="n">
        <f aca="false">IF(L29="No",K28,K28+1)</f>
        <v>26</v>
      </c>
      <c r="L29" s="152" t="n">
        <f aca="false">IF(AND(I29=0,J29=0),H29,"NO")</f>
        <v>46161</v>
      </c>
      <c r="N29" s="1" t="n">
        <f aca="false">N28+1</f>
        <v>26</v>
      </c>
      <c r="O29" s="150" t="n">
        <f aca="false">IFERROR(VLOOKUP(N29,$K$4:$L$509,2,0),"")</f>
        <v>46161</v>
      </c>
    </row>
    <row r="30" customFormat="false" ht="14.25" hidden="false" customHeight="false" outlineLevel="0" collapsed="false">
      <c r="A30" s="150" t="n">
        <f aca="false">Configuracion!J30</f>
        <v>0</v>
      </c>
      <c r="F30" s="1" t="n">
        <f aca="false">IF(OR(I30=1,J30=1),1,0)</f>
        <v>0</v>
      </c>
      <c r="G30" s="1" t="str">
        <f aca="false">TEXT(H30,"DDD")</f>
        <v>mié</v>
      </c>
      <c r="H30" s="150" t="n">
        <f aca="false">IF(H29&gt;='Tallerdata.com'!$X$4,NA(),H29+1)</f>
        <v>46162</v>
      </c>
      <c r="I30" s="2" t="n">
        <f aca="false">IFERROR(IF(VLOOKUP(H30,$A$4:$A$33,1,0),1,0),0)</f>
        <v>0</v>
      </c>
      <c r="J30" s="2" t="n">
        <f aca="false">IF(AND($D$4=TRUE(),G30="Sáb"),1,IF(AND($D$5=TRUE(),G30="Dom"),1,0))</f>
        <v>0</v>
      </c>
      <c r="K30" s="2" t="n">
        <f aca="false">IF(L30="No",K29,K29+1)</f>
        <v>27</v>
      </c>
      <c r="L30" s="152" t="n">
        <f aca="false">IF(AND(I30=0,J30=0),H30,"NO")</f>
        <v>46162</v>
      </c>
      <c r="N30" s="1" t="n">
        <f aca="false">N29+1</f>
        <v>27</v>
      </c>
      <c r="O30" s="150" t="n">
        <f aca="false">IFERROR(VLOOKUP(N30,$K$4:$L$509,2,0),"")</f>
        <v>46162</v>
      </c>
    </row>
    <row r="31" customFormat="false" ht="14.25" hidden="false" customHeight="false" outlineLevel="0" collapsed="false">
      <c r="A31" s="150" t="n">
        <f aca="false">Configuracion!J31</f>
        <v>0</v>
      </c>
      <c r="F31" s="1" t="n">
        <f aca="false">IF(OR(I31=1,J31=1),1,0)</f>
        <v>0</v>
      </c>
      <c r="G31" s="1" t="str">
        <f aca="false">TEXT(H31,"DDD")</f>
        <v>jue</v>
      </c>
      <c r="H31" s="150" t="n">
        <f aca="false">IF(H30&gt;='Tallerdata.com'!$X$4,NA(),H30+1)</f>
        <v>46163</v>
      </c>
      <c r="I31" s="2" t="n">
        <f aca="false">IFERROR(IF(VLOOKUP(H31,$A$4:$A$33,1,0),1,0),0)</f>
        <v>0</v>
      </c>
      <c r="J31" s="2" t="n">
        <f aca="false">IF(AND($D$4=TRUE(),G31="Sáb"),1,IF(AND($D$5=TRUE(),G31="Dom"),1,0))</f>
        <v>0</v>
      </c>
      <c r="K31" s="2" t="n">
        <f aca="false">IF(L31="No",K30,K30+1)</f>
        <v>28</v>
      </c>
      <c r="L31" s="152" t="n">
        <f aca="false">IF(AND(I31=0,J31=0),H31,"NO")</f>
        <v>46163</v>
      </c>
      <c r="N31" s="1" t="n">
        <f aca="false">N30+1</f>
        <v>28</v>
      </c>
      <c r="O31" s="150" t="n">
        <f aca="false">IFERROR(VLOOKUP(N31,$K$4:$L$509,2,0),"")</f>
        <v>46163</v>
      </c>
    </row>
    <row r="32" customFormat="false" ht="14.25" hidden="false" customHeight="false" outlineLevel="0" collapsed="false">
      <c r="A32" s="150" t="n">
        <f aca="false">Configuracion!J32</f>
        <v>0</v>
      </c>
      <c r="F32" s="1" t="n">
        <f aca="false">IF(OR(I32=1,J32=1),1,0)</f>
        <v>0</v>
      </c>
      <c r="G32" s="1" t="str">
        <f aca="false">TEXT(H32,"DDD")</f>
        <v>vie</v>
      </c>
      <c r="H32" s="150" t="n">
        <f aca="false">IF(H31&gt;='Tallerdata.com'!$X$4,NA(),H31+1)</f>
        <v>46164</v>
      </c>
      <c r="I32" s="2" t="n">
        <f aca="false">IFERROR(IF(VLOOKUP(H32,$A$4:$A$33,1,0),1,0),0)</f>
        <v>0</v>
      </c>
      <c r="J32" s="2" t="n">
        <f aca="false">IF(AND($D$4=TRUE(),G32="Sáb"),1,IF(AND($D$5=TRUE(),G32="Dom"),1,0))</f>
        <v>0</v>
      </c>
      <c r="K32" s="2" t="n">
        <f aca="false">IF(L32="No",K31,K31+1)</f>
        <v>29</v>
      </c>
      <c r="L32" s="152" t="n">
        <f aca="false">IF(AND(I32=0,J32=0),H32,"NO")</f>
        <v>46164</v>
      </c>
      <c r="N32" s="1" t="n">
        <f aca="false">N31+1</f>
        <v>29</v>
      </c>
      <c r="O32" s="150" t="n">
        <f aca="false">IFERROR(VLOOKUP(N32,$K$4:$L$509,2,0),"")</f>
        <v>46164</v>
      </c>
    </row>
    <row r="33" customFormat="false" ht="14.25" hidden="false" customHeight="false" outlineLevel="0" collapsed="false">
      <c r="A33" s="150" t="n">
        <f aca="false">Configuracion!J33</f>
        <v>0</v>
      </c>
      <c r="F33" s="1" t="n">
        <f aca="false">IF(OR(I33=1,J33=1),1,0)</f>
        <v>0</v>
      </c>
      <c r="G33" s="1" t="str">
        <f aca="false">TEXT(H33,"DDD")</f>
        <v>sáb</v>
      </c>
      <c r="H33" s="150" t="n">
        <f aca="false">IF(H32&gt;='Tallerdata.com'!$X$4,NA(),H32+1)</f>
        <v>46165</v>
      </c>
      <c r="I33" s="2" t="n">
        <f aca="false">IFERROR(IF(VLOOKUP(H33,$A$4:$A$33,1,0),1,0),0)</f>
        <v>0</v>
      </c>
      <c r="J33" s="2" t="n">
        <f aca="false">IF(AND($D$4=TRUE(),G33="Sáb"),1,IF(AND($D$5=TRUE(),G33="Dom"),1,0))</f>
        <v>0</v>
      </c>
      <c r="K33" s="2" t="n">
        <f aca="false">IF(L33="No",K32,K32+1)</f>
        <v>30</v>
      </c>
      <c r="L33" s="152" t="n">
        <f aca="false">IF(AND(I33=0,J33=0),H33,"NO")</f>
        <v>46165</v>
      </c>
      <c r="N33" s="1" t="n">
        <f aca="false">N32+1</f>
        <v>30</v>
      </c>
      <c r="O33" s="150" t="n">
        <f aca="false">IFERROR(VLOOKUP(N33,$K$4:$L$509,2,0),"")</f>
        <v>46165</v>
      </c>
    </row>
    <row r="34" customFormat="false" ht="14.25" hidden="false" customHeight="false" outlineLevel="0" collapsed="false">
      <c r="A34" s="150"/>
      <c r="F34" s="1" t="n">
        <f aca="false">IF(OR(I34=1,J34=1),1,0)</f>
        <v>0</v>
      </c>
      <c r="G34" s="1" t="str">
        <f aca="false">TEXT(H34,"DDD")</f>
        <v>dom</v>
      </c>
      <c r="H34" s="150" t="n">
        <f aca="false">IF(H33&gt;='Tallerdata.com'!$X$4,NA(),H33+1)</f>
        <v>46166</v>
      </c>
      <c r="I34" s="2" t="n">
        <f aca="false">IFERROR(IF(VLOOKUP(H34,$A$4:$A$33,1,0),1,0),0)</f>
        <v>0</v>
      </c>
      <c r="J34" s="2" t="n">
        <f aca="false">IF(AND($D$4=TRUE(),G34="Sáb"),1,IF(AND($D$5=TRUE(),G34="Dom"),1,0))</f>
        <v>0</v>
      </c>
      <c r="K34" s="2" t="n">
        <f aca="false">IF(L34="No",K33,K33+1)</f>
        <v>31</v>
      </c>
      <c r="L34" s="152" t="n">
        <f aca="false">IF(AND(I34=0,J34=0),H34,"NO")</f>
        <v>46166</v>
      </c>
      <c r="N34" s="1" t="n">
        <f aca="false">N33+1</f>
        <v>31</v>
      </c>
      <c r="O34" s="150" t="n">
        <f aca="false">IFERROR(VLOOKUP(N34,$K$4:$L$509,2,0),"")</f>
        <v>46166</v>
      </c>
    </row>
    <row r="35" customFormat="false" ht="14.25" hidden="false" customHeight="false" outlineLevel="0" collapsed="false">
      <c r="F35" s="1" t="n">
        <f aca="false">IF(OR(I35=1,J35=1),1,0)</f>
        <v>0</v>
      </c>
      <c r="G35" s="1" t="str">
        <f aca="false">TEXT(H35,"DDD")</f>
        <v>lun</v>
      </c>
      <c r="H35" s="150" t="n">
        <f aca="false">IF(H34&gt;='Tallerdata.com'!$X$4,NA(),H34+1)</f>
        <v>46167</v>
      </c>
      <c r="I35" s="2" t="n">
        <f aca="false">IFERROR(IF(VLOOKUP(H35,$A$4:$A$33,1,0),1,0),0)</f>
        <v>0</v>
      </c>
      <c r="J35" s="2" t="n">
        <f aca="false">IF(AND($D$4=TRUE(),G35="Sáb"),1,IF(AND($D$5=TRUE(),G35="Dom"),1,0))</f>
        <v>0</v>
      </c>
      <c r="K35" s="2" t="n">
        <f aca="false">IF(L35="No",K34,K34+1)</f>
        <v>32</v>
      </c>
      <c r="L35" s="152" t="n">
        <f aca="false">IF(AND(I35=0,J35=0),H35,"NO")</f>
        <v>46167</v>
      </c>
      <c r="N35" s="1" t="n">
        <f aca="false">N34+1</f>
        <v>32</v>
      </c>
      <c r="O35" s="150" t="n">
        <f aca="false">IFERROR(VLOOKUP(N35,$K$4:$L$509,2,0),"")</f>
        <v>46167</v>
      </c>
    </row>
    <row r="36" customFormat="false" ht="14.25" hidden="false" customHeight="false" outlineLevel="0" collapsed="false">
      <c r="F36" s="1" t="n">
        <f aca="false">IF(OR(I36=1,J36=1),1,0)</f>
        <v>0</v>
      </c>
      <c r="G36" s="1" t="str">
        <f aca="false">TEXT(H36,"DDD")</f>
        <v>mar</v>
      </c>
      <c r="H36" s="150" t="n">
        <f aca="false">IF(H35&gt;='Tallerdata.com'!$X$4,NA(),H35+1)</f>
        <v>46168</v>
      </c>
      <c r="I36" s="2" t="n">
        <f aca="false">IFERROR(IF(VLOOKUP(H36,$A$4:$A$33,1,0),1,0),0)</f>
        <v>0</v>
      </c>
      <c r="J36" s="2" t="n">
        <f aca="false">IF(AND($D$4=TRUE(),G36="Sáb"),1,IF(AND($D$5=TRUE(),G36="Dom"),1,0))</f>
        <v>0</v>
      </c>
      <c r="K36" s="2" t="n">
        <f aca="false">IF(L36="No",K35,K35+1)</f>
        <v>33</v>
      </c>
      <c r="L36" s="152" t="n">
        <f aca="false">IF(AND(I36=0,J36=0),H36,"NO")</f>
        <v>46168</v>
      </c>
      <c r="N36" s="1" t="n">
        <f aca="false">N35+1</f>
        <v>33</v>
      </c>
      <c r="O36" s="150" t="n">
        <f aca="false">IFERROR(VLOOKUP(N36,$K$4:$L$509,2,0),"")</f>
        <v>46168</v>
      </c>
    </row>
    <row r="37" customFormat="false" ht="14.25" hidden="false" customHeight="false" outlineLevel="0" collapsed="false">
      <c r="F37" s="1" t="n">
        <f aca="false">IF(OR(I37=1,J37=1),1,0)</f>
        <v>0</v>
      </c>
      <c r="G37" s="1" t="str">
        <f aca="false">TEXT(H37,"DDD")</f>
        <v>mié</v>
      </c>
      <c r="H37" s="150" t="n">
        <f aca="false">IF(H36&gt;='Tallerdata.com'!$X$4,NA(),H36+1)</f>
        <v>46169</v>
      </c>
      <c r="I37" s="2" t="n">
        <f aca="false">IFERROR(IF(VLOOKUP(H37,$A$4:$A$33,1,0),1,0),0)</f>
        <v>0</v>
      </c>
      <c r="J37" s="2" t="n">
        <f aca="false">IF(AND($D$4=TRUE(),G37="Sáb"),1,IF(AND($D$5=TRUE(),G37="Dom"),1,0))</f>
        <v>0</v>
      </c>
      <c r="K37" s="2" t="n">
        <f aca="false">IF(L37="No",K36,K36+1)</f>
        <v>34</v>
      </c>
      <c r="L37" s="152" t="n">
        <f aca="false">IF(AND(I37=0,J37=0),H37,"NO")</f>
        <v>46169</v>
      </c>
      <c r="N37" s="1" t="n">
        <f aca="false">N36+1</f>
        <v>34</v>
      </c>
      <c r="O37" s="150" t="n">
        <f aca="false">IFERROR(VLOOKUP(N37,$K$4:$L$509,2,0),"")</f>
        <v>46169</v>
      </c>
    </row>
    <row r="38" customFormat="false" ht="14.25" hidden="false" customHeight="false" outlineLevel="0" collapsed="false">
      <c r="F38" s="1" t="n">
        <f aca="false">IF(OR(I38=1,J38=1),1,0)</f>
        <v>0</v>
      </c>
      <c r="G38" s="1" t="str">
        <f aca="false">TEXT(H38,"DDD")</f>
        <v>jue</v>
      </c>
      <c r="H38" s="150" t="n">
        <f aca="false">IF(H37&gt;='Tallerdata.com'!$X$4,NA(),H37+1)</f>
        <v>46170</v>
      </c>
      <c r="I38" s="2" t="n">
        <f aca="false">IFERROR(IF(VLOOKUP(H38,$A$4:$A$33,1,0),1,0),0)</f>
        <v>0</v>
      </c>
      <c r="J38" s="2" t="n">
        <f aca="false">IF(AND($D$4=TRUE(),G38="Sáb"),1,IF(AND($D$5=TRUE(),G38="Dom"),1,0))</f>
        <v>0</v>
      </c>
      <c r="K38" s="2" t="n">
        <f aca="false">IF(L38="No",K37,K37+1)</f>
        <v>35</v>
      </c>
      <c r="L38" s="152" t="n">
        <f aca="false">IF(AND(I38=0,J38=0),H38,"NO")</f>
        <v>46170</v>
      </c>
      <c r="N38" s="1" t="n">
        <f aca="false">N37+1</f>
        <v>35</v>
      </c>
      <c r="O38" s="150" t="n">
        <f aca="false">IFERROR(VLOOKUP(N38,$K$4:$L$509,2,0),"")</f>
        <v>46170</v>
      </c>
    </row>
    <row r="39" customFormat="false" ht="14.25" hidden="false" customHeight="false" outlineLevel="0" collapsed="false">
      <c r="F39" s="1" t="n">
        <f aca="false">IF(OR(I39=1,J39=1),1,0)</f>
        <v>0</v>
      </c>
      <c r="G39" s="1" t="str">
        <f aca="false">TEXT(H39,"DDD")</f>
        <v>vie</v>
      </c>
      <c r="H39" s="150" t="n">
        <f aca="false">IF(H38&gt;='Tallerdata.com'!$X$4,NA(),H38+1)</f>
        <v>46171</v>
      </c>
      <c r="I39" s="2" t="n">
        <f aca="false">IFERROR(IF(VLOOKUP(H39,$A$4:$A$33,1,0),1,0),0)</f>
        <v>0</v>
      </c>
      <c r="J39" s="2" t="n">
        <f aca="false">IF(AND($D$4=TRUE(),G39="Sáb"),1,IF(AND($D$5=TRUE(),G39="Dom"),1,0))</f>
        <v>0</v>
      </c>
      <c r="K39" s="2" t="n">
        <f aca="false">IF(L39="No",K38,K38+1)</f>
        <v>36</v>
      </c>
      <c r="L39" s="152" t="n">
        <f aca="false">IF(AND(I39=0,J39=0),H39,"NO")</f>
        <v>46171</v>
      </c>
      <c r="N39" s="1" t="n">
        <f aca="false">N38+1</f>
        <v>36</v>
      </c>
      <c r="O39" s="150" t="n">
        <f aca="false">IFERROR(VLOOKUP(N39,$K$4:$L$509,2,0),"")</f>
        <v>46171</v>
      </c>
    </row>
    <row r="40" customFormat="false" ht="14.25" hidden="false" customHeight="false" outlineLevel="0" collapsed="false">
      <c r="F40" s="1" t="n">
        <f aca="false">IF(OR(I40=1,J40=1),1,0)</f>
        <v>0</v>
      </c>
      <c r="G40" s="1" t="str">
        <f aca="false">TEXT(H40,"DDD")</f>
        <v>sáb</v>
      </c>
      <c r="H40" s="150" t="n">
        <f aca="false">IF(H39&gt;='Tallerdata.com'!$X$4,NA(),H39+1)</f>
        <v>46172</v>
      </c>
      <c r="I40" s="2" t="n">
        <f aca="false">IFERROR(IF(VLOOKUP(H40,$A$4:$A$33,1,0),1,0),0)</f>
        <v>0</v>
      </c>
      <c r="J40" s="2" t="n">
        <f aca="false">IF(AND($D$4=TRUE(),G40="Sáb"),1,IF(AND($D$5=TRUE(),G40="Dom"),1,0))</f>
        <v>0</v>
      </c>
      <c r="K40" s="2" t="n">
        <f aca="false">IF(L40="No",K39,K39+1)</f>
        <v>37</v>
      </c>
      <c r="L40" s="152" t="n">
        <f aca="false">IF(AND(I40=0,J40=0),H40,"NO")</f>
        <v>46172</v>
      </c>
      <c r="N40" s="1" t="n">
        <f aca="false">N39+1</f>
        <v>37</v>
      </c>
      <c r="O40" s="150" t="n">
        <f aca="false">IFERROR(VLOOKUP(N40,$K$4:$L$509,2,0),"")</f>
        <v>46172</v>
      </c>
    </row>
    <row r="41" customFormat="false" ht="14.25" hidden="false" customHeight="false" outlineLevel="0" collapsed="false">
      <c r="F41" s="1" t="n">
        <f aca="false">IF(OR(I41=1,J41=1),1,0)</f>
        <v>0</v>
      </c>
      <c r="G41" s="1" t="str">
        <f aca="false">TEXT(H41,"DDD")</f>
        <v>dom</v>
      </c>
      <c r="H41" s="150" t="n">
        <f aca="false">IF(H40&gt;='Tallerdata.com'!$X$4,NA(),H40+1)</f>
        <v>46173</v>
      </c>
      <c r="I41" s="2" t="n">
        <f aca="false">IFERROR(IF(VLOOKUP(H41,$A$4:$A$33,1,0),1,0),0)</f>
        <v>0</v>
      </c>
      <c r="J41" s="2" t="n">
        <f aca="false">IF(AND($D$4=TRUE(),G41="Sáb"),1,IF(AND($D$5=TRUE(),G41="Dom"),1,0))</f>
        <v>0</v>
      </c>
      <c r="K41" s="2" t="n">
        <f aca="false">IF(L41="No",K40,K40+1)</f>
        <v>38</v>
      </c>
      <c r="L41" s="152" t="n">
        <f aca="false">IF(AND(I41=0,J41=0),H41,"NO")</f>
        <v>46173</v>
      </c>
      <c r="N41" s="1" t="n">
        <f aca="false">N40+1</f>
        <v>38</v>
      </c>
      <c r="O41" s="150" t="n">
        <f aca="false">IFERROR(VLOOKUP(N41,$K$4:$L$509,2,0),"")</f>
        <v>46173</v>
      </c>
    </row>
    <row r="42" customFormat="false" ht="14.25" hidden="false" customHeight="false" outlineLevel="0" collapsed="false">
      <c r="F42" s="1" t="n">
        <f aca="false">IF(OR(I42=1,J42=1),1,0)</f>
        <v>0</v>
      </c>
      <c r="G42" s="1" t="str">
        <f aca="false">TEXT(H42,"DDD")</f>
        <v>lun</v>
      </c>
      <c r="H42" s="150" t="n">
        <f aca="false">IF(H41&gt;='Tallerdata.com'!$X$4,NA(),H41+1)</f>
        <v>46174</v>
      </c>
      <c r="I42" s="2" t="n">
        <f aca="false">IFERROR(IF(VLOOKUP(H42,$A$4:$A$33,1,0),1,0),0)</f>
        <v>0</v>
      </c>
      <c r="J42" s="2" t="n">
        <f aca="false">IF(AND($D$4=TRUE(),G42="Sáb"),1,IF(AND($D$5=TRUE(),G42="Dom"),1,0))</f>
        <v>0</v>
      </c>
      <c r="K42" s="2" t="n">
        <f aca="false">IF(L42="No",K41,K41+1)</f>
        <v>39</v>
      </c>
      <c r="L42" s="152" t="n">
        <f aca="false">IF(AND(I42=0,J42=0),H42,"NO")</f>
        <v>46174</v>
      </c>
      <c r="N42" s="1" t="n">
        <f aca="false">N41+1</f>
        <v>39</v>
      </c>
      <c r="O42" s="150" t="n">
        <f aca="false">IFERROR(VLOOKUP(N42,$K$4:$L$509,2,0),"")</f>
        <v>46174</v>
      </c>
    </row>
    <row r="43" customFormat="false" ht="14.25" hidden="false" customHeight="false" outlineLevel="0" collapsed="false">
      <c r="F43" s="1" t="n">
        <f aca="false">IF(OR(I43=1,J43=1),1,0)</f>
        <v>0</v>
      </c>
      <c r="G43" s="1" t="str">
        <f aca="false">TEXT(H43,"DDD")</f>
        <v>mar</v>
      </c>
      <c r="H43" s="150" t="n">
        <f aca="false">IF(H42&gt;='Tallerdata.com'!$X$4,NA(),H42+1)</f>
        <v>46175</v>
      </c>
      <c r="I43" s="2" t="n">
        <f aca="false">IFERROR(IF(VLOOKUP(H43,$A$4:$A$33,1,0),1,0),0)</f>
        <v>0</v>
      </c>
      <c r="J43" s="2" t="n">
        <f aca="false">IF(AND($D$4=TRUE(),G43="Sáb"),1,IF(AND($D$5=TRUE(),G43="Dom"),1,0))</f>
        <v>0</v>
      </c>
      <c r="K43" s="2" t="n">
        <f aca="false">IF(L43="No",K42,K42+1)</f>
        <v>40</v>
      </c>
      <c r="L43" s="152" t="n">
        <f aca="false">IF(AND(I43=0,J43=0),H43,"NO")</f>
        <v>46175</v>
      </c>
      <c r="N43" s="1" t="n">
        <f aca="false">N42+1</f>
        <v>40</v>
      </c>
      <c r="O43" s="150" t="n">
        <f aca="false">IFERROR(VLOOKUP(N43,$K$4:$L$509,2,0),"")</f>
        <v>46175</v>
      </c>
    </row>
    <row r="44" customFormat="false" ht="14.25" hidden="false" customHeight="false" outlineLevel="0" collapsed="false">
      <c r="F44" s="1" t="n">
        <f aca="false">IF(OR(I44=1,J44=1),1,0)</f>
        <v>0</v>
      </c>
      <c r="G44" s="1" t="str">
        <f aca="false">TEXT(H44,"DDD")</f>
        <v>mié</v>
      </c>
      <c r="H44" s="150" t="n">
        <f aca="false">IF(H43&gt;='Tallerdata.com'!$X$4,NA(),H43+1)</f>
        <v>46176</v>
      </c>
      <c r="I44" s="2" t="n">
        <f aca="false">IFERROR(IF(VLOOKUP(H44,$A$4:$A$33,1,0),1,0),0)</f>
        <v>0</v>
      </c>
      <c r="J44" s="2" t="n">
        <f aca="false">IF(AND($D$4=TRUE(),G44="Sáb"),1,IF(AND($D$5=TRUE(),G44="Dom"),1,0))</f>
        <v>0</v>
      </c>
      <c r="K44" s="2" t="n">
        <f aca="false">IF(L44="No",K43,K43+1)</f>
        <v>41</v>
      </c>
      <c r="L44" s="152" t="n">
        <f aca="false">IF(AND(I44=0,J44=0),H44,"NO")</f>
        <v>46176</v>
      </c>
      <c r="N44" s="1" t="n">
        <f aca="false">N43+1</f>
        <v>41</v>
      </c>
      <c r="O44" s="150" t="n">
        <f aca="false">IFERROR(VLOOKUP(N44,$K$4:$L$509,2,0),"")</f>
        <v>46176</v>
      </c>
    </row>
    <row r="45" customFormat="false" ht="14.25" hidden="false" customHeight="false" outlineLevel="0" collapsed="false">
      <c r="F45" s="1" t="n">
        <f aca="false">IF(OR(I45=1,J45=1),1,0)</f>
        <v>0</v>
      </c>
      <c r="G45" s="1" t="str">
        <f aca="false">TEXT(H45,"DDD")</f>
        <v>jue</v>
      </c>
      <c r="H45" s="150" t="n">
        <f aca="false">IF(H44&gt;='Tallerdata.com'!$X$4,NA(),H44+1)</f>
        <v>46177</v>
      </c>
      <c r="I45" s="2" t="n">
        <f aca="false">IFERROR(IF(VLOOKUP(H45,$A$4:$A$33,1,0),1,0),0)</f>
        <v>0</v>
      </c>
      <c r="J45" s="2" t="n">
        <f aca="false">IF(AND($D$4=TRUE(),G45="Sáb"),1,IF(AND($D$5=TRUE(),G45="Dom"),1,0))</f>
        <v>0</v>
      </c>
      <c r="K45" s="2" t="n">
        <f aca="false">IF(L45="No",K44,K44+1)</f>
        <v>42</v>
      </c>
      <c r="L45" s="152" t="n">
        <f aca="false">IF(AND(I45=0,J45=0),H45,"NO")</f>
        <v>46177</v>
      </c>
      <c r="N45" s="1" t="n">
        <f aca="false">N44+1</f>
        <v>42</v>
      </c>
      <c r="O45" s="150" t="n">
        <f aca="false">IFERROR(VLOOKUP(N45,$K$4:$L$509,2,0),"")</f>
        <v>46177</v>
      </c>
    </row>
    <row r="46" customFormat="false" ht="14.25" hidden="false" customHeight="false" outlineLevel="0" collapsed="false">
      <c r="F46" s="1" t="n">
        <f aca="false">IF(OR(I46=1,J46=1),1,0)</f>
        <v>0</v>
      </c>
      <c r="G46" s="1" t="str">
        <f aca="false">TEXT(H46,"DDD")</f>
        <v>vie</v>
      </c>
      <c r="H46" s="150" t="n">
        <f aca="false">IF(H45&gt;='Tallerdata.com'!$X$4,NA(),H45+1)</f>
        <v>46178</v>
      </c>
      <c r="I46" s="2" t="n">
        <f aca="false">IFERROR(IF(VLOOKUP(H46,$A$4:$A$33,1,0),1,0),0)</f>
        <v>0</v>
      </c>
      <c r="J46" s="2" t="n">
        <f aca="false">IF(AND($D$4=TRUE(),G46="Sáb"),1,IF(AND($D$5=TRUE(),G46="Dom"),1,0))</f>
        <v>0</v>
      </c>
      <c r="K46" s="2" t="n">
        <f aca="false">IF(L46="No",K45,K45+1)</f>
        <v>43</v>
      </c>
      <c r="L46" s="152" t="n">
        <f aca="false">IF(AND(I46=0,J46=0),H46,"NO")</f>
        <v>46178</v>
      </c>
      <c r="N46" s="1" t="n">
        <f aca="false">N45+1</f>
        <v>43</v>
      </c>
      <c r="O46" s="150" t="n">
        <f aca="false">IFERROR(VLOOKUP(N46,$K$4:$L$509,2,0),"")</f>
        <v>46178</v>
      </c>
    </row>
    <row r="47" customFormat="false" ht="14.25" hidden="false" customHeight="false" outlineLevel="0" collapsed="false">
      <c r="F47" s="1" t="n">
        <f aca="false">IF(OR(I47=1,J47=1),1,0)</f>
        <v>0</v>
      </c>
      <c r="G47" s="1" t="str">
        <f aca="false">TEXT(H47,"DDD")</f>
        <v>sáb</v>
      </c>
      <c r="H47" s="150" t="n">
        <f aca="false">IF(H46&gt;='Tallerdata.com'!$X$4,NA(),H46+1)</f>
        <v>46179</v>
      </c>
      <c r="I47" s="2" t="n">
        <f aca="false">IFERROR(IF(VLOOKUP(H47,$A$4:$A$33,1,0),1,0),0)</f>
        <v>0</v>
      </c>
      <c r="J47" s="2" t="n">
        <f aca="false">IF(AND($D$4=TRUE(),G47="Sáb"),1,IF(AND($D$5=TRUE(),G47="Dom"),1,0))</f>
        <v>0</v>
      </c>
      <c r="K47" s="2" t="n">
        <f aca="false">IF(L47="No",K46,K46+1)</f>
        <v>44</v>
      </c>
      <c r="L47" s="152" t="n">
        <f aca="false">IF(AND(I47=0,J47=0),H47,"NO")</f>
        <v>46179</v>
      </c>
      <c r="N47" s="1" t="n">
        <f aca="false">N46+1</f>
        <v>44</v>
      </c>
      <c r="O47" s="150" t="n">
        <f aca="false">IFERROR(VLOOKUP(N47,$K$4:$L$509,2,0),"")</f>
        <v>46179</v>
      </c>
    </row>
    <row r="48" customFormat="false" ht="14.25" hidden="false" customHeight="false" outlineLevel="0" collapsed="false">
      <c r="F48" s="1" t="n">
        <f aca="false">IF(OR(I48=1,J48=1),1,0)</f>
        <v>0</v>
      </c>
      <c r="G48" s="1" t="str">
        <f aca="false">TEXT(H48,"DDD")</f>
        <v>dom</v>
      </c>
      <c r="H48" s="150" t="n">
        <f aca="false">IF(H47&gt;='Tallerdata.com'!$X$4,NA(),H47+1)</f>
        <v>46180</v>
      </c>
      <c r="I48" s="2" t="n">
        <f aca="false">IFERROR(IF(VLOOKUP(H48,$A$4:$A$33,1,0),1,0),0)</f>
        <v>0</v>
      </c>
      <c r="J48" s="2" t="n">
        <f aca="false">IF(AND($D$4=TRUE(),G48="Sáb"),1,IF(AND($D$5=TRUE(),G48="Dom"),1,0))</f>
        <v>0</v>
      </c>
      <c r="K48" s="2" t="n">
        <f aca="false">IF(L48="No",K47,K47+1)</f>
        <v>45</v>
      </c>
      <c r="L48" s="152" t="n">
        <f aca="false">IF(AND(I48=0,J48=0),H48,"NO")</f>
        <v>46180</v>
      </c>
      <c r="N48" s="1" t="n">
        <f aca="false">N47+1</f>
        <v>45</v>
      </c>
      <c r="O48" s="150" t="n">
        <f aca="false">IFERROR(VLOOKUP(N48,$K$4:$L$509,2,0),"")</f>
        <v>46180</v>
      </c>
    </row>
    <row r="49" customFormat="false" ht="14.25" hidden="false" customHeight="false" outlineLevel="0" collapsed="false">
      <c r="F49" s="1" t="n">
        <f aca="false">IF(OR(I49=1,J49=1),1,0)</f>
        <v>0</v>
      </c>
      <c r="G49" s="1" t="str">
        <f aca="false">TEXT(H49,"DDD")</f>
        <v>lun</v>
      </c>
      <c r="H49" s="150" t="n">
        <f aca="false">IF(H48&gt;='Tallerdata.com'!$X$4,NA(),H48+1)</f>
        <v>46181</v>
      </c>
      <c r="I49" s="2" t="n">
        <f aca="false">IFERROR(IF(VLOOKUP(H49,$A$4:$A$33,1,0),1,0),0)</f>
        <v>0</v>
      </c>
      <c r="J49" s="2" t="n">
        <f aca="false">IF(AND($D$4=TRUE(),G49="Sáb"),1,IF(AND($D$5=TRUE(),G49="Dom"),1,0))</f>
        <v>0</v>
      </c>
      <c r="K49" s="2" t="n">
        <f aca="false">IF(L49="No",K48,K48+1)</f>
        <v>46</v>
      </c>
      <c r="L49" s="152" t="n">
        <f aca="false">IF(AND(I49=0,J49=0),H49,"NO")</f>
        <v>46181</v>
      </c>
      <c r="N49" s="1" t="n">
        <f aca="false">N48+1</f>
        <v>46</v>
      </c>
      <c r="O49" s="150" t="n">
        <f aca="false">IFERROR(VLOOKUP(N49,$K$4:$L$509,2,0),"")</f>
        <v>46181</v>
      </c>
    </row>
    <row r="50" customFormat="false" ht="14.25" hidden="false" customHeight="false" outlineLevel="0" collapsed="false">
      <c r="F50" s="1" t="n">
        <f aca="false">IF(OR(I50=1,J50=1),1,0)</f>
        <v>0</v>
      </c>
      <c r="G50" s="1" t="str">
        <f aca="false">TEXT(H50,"DDD")</f>
        <v>mar</v>
      </c>
      <c r="H50" s="150" t="n">
        <f aca="false">IF(H49&gt;='Tallerdata.com'!$X$4,NA(),H49+1)</f>
        <v>46182</v>
      </c>
      <c r="I50" s="2" t="n">
        <f aca="false">IFERROR(IF(VLOOKUP(H50,$A$4:$A$33,1,0),1,0),0)</f>
        <v>0</v>
      </c>
      <c r="J50" s="2" t="n">
        <f aca="false">IF(AND($D$4=TRUE(),G50="Sáb"),1,IF(AND($D$5=TRUE(),G50="Dom"),1,0))</f>
        <v>0</v>
      </c>
      <c r="K50" s="2" t="n">
        <f aca="false">IF(L50="No",K49,K49+1)</f>
        <v>47</v>
      </c>
      <c r="L50" s="152" t="n">
        <f aca="false">IF(AND(I50=0,J50=0),H50,"NO")</f>
        <v>46182</v>
      </c>
      <c r="N50" s="1" t="n">
        <f aca="false">N49+1</f>
        <v>47</v>
      </c>
      <c r="O50" s="150" t="n">
        <f aca="false">IFERROR(VLOOKUP(N50,$K$4:$L$509,2,0),"")</f>
        <v>46182</v>
      </c>
    </row>
    <row r="51" customFormat="false" ht="14.25" hidden="false" customHeight="false" outlineLevel="0" collapsed="false">
      <c r="F51" s="1" t="n">
        <f aca="false">IF(OR(I51=1,J51=1),1,0)</f>
        <v>0</v>
      </c>
      <c r="G51" s="1" t="str">
        <f aca="false">TEXT(H51,"DDD")</f>
        <v>mié</v>
      </c>
      <c r="H51" s="150" t="n">
        <f aca="false">IF(H50&gt;='Tallerdata.com'!$X$4,NA(),H50+1)</f>
        <v>46183</v>
      </c>
      <c r="I51" s="2" t="n">
        <f aca="false">IFERROR(IF(VLOOKUP(H51,$A$4:$A$33,1,0),1,0),0)</f>
        <v>0</v>
      </c>
      <c r="J51" s="2" t="n">
        <f aca="false">IF(AND($D$4=TRUE(),G51="Sáb"),1,IF(AND($D$5=TRUE(),G51="Dom"),1,0))</f>
        <v>0</v>
      </c>
      <c r="K51" s="2" t="n">
        <f aca="false">IF(L51="No",K50,K50+1)</f>
        <v>48</v>
      </c>
      <c r="L51" s="152" t="n">
        <f aca="false">IF(AND(I51=0,J51=0),H51,"NO")</f>
        <v>46183</v>
      </c>
      <c r="N51" s="1" t="n">
        <f aca="false">N50+1</f>
        <v>48</v>
      </c>
      <c r="O51" s="150" t="n">
        <f aca="false">IFERROR(VLOOKUP(N51,$K$4:$L$509,2,0),"")</f>
        <v>46183</v>
      </c>
    </row>
    <row r="52" customFormat="false" ht="14.25" hidden="false" customHeight="false" outlineLevel="0" collapsed="false">
      <c r="F52" s="1" t="n">
        <f aca="false">IF(OR(I52=1,J52=1),1,0)</f>
        <v>0</v>
      </c>
      <c r="G52" s="1" t="str">
        <f aca="false">TEXT(H52,"DDD")</f>
        <v>jue</v>
      </c>
      <c r="H52" s="150" t="n">
        <f aca="false">IF(H51&gt;='Tallerdata.com'!$X$4,NA(),H51+1)</f>
        <v>46184</v>
      </c>
      <c r="I52" s="2" t="n">
        <f aca="false">IFERROR(IF(VLOOKUP(H52,$A$4:$A$33,1,0),1,0),0)</f>
        <v>0</v>
      </c>
      <c r="J52" s="2" t="n">
        <f aca="false">IF(AND($D$4=TRUE(),G52="Sáb"),1,IF(AND($D$5=TRUE(),G52="Dom"),1,0))</f>
        <v>0</v>
      </c>
      <c r="K52" s="2" t="n">
        <f aca="false">IF(L52="No",K51,K51+1)</f>
        <v>49</v>
      </c>
      <c r="L52" s="152" t="n">
        <f aca="false">IF(AND(I52=0,J52=0),H52,"NO")</f>
        <v>46184</v>
      </c>
      <c r="N52" s="1" t="n">
        <f aca="false">N51+1</f>
        <v>49</v>
      </c>
      <c r="O52" s="150" t="n">
        <f aca="false">IFERROR(VLOOKUP(N52,$K$4:$L$509,2,0),"")</f>
        <v>46184</v>
      </c>
    </row>
    <row r="53" customFormat="false" ht="14.25" hidden="false" customHeight="false" outlineLevel="0" collapsed="false">
      <c r="F53" s="1" t="n">
        <f aca="false">IF(OR(I53=1,J53=1),1,0)</f>
        <v>0</v>
      </c>
      <c r="G53" s="1" t="str">
        <f aca="false">TEXT(H53,"DDD")</f>
        <v>vie</v>
      </c>
      <c r="H53" s="150" t="n">
        <f aca="false">IF(H52&gt;='Tallerdata.com'!$X$4,NA(),H52+1)</f>
        <v>46185</v>
      </c>
      <c r="I53" s="2" t="n">
        <f aca="false">IFERROR(IF(VLOOKUP(H53,$A$4:$A$33,1,0),1,0),0)</f>
        <v>0</v>
      </c>
      <c r="J53" s="2" t="n">
        <f aca="false">IF(AND($D$4=TRUE(),G53="Sáb"),1,IF(AND($D$5=TRUE(),G53="Dom"),1,0))</f>
        <v>0</v>
      </c>
      <c r="K53" s="2" t="n">
        <f aca="false">IF(L53="No",K52,K52+1)</f>
        <v>50</v>
      </c>
      <c r="L53" s="152" t="n">
        <f aca="false">IF(AND(I53=0,J53=0),H53,"NO")</f>
        <v>46185</v>
      </c>
      <c r="N53" s="1" t="n">
        <f aca="false">N52+1</f>
        <v>50</v>
      </c>
      <c r="O53" s="150" t="n">
        <f aca="false">IFERROR(VLOOKUP(N53,$K$4:$L$509,2,0),"")</f>
        <v>46185</v>
      </c>
    </row>
    <row r="54" customFormat="false" ht="14.25" hidden="false" customHeight="false" outlineLevel="0" collapsed="false">
      <c r="F54" s="1" t="n">
        <f aca="false">IF(OR(I54=1,J54=1),1,0)</f>
        <v>0</v>
      </c>
      <c r="G54" s="1" t="str">
        <f aca="false">TEXT(H54,"DDD")</f>
        <v>sáb</v>
      </c>
      <c r="H54" s="150" t="n">
        <f aca="false">IF(H53&gt;='Tallerdata.com'!$X$4,NA(),H53+1)</f>
        <v>46186</v>
      </c>
      <c r="I54" s="2" t="n">
        <f aca="false">IFERROR(IF(VLOOKUP(H54,$A$4:$A$33,1,0),1,0),0)</f>
        <v>0</v>
      </c>
      <c r="J54" s="2" t="n">
        <f aca="false">IF(AND($D$4=TRUE(),G54="Sáb"),1,IF(AND($D$5=TRUE(),G54="Dom"),1,0))</f>
        <v>0</v>
      </c>
      <c r="K54" s="2" t="n">
        <f aca="false">IF(L54="No",K53,K53+1)</f>
        <v>51</v>
      </c>
      <c r="L54" s="152" t="n">
        <f aca="false">IF(AND(I54=0,J54=0),H54,"NO")</f>
        <v>46186</v>
      </c>
      <c r="N54" s="1" t="n">
        <f aca="false">N53+1</f>
        <v>51</v>
      </c>
      <c r="O54" s="150" t="n">
        <f aca="false">IFERROR(VLOOKUP(N54,$K$4:$L$509,2,0),"")</f>
        <v>46186</v>
      </c>
    </row>
    <row r="55" customFormat="false" ht="14.25" hidden="false" customHeight="false" outlineLevel="0" collapsed="false">
      <c r="F55" s="1" t="n">
        <f aca="false">IF(OR(I55=1,J55=1),1,0)</f>
        <v>0</v>
      </c>
      <c r="G55" s="1" t="str">
        <f aca="false">TEXT(H55,"DDD")</f>
        <v>dom</v>
      </c>
      <c r="H55" s="150" t="n">
        <f aca="false">IF(H54&gt;='Tallerdata.com'!$X$4,NA(),H54+1)</f>
        <v>46187</v>
      </c>
      <c r="I55" s="2" t="n">
        <f aca="false">IFERROR(IF(VLOOKUP(H55,$A$4:$A$33,1,0),1,0),0)</f>
        <v>0</v>
      </c>
      <c r="J55" s="2" t="n">
        <f aca="false">IF(AND($D$4=TRUE(),G55="Sáb"),1,IF(AND($D$5=TRUE(),G55="Dom"),1,0))</f>
        <v>0</v>
      </c>
      <c r="K55" s="2" t="n">
        <f aca="false">IF(L55="No",K54,K54+1)</f>
        <v>52</v>
      </c>
      <c r="L55" s="152" t="n">
        <f aca="false">IF(AND(I55=0,J55=0),H55,"NO")</f>
        <v>46187</v>
      </c>
      <c r="N55" s="1" t="n">
        <f aca="false">N54+1</f>
        <v>52</v>
      </c>
      <c r="O55" s="150" t="n">
        <f aca="false">IFERROR(VLOOKUP(N55,$K$4:$L$509,2,0),"")</f>
        <v>46187</v>
      </c>
    </row>
    <row r="56" customFormat="false" ht="14.25" hidden="false" customHeight="false" outlineLevel="0" collapsed="false">
      <c r="F56" s="1" t="n">
        <f aca="false">IF(OR(I56=1,J56=1),1,0)</f>
        <v>0</v>
      </c>
      <c r="G56" s="1" t="str">
        <f aca="false">TEXT(H56,"DDD")</f>
        <v>lun</v>
      </c>
      <c r="H56" s="150" t="n">
        <f aca="false">IF(H55&gt;='Tallerdata.com'!$X$4,NA(),H55+1)</f>
        <v>46188</v>
      </c>
      <c r="I56" s="2" t="n">
        <f aca="false">IFERROR(IF(VLOOKUP(H56,$A$4:$A$33,1,0),1,0),0)</f>
        <v>0</v>
      </c>
      <c r="J56" s="2" t="n">
        <f aca="false">IF(AND($D$4=TRUE(),G56="Sáb"),1,IF(AND($D$5=TRUE(),G56="Dom"),1,0))</f>
        <v>0</v>
      </c>
      <c r="K56" s="2" t="n">
        <f aca="false">IF(L56="No",K55,K55+1)</f>
        <v>53</v>
      </c>
      <c r="L56" s="152" t="n">
        <f aca="false">IF(AND(I56=0,J56=0),H56,"NO")</f>
        <v>46188</v>
      </c>
      <c r="N56" s="1" t="n">
        <f aca="false">N55+1</f>
        <v>53</v>
      </c>
      <c r="O56" s="150" t="n">
        <f aca="false">IFERROR(VLOOKUP(N56,$K$4:$L$509,2,0),"")</f>
        <v>46188</v>
      </c>
    </row>
    <row r="57" customFormat="false" ht="14.25" hidden="false" customHeight="false" outlineLevel="0" collapsed="false">
      <c r="F57" s="1" t="n">
        <f aca="false">IF(OR(I57=1,J57=1),1,0)</f>
        <v>0</v>
      </c>
      <c r="G57" s="1" t="str">
        <f aca="false">TEXT(H57,"DDD")</f>
        <v>mar</v>
      </c>
      <c r="H57" s="150" t="n">
        <f aca="false">IF(H56&gt;='Tallerdata.com'!$X$4,NA(),H56+1)</f>
        <v>46189</v>
      </c>
      <c r="I57" s="2" t="n">
        <f aca="false">IFERROR(IF(VLOOKUP(H57,$A$4:$A$33,1,0),1,0),0)</f>
        <v>0</v>
      </c>
      <c r="J57" s="2" t="n">
        <f aca="false">IF(AND($D$4=TRUE(),G57="Sáb"),1,IF(AND($D$5=TRUE(),G57="Dom"),1,0))</f>
        <v>0</v>
      </c>
      <c r="K57" s="2" t="n">
        <f aca="false">IF(L57="No",K56,K56+1)</f>
        <v>54</v>
      </c>
      <c r="L57" s="152" t="n">
        <f aca="false">IF(AND(I57=0,J57=0),H57,"NO")</f>
        <v>46189</v>
      </c>
      <c r="N57" s="1" t="n">
        <f aca="false">N56+1</f>
        <v>54</v>
      </c>
      <c r="O57" s="150" t="n">
        <f aca="false">IFERROR(VLOOKUP(N57,$K$4:$L$509,2,0),"")</f>
        <v>46189</v>
      </c>
    </row>
    <row r="58" customFormat="false" ht="14.25" hidden="false" customHeight="false" outlineLevel="0" collapsed="false">
      <c r="F58" s="1" t="n">
        <f aca="false">IF(OR(I58=1,J58=1),1,0)</f>
        <v>0</v>
      </c>
      <c r="G58" s="1" t="str">
        <f aca="false">TEXT(H58,"DDD")</f>
        <v>mié</v>
      </c>
      <c r="H58" s="150" t="n">
        <f aca="false">IF(H57&gt;='Tallerdata.com'!$X$4,NA(),H57+1)</f>
        <v>46190</v>
      </c>
      <c r="I58" s="2" t="n">
        <f aca="false">IFERROR(IF(VLOOKUP(H58,$A$4:$A$33,1,0),1,0),0)</f>
        <v>0</v>
      </c>
      <c r="J58" s="2" t="n">
        <f aca="false">IF(AND($D$4=TRUE(),G58="Sáb"),1,IF(AND($D$5=TRUE(),G58="Dom"),1,0))</f>
        <v>0</v>
      </c>
      <c r="K58" s="2" t="n">
        <f aca="false">IF(L58="No",K57,K57+1)</f>
        <v>55</v>
      </c>
      <c r="L58" s="152" t="n">
        <f aca="false">IF(AND(I58=0,J58=0),H58,"NO")</f>
        <v>46190</v>
      </c>
      <c r="N58" s="1" t="n">
        <f aca="false">N57+1</f>
        <v>55</v>
      </c>
      <c r="O58" s="150" t="n">
        <f aca="false">IFERROR(VLOOKUP(N58,$K$4:$L$509,2,0),"")</f>
        <v>46190</v>
      </c>
    </row>
    <row r="59" customFormat="false" ht="14.25" hidden="false" customHeight="false" outlineLevel="0" collapsed="false">
      <c r="F59" s="1" t="n">
        <f aca="false">IF(OR(I59=1,J59=1),1,0)</f>
        <v>0</v>
      </c>
      <c r="G59" s="1" t="str">
        <f aca="false">TEXT(H59,"DDD")</f>
        <v>jue</v>
      </c>
      <c r="H59" s="150" t="n">
        <f aca="false">IF(H58&gt;='Tallerdata.com'!$X$4,NA(),H58+1)</f>
        <v>46191</v>
      </c>
      <c r="I59" s="2" t="n">
        <f aca="false">IFERROR(IF(VLOOKUP(H59,$A$4:$A$33,1,0),1,0),0)</f>
        <v>0</v>
      </c>
      <c r="J59" s="2" t="n">
        <f aca="false">IF(AND($D$4=TRUE(),G59="Sáb"),1,IF(AND($D$5=TRUE(),G59="Dom"),1,0))</f>
        <v>0</v>
      </c>
      <c r="K59" s="2" t="n">
        <f aca="false">IF(L59="No",K58,K58+1)</f>
        <v>56</v>
      </c>
      <c r="L59" s="152" t="n">
        <f aca="false">IF(AND(I59=0,J59=0),H59,"NO")</f>
        <v>46191</v>
      </c>
      <c r="N59" s="1" t="n">
        <f aca="false">N58+1</f>
        <v>56</v>
      </c>
      <c r="O59" s="150" t="n">
        <f aca="false">IFERROR(VLOOKUP(N59,$K$4:$L$509,2,0),"")</f>
        <v>46191</v>
      </c>
    </row>
    <row r="60" customFormat="false" ht="14.25" hidden="false" customHeight="false" outlineLevel="0" collapsed="false">
      <c r="F60" s="1" t="n">
        <f aca="false">IF(OR(I60=1,J60=1),1,0)</f>
        <v>0</v>
      </c>
      <c r="G60" s="1" t="str">
        <f aca="false">TEXT(H60,"DDD")</f>
        <v>vie</v>
      </c>
      <c r="H60" s="150" t="n">
        <f aca="false">IF(H59&gt;='Tallerdata.com'!$X$4,NA(),H59+1)</f>
        <v>46192</v>
      </c>
      <c r="I60" s="2" t="n">
        <f aca="false">IFERROR(IF(VLOOKUP(H60,$A$4:$A$33,1,0),1,0),0)</f>
        <v>0</v>
      </c>
      <c r="J60" s="2" t="n">
        <f aca="false">IF(AND($D$4=TRUE(),G60="Sáb"),1,IF(AND($D$5=TRUE(),G60="Dom"),1,0))</f>
        <v>0</v>
      </c>
      <c r="K60" s="2" t="n">
        <f aca="false">IF(L60="No",K59,K59+1)</f>
        <v>57</v>
      </c>
      <c r="L60" s="152" t="n">
        <f aca="false">IF(AND(I60=0,J60=0),H60,"NO")</f>
        <v>46192</v>
      </c>
      <c r="N60" s="1" t="n">
        <f aca="false">N59+1</f>
        <v>57</v>
      </c>
      <c r="O60" s="150" t="n">
        <f aca="false">IFERROR(VLOOKUP(N60,$K$4:$L$509,2,0),"")</f>
        <v>46192</v>
      </c>
    </row>
    <row r="61" customFormat="false" ht="14.25" hidden="false" customHeight="false" outlineLevel="0" collapsed="false">
      <c r="F61" s="1" t="n">
        <f aca="false">IF(OR(I61=1,J61=1),1,0)</f>
        <v>0</v>
      </c>
      <c r="G61" s="1" t="str">
        <f aca="false">TEXT(H61,"DDD")</f>
        <v>sáb</v>
      </c>
      <c r="H61" s="150" t="n">
        <f aca="false">IF(H60&gt;='Tallerdata.com'!$X$4,NA(),H60+1)</f>
        <v>46193</v>
      </c>
      <c r="I61" s="2" t="n">
        <f aca="false">IFERROR(IF(VLOOKUP(H61,$A$4:$A$33,1,0),1,0),0)</f>
        <v>0</v>
      </c>
      <c r="J61" s="2" t="n">
        <f aca="false">IF(AND($D$4=TRUE(),G61="Sáb"),1,IF(AND($D$5=TRUE(),G61="Dom"),1,0))</f>
        <v>0</v>
      </c>
      <c r="K61" s="2" t="n">
        <f aca="false">IF(L61="No",K60,K60+1)</f>
        <v>58</v>
      </c>
      <c r="L61" s="152" t="n">
        <f aca="false">IF(AND(I61=0,J61=0),H61,"NO")</f>
        <v>46193</v>
      </c>
      <c r="N61" s="1" t="n">
        <f aca="false">N60+1</f>
        <v>58</v>
      </c>
      <c r="O61" s="150" t="n">
        <f aca="false">IFERROR(VLOOKUP(N61,$K$4:$L$509,2,0),"")</f>
        <v>46193</v>
      </c>
    </row>
    <row r="62" customFormat="false" ht="14.25" hidden="false" customHeight="false" outlineLevel="0" collapsed="false">
      <c r="F62" s="1" t="n">
        <f aca="false">IF(OR(I62=1,J62=1),1,0)</f>
        <v>0</v>
      </c>
      <c r="G62" s="1" t="str">
        <f aca="false">TEXT(H62,"DDD")</f>
        <v>dom</v>
      </c>
      <c r="H62" s="150" t="n">
        <f aca="false">IF(H61&gt;='Tallerdata.com'!$X$4,NA(),H61+1)</f>
        <v>46194</v>
      </c>
      <c r="I62" s="2" t="n">
        <f aca="false">IFERROR(IF(VLOOKUP(H62,$A$4:$A$33,1,0),1,0),0)</f>
        <v>0</v>
      </c>
      <c r="J62" s="2" t="n">
        <f aca="false">IF(AND($D$4=TRUE(),G62="Sáb"),1,IF(AND($D$5=TRUE(),G62="Dom"),1,0))</f>
        <v>0</v>
      </c>
      <c r="K62" s="2" t="n">
        <f aca="false">IF(L62="No",K61,K61+1)</f>
        <v>59</v>
      </c>
      <c r="L62" s="152" t="n">
        <f aca="false">IF(AND(I62=0,J62=0),H62,"NO")</f>
        <v>46194</v>
      </c>
      <c r="N62" s="1" t="n">
        <f aca="false">N61+1</f>
        <v>59</v>
      </c>
      <c r="O62" s="150" t="n">
        <f aca="false">IFERROR(VLOOKUP(N62,$K$4:$L$509,2,0),"")</f>
        <v>46194</v>
      </c>
    </row>
    <row r="63" customFormat="false" ht="14.25" hidden="false" customHeight="false" outlineLevel="0" collapsed="false">
      <c r="F63" s="1" t="n">
        <f aca="false">IF(OR(I63=1,J63=1),1,0)</f>
        <v>0</v>
      </c>
      <c r="G63" s="1" t="str">
        <f aca="false">TEXT(H63,"DDD")</f>
        <v>lun</v>
      </c>
      <c r="H63" s="150" t="n">
        <f aca="false">IF(H62&gt;='Tallerdata.com'!$X$4,NA(),H62+1)</f>
        <v>46195</v>
      </c>
      <c r="I63" s="2" t="n">
        <f aca="false">IFERROR(IF(VLOOKUP(H63,$A$4:$A$33,1,0),1,0),0)</f>
        <v>0</v>
      </c>
      <c r="J63" s="2" t="n">
        <f aca="false">IF(AND($D$4=TRUE(),G63="Sáb"),1,IF(AND($D$5=TRUE(),G63="Dom"),1,0))</f>
        <v>0</v>
      </c>
      <c r="K63" s="2" t="n">
        <f aca="false">IF(L63="No",K62,K62+1)</f>
        <v>60</v>
      </c>
      <c r="L63" s="152" t="n">
        <f aca="false">IF(AND(I63=0,J63=0),H63,"NO")</f>
        <v>46195</v>
      </c>
      <c r="N63" s="1" t="n">
        <f aca="false">N62+1</f>
        <v>60</v>
      </c>
      <c r="O63" s="150" t="n">
        <f aca="false">IFERROR(VLOOKUP(N63,$K$4:$L$509,2,0),"")</f>
        <v>46195</v>
      </c>
    </row>
    <row r="64" customFormat="false" ht="14.25" hidden="false" customHeight="false" outlineLevel="0" collapsed="false">
      <c r="F64" s="1" t="n">
        <f aca="false">IF(OR(I64=1,J64=1),1,0)</f>
        <v>0</v>
      </c>
      <c r="G64" s="1" t="str">
        <f aca="false">TEXT(H64,"DDD")</f>
        <v>mar</v>
      </c>
      <c r="H64" s="150" t="n">
        <f aca="false">IF(H63&gt;='Tallerdata.com'!$X$4,NA(),H63+1)</f>
        <v>46196</v>
      </c>
      <c r="I64" s="2" t="n">
        <f aca="false">IFERROR(IF(VLOOKUP(H64,$A$4:$A$33,1,0),1,0),0)</f>
        <v>0</v>
      </c>
      <c r="J64" s="2" t="n">
        <f aca="false">IF(AND($D$4=TRUE(),G64="Sáb"),1,IF(AND($D$5=TRUE(),G64="Dom"),1,0))</f>
        <v>0</v>
      </c>
      <c r="K64" s="2" t="n">
        <f aca="false">IF(L64="No",K63,K63+1)</f>
        <v>61</v>
      </c>
      <c r="L64" s="152" t="n">
        <f aca="false">IF(AND(I64=0,J64=0),H64,"NO")</f>
        <v>46196</v>
      </c>
      <c r="N64" s="1" t="n">
        <f aca="false">N63+1</f>
        <v>61</v>
      </c>
      <c r="O64" s="150" t="n">
        <f aca="false">IFERROR(VLOOKUP(N64,$K$4:$L$509,2,0),"")</f>
        <v>46196</v>
      </c>
    </row>
    <row r="65" customFormat="false" ht="14.25" hidden="false" customHeight="false" outlineLevel="0" collapsed="false">
      <c r="F65" s="1" t="n">
        <f aca="false">IF(OR(I65=1,J65=1),1,0)</f>
        <v>0</v>
      </c>
      <c r="G65" s="1" t="str">
        <f aca="false">TEXT(H65,"DDD")</f>
        <v>mié</v>
      </c>
      <c r="H65" s="150" t="n">
        <f aca="false">IF(H64&gt;='Tallerdata.com'!$X$4,NA(),H64+1)</f>
        <v>46197</v>
      </c>
      <c r="I65" s="2" t="n">
        <f aca="false">IFERROR(IF(VLOOKUP(H65,$A$4:$A$33,1,0),1,0),0)</f>
        <v>0</v>
      </c>
      <c r="J65" s="2" t="n">
        <f aca="false">IF(AND($D$4=TRUE(),G65="Sáb"),1,IF(AND($D$5=TRUE(),G65="Dom"),1,0))</f>
        <v>0</v>
      </c>
      <c r="K65" s="2" t="n">
        <f aca="false">IF(L65="No",K64,K64+1)</f>
        <v>62</v>
      </c>
      <c r="L65" s="152" t="n">
        <f aca="false">IF(AND(I65=0,J65=0),H65,"NO")</f>
        <v>46197</v>
      </c>
      <c r="N65" s="1" t="n">
        <f aca="false">N64+1</f>
        <v>62</v>
      </c>
      <c r="O65" s="150" t="n">
        <f aca="false">IFERROR(VLOOKUP(N65,$K$4:$L$509,2,0),"")</f>
        <v>46197</v>
      </c>
    </row>
    <row r="66" customFormat="false" ht="14.25" hidden="false" customHeight="false" outlineLevel="0" collapsed="false">
      <c r="F66" s="1" t="n">
        <f aca="false">IF(OR(I66=1,J66=1),1,0)</f>
        <v>0</v>
      </c>
      <c r="G66" s="1" t="str">
        <f aca="false">TEXT(H66,"DDD")</f>
        <v>jue</v>
      </c>
      <c r="H66" s="150" t="n">
        <f aca="false">IF(H65&gt;='Tallerdata.com'!$X$4,NA(),H65+1)</f>
        <v>46198</v>
      </c>
      <c r="I66" s="2" t="n">
        <f aca="false">IFERROR(IF(VLOOKUP(H66,$A$4:$A$33,1,0),1,0),0)</f>
        <v>0</v>
      </c>
      <c r="J66" s="2" t="n">
        <f aca="false">IF(AND($D$4=TRUE(),G66="Sáb"),1,IF(AND($D$5=TRUE(),G66="Dom"),1,0))</f>
        <v>0</v>
      </c>
      <c r="K66" s="2" t="n">
        <f aca="false">IF(L66="No",K65,K65+1)</f>
        <v>63</v>
      </c>
      <c r="L66" s="152" t="n">
        <f aca="false">IF(AND(I66=0,J66=0),H66,"NO")</f>
        <v>46198</v>
      </c>
      <c r="N66" s="1" t="n">
        <f aca="false">N65+1</f>
        <v>63</v>
      </c>
      <c r="O66" s="150" t="n">
        <f aca="false">IFERROR(VLOOKUP(N66,$K$4:$L$509,2,0),"")</f>
        <v>46198</v>
      </c>
    </row>
    <row r="67" customFormat="false" ht="14.25" hidden="false" customHeight="false" outlineLevel="0" collapsed="false">
      <c r="F67" s="1" t="n">
        <f aca="false">IF(OR(I67=1,J67=1),1,0)</f>
        <v>0</v>
      </c>
      <c r="G67" s="1" t="str">
        <f aca="false">TEXT(H67,"DDD")</f>
        <v>vie</v>
      </c>
      <c r="H67" s="150" t="n">
        <f aca="false">IF(H66&gt;='Tallerdata.com'!$X$4,NA(),H66+1)</f>
        <v>46199</v>
      </c>
      <c r="I67" s="2" t="n">
        <f aca="false">IFERROR(IF(VLOOKUP(H67,$A$4:$A$33,1,0),1,0),0)</f>
        <v>0</v>
      </c>
      <c r="J67" s="2" t="n">
        <f aca="false">IF(AND($D$4=TRUE(),G67="Sáb"),1,IF(AND($D$5=TRUE(),G67="Dom"),1,0))</f>
        <v>0</v>
      </c>
      <c r="K67" s="2" t="n">
        <f aca="false">IF(L67="No",K66,K66+1)</f>
        <v>64</v>
      </c>
      <c r="L67" s="152" t="n">
        <f aca="false">IF(AND(I67=0,J67=0),H67,"NO")</f>
        <v>46199</v>
      </c>
      <c r="N67" s="1" t="n">
        <f aca="false">N66+1</f>
        <v>64</v>
      </c>
      <c r="O67" s="150" t="n">
        <f aca="false">IFERROR(VLOOKUP(N67,$K$4:$L$509,2,0),"")</f>
        <v>46199</v>
      </c>
    </row>
    <row r="68" customFormat="false" ht="14.25" hidden="false" customHeight="false" outlineLevel="0" collapsed="false">
      <c r="F68" s="1" t="n">
        <f aca="false">IF(OR(I68=1,J68=1),1,0)</f>
        <v>0</v>
      </c>
      <c r="G68" s="1" t="str">
        <f aca="false">TEXT(H68,"DDD")</f>
        <v>sáb</v>
      </c>
      <c r="H68" s="150" t="n">
        <f aca="false">IF(H67&gt;='Tallerdata.com'!$X$4,NA(),H67+1)</f>
        <v>46200</v>
      </c>
      <c r="I68" s="2" t="n">
        <f aca="false">IFERROR(IF(VLOOKUP(H68,$A$4:$A$33,1,0),1,0),0)</f>
        <v>0</v>
      </c>
      <c r="J68" s="2" t="n">
        <f aca="false">IF(AND($D$4=TRUE(),G68="Sáb"),1,IF(AND($D$5=TRUE(),G68="Dom"),1,0))</f>
        <v>0</v>
      </c>
      <c r="K68" s="2" t="n">
        <f aca="false">IF(L68="No",K67,K67+1)</f>
        <v>65</v>
      </c>
      <c r="L68" s="152" t="n">
        <f aca="false">IF(AND(I68=0,J68=0),H68,"NO")</f>
        <v>46200</v>
      </c>
      <c r="N68" s="1" t="n">
        <f aca="false">N67+1</f>
        <v>65</v>
      </c>
      <c r="O68" s="150" t="n">
        <f aca="false">IFERROR(VLOOKUP(N68,$K$4:$L$509,2,0),"")</f>
        <v>46200</v>
      </c>
    </row>
    <row r="69" customFormat="false" ht="14.25" hidden="false" customHeight="false" outlineLevel="0" collapsed="false">
      <c r="F69" s="1" t="n">
        <f aca="false">IF(OR(I69=1,J69=1),1,0)</f>
        <v>0</v>
      </c>
      <c r="G69" s="1" t="str">
        <f aca="false">TEXT(H69,"DDD")</f>
        <v>dom</v>
      </c>
      <c r="H69" s="150" t="n">
        <f aca="false">IF(H68&gt;='Tallerdata.com'!$X$4,NA(),H68+1)</f>
        <v>46201</v>
      </c>
      <c r="I69" s="2" t="n">
        <f aca="false">IFERROR(IF(VLOOKUP(H69,$A$4:$A$33,1,0),1,0),0)</f>
        <v>0</v>
      </c>
      <c r="J69" s="2" t="n">
        <f aca="false">IF(AND($D$4=TRUE(),G69="Sáb"),1,IF(AND($D$5=TRUE(),G69="Dom"),1,0))</f>
        <v>0</v>
      </c>
      <c r="K69" s="2" t="n">
        <f aca="false">IF(L69="No",K68,K68+1)</f>
        <v>66</v>
      </c>
      <c r="L69" s="152" t="n">
        <f aca="false">IF(AND(I69=0,J69=0),H69,"NO")</f>
        <v>46201</v>
      </c>
      <c r="N69" s="1" t="n">
        <f aca="false">N68+1</f>
        <v>66</v>
      </c>
      <c r="O69" s="150" t="n">
        <f aca="false">IFERROR(VLOOKUP(N69,$K$4:$L$509,2,0),"")</f>
        <v>46201</v>
      </c>
    </row>
    <row r="70" customFormat="false" ht="14.25" hidden="false" customHeight="false" outlineLevel="0" collapsed="false">
      <c r="F70" s="1" t="n">
        <f aca="false">IF(OR(I70=1,J70=1),1,0)</f>
        <v>0</v>
      </c>
      <c r="G70" s="1" t="str">
        <f aca="false">TEXT(H70,"DDD")</f>
        <v>lun</v>
      </c>
      <c r="H70" s="150" t="n">
        <f aca="false">IF(H69&gt;='Tallerdata.com'!$X$4,NA(),H69+1)</f>
        <v>46202</v>
      </c>
      <c r="I70" s="2" t="n">
        <f aca="false">IFERROR(IF(VLOOKUP(H70,$A$4:$A$33,1,0),1,0),0)</f>
        <v>0</v>
      </c>
      <c r="J70" s="2" t="n">
        <f aca="false">IF(AND($D$4=TRUE(),G70="Sáb"),1,IF(AND($D$5=TRUE(),G70="Dom"),1,0))</f>
        <v>0</v>
      </c>
      <c r="K70" s="2" t="n">
        <f aca="false">IF(L70="No",K69,K69+1)</f>
        <v>67</v>
      </c>
      <c r="L70" s="152" t="n">
        <f aca="false">IF(AND(I70=0,J70=0),H70,"NO")</f>
        <v>46202</v>
      </c>
      <c r="N70" s="1" t="n">
        <f aca="false">N69+1</f>
        <v>67</v>
      </c>
      <c r="O70" s="150" t="n">
        <f aca="false">IFERROR(VLOOKUP(N70,$K$4:$L$509,2,0),"")</f>
        <v>46202</v>
      </c>
    </row>
    <row r="71" customFormat="false" ht="14.25" hidden="false" customHeight="false" outlineLevel="0" collapsed="false">
      <c r="F71" s="1" t="n">
        <f aca="false">IF(OR(I71=1,J71=1),1,0)</f>
        <v>0</v>
      </c>
      <c r="G71" s="1" t="str">
        <f aca="false">TEXT(H71,"DDD")</f>
        <v>mar</v>
      </c>
      <c r="H71" s="150" t="n">
        <f aca="false">IF(H70&gt;='Tallerdata.com'!$X$4,NA(),H70+1)</f>
        <v>46203</v>
      </c>
      <c r="I71" s="2" t="n">
        <f aca="false">IFERROR(IF(VLOOKUP(H71,$A$4:$A$33,1,0),1,0),0)</f>
        <v>0</v>
      </c>
      <c r="J71" s="2" t="n">
        <f aca="false">IF(AND($D$4=TRUE(),G71="Sáb"),1,IF(AND($D$5=TRUE(),G71="Dom"),1,0))</f>
        <v>0</v>
      </c>
      <c r="K71" s="2" t="n">
        <f aca="false">IF(L71="No",K70,K70+1)</f>
        <v>68</v>
      </c>
      <c r="L71" s="152" t="n">
        <f aca="false">IF(AND(I71=0,J71=0),H71,"NO")</f>
        <v>46203</v>
      </c>
      <c r="N71" s="1" t="n">
        <f aca="false">N70+1</f>
        <v>68</v>
      </c>
      <c r="O71" s="150" t="n">
        <f aca="false">IFERROR(VLOOKUP(N71,$K$4:$L$509,2,0),"")</f>
        <v>46203</v>
      </c>
    </row>
    <row r="72" customFormat="false" ht="14.25" hidden="false" customHeight="false" outlineLevel="0" collapsed="false">
      <c r="F72" s="1" t="n">
        <f aca="false">IF(OR(I72=1,J72=1),1,0)</f>
        <v>0</v>
      </c>
      <c r="G72" s="1" t="str">
        <f aca="false">TEXT(H72,"DDD")</f>
        <v>mié</v>
      </c>
      <c r="H72" s="150" t="n">
        <f aca="false">IF(H71&gt;='Tallerdata.com'!$X$4,NA(),H71+1)</f>
        <v>46204</v>
      </c>
      <c r="I72" s="2" t="n">
        <f aca="false">IFERROR(IF(VLOOKUP(H72,$A$4:$A$33,1,0),1,0),0)</f>
        <v>0</v>
      </c>
      <c r="J72" s="2" t="n">
        <f aca="false">IF(AND($D$4=TRUE(),G72="Sáb"),1,IF(AND($D$5=TRUE(),G72="Dom"),1,0))</f>
        <v>0</v>
      </c>
      <c r="K72" s="2" t="n">
        <f aca="false">IF(L72="No",K71,K71+1)</f>
        <v>69</v>
      </c>
      <c r="L72" s="152" t="n">
        <f aca="false">IF(AND(I72=0,J72=0),H72,"NO")</f>
        <v>46204</v>
      </c>
      <c r="N72" s="1" t="n">
        <f aca="false">N71+1</f>
        <v>69</v>
      </c>
      <c r="O72" s="150" t="n">
        <f aca="false">IFERROR(VLOOKUP(N72,$K$4:$L$509,2,0),"")</f>
        <v>46204</v>
      </c>
    </row>
    <row r="73" customFormat="false" ht="14.25" hidden="false" customHeight="false" outlineLevel="0" collapsed="false">
      <c r="F73" s="1" t="n">
        <f aca="false">IF(OR(I73=1,J73=1),1,0)</f>
        <v>0</v>
      </c>
      <c r="G73" s="1" t="str">
        <f aca="false">TEXT(H73,"DDD")</f>
        <v>jue</v>
      </c>
      <c r="H73" s="150" t="n">
        <f aca="false">IF(H72&gt;='Tallerdata.com'!$X$4,NA(),H72+1)</f>
        <v>46205</v>
      </c>
      <c r="I73" s="2" t="n">
        <f aca="false">IFERROR(IF(VLOOKUP(H73,$A$4:$A$33,1,0),1,0),0)</f>
        <v>0</v>
      </c>
      <c r="J73" s="2" t="n">
        <f aca="false">IF(AND($D$4=TRUE(),G73="Sáb"),1,IF(AND($D$5=TRUE(),G73="Dom"),1,0))</f>
        <v>0</v>
      </c>
      <c r="K73" s="2" t="n">
        <f aca="false">IF(L73="No",K72,K72+1)</f>
        <v>70</v>
      </c>
      <c r="L73" s="152" t="n">
        <f aca="false">IF(AND(I73=0,J73=0),H73,"NO")</f>
        <v>46205</v>
      </c>
      <c r="N73" s="1" t="n">
        <f aca="false">N72+1</f>
        <v>70</v>
      </c>
      <c r="O73" s="150" t="n">
        <f aca="false">IFERROR(VLOOKUP(N73,$K$4:$L$509,2,0),"")</f>
        <v>46205</v>
      </c>
    </row>
    <row r="74" customFormat="false" ht="14.25" hidden="false" customHeight="false" outlineLevel="0" collapsed="false">
      <c r="F74" s="1" t="n">
        <f aca="false">IF(OR(I74=1,J74=1),1,0)</f>
        <v>0</v>
      </c>
      <c r="G74" s="1" t="str">
        <f aca="false">TEXT(H74,"DDD")</f>
        <v>vie</v>
      </c>
      <c r="H74" s="150" t="n">
        <f aca="false">IF(H73&gt;='Tallerdata.com'!$X$4,NA(),H73+1)</f>
        <v>46206</v>
      </c>
      <c r="I74" s="2" t="n">
        <f aca="false">IFERROR(IF(VLOOKUP(H74,$A$4:$A$33,1,0),1,0),0)</f>
        <v>0</v>
      </c>
      <c r="J74" s="2" t="n">
        <f aca="false">IF(AND($D$4=TRUE(),G74="Sáb"),1,IF(AND($D$5=TRUE(),G74="Dom"),1,0))</f>
        <v>0</v>
      </c>
      <c r="K74" s="2" t="n">
        <f aca="false">IF(L74="No",K73,K73+1)</f>
        <v>71</v>
      </c>
      <c r="L74" s="152" t="n">
        <f aca="false">IF(AND(I74=0,J74=0),H74,"NO")</f>
        <v>46206</v>
      </c>
      <c r="N74" s="1" t="n">
        <f aca="false">N73+1</f>
        <v>71</v>
      </c>
      <c r="O74" s="150" t="n">
        <f aca="false">IFERROR(VLOOKUP(N74,$K$4:$L$509,2,0),"")</f>
        <v>46206</v>
      </c>
    </row>
    <row r="75" customFormat="false" ht="14.25" hidden="false" customHeight="false" outlineLevel="0" collapsed="false">
      <c r="F75" s="1" t="n">
        <f aca="false">IF(OR(I75=1,J75=1),1,0)</f>
        <v>0</v>
      </c>
      <c r="G75" s="1" t="str">
        <f aca="false">TEXT(H75,"DDD")</f>
        <v>sáb</v>
      </c>
      <c r="H75" s="150" t="n">
        <f aca="false">IF(H74&gt;='Tallerdata.com'!$X$4,NA(),H74+1)</f>
        <v>46207</v>
      </c>
      <c r="I75" s="2" t="n">
        <f aca="false">IFERROR(IF(VLOOKUP(H75,$A$4:$A$33,1,0),1,0),0)</f>
        <v>0</v>
      </c>
      <c r="J75" s="2" t="n">
        <f aca="false">IF(AND($D$4=TRUE(),G75="Sáb"),1,IF(AND($D$5=TRUE(),G75="Dom"),1,0))</f>
        <v>0</v>
      </c>
      <c r="K75" s="2" t="n">
        <f aca="false">IF(L75="No",K74,K74+1)</f>
        <v>72</v>
      </c>
      <c r="L75" s="152" t="n">
        <f aca="false">IF(AND(I75=0,J75=0),H75,"NO")</f>
        <v>46207</v>
      </c>
      <c r="N75" s="1" t="n">
        <f aca="false">N74+1</f>
        <v>72</v>
      </c>
      <c r="O75" s="150" t="n">
        <f aca="false">IFERROR(VLOOKUP(N75,$K$4:$L$509,2,0),"")</f>
        <v>46207</v>
      </c>
    </row>
    <row r="76" customFormat="false" ht="14.25" hidden="false" customHeight="false" outlineLevel="0" collapsed="false">
      <c r="F76" s="1" t="n">
        <f aca="false">IF(OR(I76=1,J76=1),1,0)</f>
        <v>0</v>
      </c>
      <c r="G76" s="1" t="str">
        <f aca="false">TEXT(H76,"DDD")</f>
        <v>dom</v>
      </c>
      <c r="H76" s="150" t="n">
        <f aca="false">IF(H75&gt;='Tallerdata.com'!$X$4,NA(),H75+1)</f>
        <v>46208</v>
      </c>
      <c r="I76" s="2" t="n">
        <f aca="false">IFERROR(IF(VLOOKUP(H76,$A$4:$A$33,1,0),1,0),0)</f>
        <v>0</v>
      </c>
      <c r="J76" s="2" t="n">
        <f aca="false">IF(AND($D$4=TRUE(),G76="Sáb"),1,IF(AND($D$5=TRUE(),G76="Dom"),1,0))</f>
        <v>0</v>
      </c>
      <c r="K76" s="2" t="n">
        <f aca="false">IF(L76="No",K75,K75+1)</f>
        <v>73</v>
      </c>
      <c r="L76" s="152" t="n">
        <f aca="false">IF(AND(I76=0,J76=0),H76,"NO")</f>
        <v>46208</v>
      </c>
      <c r="N76" s="1" t="n">
        <f aca="false">N75+1</f>
        <v>73</v>
      </c>
      <c r="O76" s="150" t="n">
        <f aca="false">IFERROR(VLOOKUP(N76,$K$4:$L$509,2,0),"")</f>
        <v>46208</v>
      </c>
    </row>
    <row r="77" customFormat="false" ht="14.25" hidden="false" customHeight="false" outlineLevel="0" collapsed="false">
      <c r="F77" s="1" t="n">
        <f aca="false">IF(OR(I77=1,J77=1),1,0)</f>
        <v>0</v>
      </c>
      <c r="G77" s="1" t="str">
        <f aca="false">TEXT(H77,"DDD")</f>
        <v>lun</v>
      </c>
      <c r="H77" s="150" t="n">
        <f aca="false">IF(H76&gt;='Tallerdata.com'!$X$4,NA(),H76+1)</f>
        <v>46209</v>
      </c>
      <c r="I77" s="2" t="n">
        <f aca="false">IFERROR(IF(VLOOKUP(H77,$A$4:$A$33,1,0),1,0),0)</f>
        <v>0</v>
      </c>
      <c r="J77" s="2" t="n">
        <f aca="false">IF(AND($D$4=TRUE(),G77="Sáb"),1,IF(AND($D$5=TRUE(),G77="Dom"),1,0))</f>
        <v>0</v>
      </c>
      <c r="K77" s="2" t="n">
        <f aca="false">IF(L77="No",K76,K76+1)</f>
        <v>74</v>
      </c>
      <c r="L77" s="152" t="n">
        <f aca="false">IF(AND(I77=0,J77=0),H77,"NO")</f>
        <v>46209</v>
      </c>
      <c r="N77" s="1" t="n">
        <f aca="false">N76+1</f>
        <v>74</v>
      </c>
      <c r="O77" s="150" t="n">
        <f aca="false">IFERROR(VLOOKUP(N77,$K$4:$L$509,2,0),"")</f>
        <v>46209</v>
      </c>
    </row>
    <row r="78" customFormat="false" ht="14.25" hidden="false" customHeight="false" outlineLevel="0" collapsed="false">
      <c r="F78" s="1" t="n">
        <f aca="false">IF(OR(I78=1,J78=1),1,0)</f>
        <v>0</v>
      </c>
      <c r="G78" s="1" t="str">
        <f aca="false">TEXT(H78,"DDD")</f>
        <v>mar</v>
      </c>
      <c r="H78" s="150" t="n">
        <f aca="false">IF(H77&gt;='Tallerdata.com'!$X$4,NA(),H77+1)</f>
        <v>46210</v>
      </c>
      <c r="I78" s="2" t="n">
        <f aca="false">IFERROR(IF(VLOOKUP(H78,$A$4:$A$33,1,0),1,0),0)</f>
        <v>0</v>
      </c>
      <c r="J78" s="2" t="n">
        <f aca="false">IF(AND($D$4=TRUE(),G78="Sáb"),1,IF(AND($D$5=TRUE(),G78="Dom"),1,0))</f>
        <v>0</v>
      </c>
      <c r="K78" s="2" t="n">
        <f aca="false">IF(L78="No",K77,K77+1)</f>
        <v>75</v>
      </c>
      <c r="L78" s="152" t="n">
        <f aca="false">IF(AND(I78=0,J78=0),H78,"NO")</f>
        <v>46210</v>
      </c>
      <c r="N78" s="1" t="n">
        <f aca="false">N77+1</f>
        <v>75</v>
      </c>
      <c r="O78" s="150" t="n">
        <f aca="false">IFERROR(VLOOKUP(N78,$K$4:$L$509,2,0),"")</f>
        <v>46210</v>
      </c>
    </row>
    <row r="79" customFormat="false" ht="14.25" hidden="false" customHeight="false" outlineLevel="0" collapsed="false">
      <c r="F79" s="1" t="n">
        <f aca="false">IF(OR(I79=1,J79=1),1,0)</f>
        <v>0</v>
      </c>
      <c r="G79" s="1" t="str">
        <f aca="false">TEXT(H79,"DDD")</f>
        <v>mié</v>
      </c>
      <c r="H79" s="150" t="n">
        <f aca="false">IF(H78&gt;='Tallerdata.com'!$X$4,NA(),H78+1)</f>
        <v>46211</v>
      </c>
      <c r="I79" s="2" t="n">
        <f aca="false">IFERROR(IF(VLOOKUP(H79,$A$4:$A$33,1,0),1,0),0)</f>
        <v>0</v>
      </c>
      <c r="J79" s="2" t="n">
        <f aca="false">IF(AND($D$4=TRUE(),G79="Sáb"),1,IF(AND($D$5=TRUE(),G79="Dom"),1,0))</f>
        <v>0</v>
      </c>
      <c r="K79" s="2" t="n">
        <f aca="false">IF(L79="No",K78,K78+1)</f>
        <v>76</v>
      </c>
      <c r="L79" s="152" t="n">
        <f aca="false">IF(AND(I79=0,J79=0),H79,"NO")</f>
        <v>46211</v>
      </c>
      <c r="N79" s="1" t="n">
        <f aca="false">N78+1</f>
        <v>76</v>
      </c>
      <c r="O79" s="150" t="n">
        <f aca="false">IFERROR(VLOOKUP(N79,$K$4:$L$509,2,0),"")</f>
        <v>46211</v>
      </c>
    </row>
    <row r="80" customFormat="false" ht="14.25" hidden="false" customHeight="false" outlineLevel="0" collapsed="false">
      <c r="F80" s="1" t="n">
        <f aca="false">IF(OR(I80=1,J80=1),1,0)</f>
        <v>0</v>
      </c>
      <c r="G80" s="1" t="str">
        <f aca="false">TEXT(H80,"DDD")</f>
        <v>jue</v>
      </c>
      <c r="H80" s="150" t="n">
        <f aca="false">IF(H79&gt;='Tallerdata.com'!$X$4,NA(),H79+1)</f>
        <v>46212</v>
      </c>
      <c r="I80" s="2" t="n">
        <f aca="false">IFERROR(IF(VLOOKUP(H80,$A$4:$A$33,1,0),1,0),0)</f>
        <v>0</v>
      </c>
      <c r="J80" s="2" t="n">
        <f aca="false">IF(AND($D$4=TRUE(),G80="Sáb"),1,IF(AND($D$5=TRUE(),G80="Dom"),1,0))</f>
        <v>0</v>
      </c>
      <c r="K80" s="2" t="n">
        <f aca="false">IF(L80="No",K79,K79+1)</f>
        <v>77</v>
      </c>
      <c r="L80" s="152" t="n">
        <f aca="false">IF(AND(I80=0,J80=0),H80,"NO")</f>
        <v>46212</v>
      </c>
      <c r="N80" s="1" t="n">
        <f aca="false">N79+1</f>
        <v>77</v>
      </c>
      <c r="O80" s="150" t="n">
        <f aca="false">IFERROR(VLOOKUP(N80,$K$4:$L$509,2,0),"")</f>
        <v>46212</v>
      </c>
    </row>
    <row r="81" customFormat="false" ht="14.25" hidden="false" customHeight="false" outlineLevel="0" collapsed="false">
      <c r="F81" s="1" t="n">
        <f aca="false">IF(OR(I81=1,J81=1),1,0)</f>
        <v>0</v>
      </c>
      <c r="G81" s="1" t="str">
        <f aca="false">TEXT(H81,"DDD")</f>
        <v>vie</v>
      </c>
      <c r="H81" s="150" t="n">
        <f aca="false">IF(H80&gt;='Tallerdata.com'!$X$4,NA(),H80+1)</f>
        <v>46213</v>
      </c>
      <c r="I81" s="2" t="n">
        <f aca="false">IFERROR(IF(VLOOKUP(H81,$A$4:$A$33,1,0),1,0),0)</f>
        <v>0</v>
      </c>
      <c r="J81" s="2" t="n">
        <f aca="false">IF(AND($D$4=TRUE(),G81="Sáb"),1,IF(AND($D$5=TRUE(),G81="Dom"),1,0))</f>
        <v>0</v>
      </c>
      <c r="K81" s="2" t="n">
        <f aca="false">IF(L81="No",K80,K80+1)</f>
        <v>78</v>
      </c>
      <c r="L81" s="152" t="n">
        <f aca="false">IF(AND(I81=0,J81=0),H81,"NO")</f>
        <v>46213</v>
      </c>
      <c r="N81" s="1" t="n">
        <f aca="false">N80+1</f>
        <v>78</v>
      </c>
      <c r="O81" s="150" t="n">
        <f aca="false">IFERROR(VLOOKUP(N81,$K$4:$L$509,2,0),"")</f>
        <v>46213</v>
      </c>
    </row>
    <row r="82" customFormat="false" ht="14.25" hidden="false" customHeight="false" outlineLevel="0" collapsed="false">
      <c r="F82" s="1" t="n">
        <f aca="false">IF(OR(I82=1,J82=1),1,0)</f>
        <v>0</v>
      </c>
      <c r="G82" s="1" t="str">
        <f aca="false">TEXT(H82,"DDD")</f>
        <v>sáb</v>
      </c>
      <c r="H82" s="150" t="n">
        <f aca="false">IF(H81&gt;='Tallerdata.com'!$X$4,NA(),H81+1)</f>
        <v>46214</v>
      </c>
      <c r="I82" s="2" t="n">
        <f aca="false">IFERROR(IF(VLOOKUP(H82,$A$4:$A$33,1,0),1,0),0)</f>
        <v>0</v>
      </c>
      <c r="J82" s="2" t="n">
        <f aca="false">IF(AND($D$4=TRUE(),G82="Sáb"),1,IF(AND($D$5=TRUE(),G82="Dom"),1,0))</f>
        <v>0</v>
      </c>
      <c r="K82" s="2" t="n">
        <f aca="false">IF(L82="No",K81,K81+1)</f>
        <v>79</v>
      </c>
      <c r="L82" s="152" t="n">
        <f aca="false">IF(AND(I82=0,J82=0),H82,"NO")</f>
        <v>46214</v>
      </c>
      <c r="N82" s="1" t="n">
        <f aca="false">N81+1</f>
        <v>79</v>
      </c>
      <c r="O82" s="150" t="n">
        <f aca="false">IFERROR(VLOOKUP(N82,$K$4:$L$509,2,0),"")</f>
        <v>46214</v>
      </c>
    </row>
    <row r="83" customFormat="false" ht="14.25" hidden="false" customHeight="false" outlineLevel="0" collapsed="false">
      <c r="F83" s="1" t="n">
        <f aca="false">IF(OR(I83=1,J83=1),1,0)</f>
        <v>0</v>
      </c>
      <c r="G83" s="1" t="str">
        <f aca="false">TEXT(H83,"DDD")</f>
        <v>dom</v>
      </c>
      <c r="H83" s="150" t="n">
        <f aca="false">IF(H82&gt;='Tallerdata.com'!$X$4,NA(),H82+1)</f>
        <v>46215</v>
      </c>
      <c r="I83" s="2" t="n">
        <f aca="false">IFERROR(IF(VLOOKUP(H83,$A$4:$A$33,1,0),1,0),0)</f>
        <v>0</v>
      </c>
      <c r="J83" s="2" t="n">
        <f aca="false">IF(AND($D$4=TRUE(),G83="Sáb"),1,IF(AND($D$5=TRUE(),G83="Dom"),1,0))</f>
        <v>0</v>
      </c>
      <c r="K83" s="2" t="n">
        <f aca="false">IF(L83="No",K82,K82+1)</f>
        <v>80</v>
      </c>
      <c r="L83" s="152" t="n">
        <f aca="false">IF(AND(I83=0,J83=0),H83,"NO")</f>
        <v>46215</v>
      </c>
      <c r="N83" s="1" t="n">
        <f aca="false">N82+1</f>
        <v>80</v>
      </c>
      <c r="O83" s="150" t="n">
        <f aca="false">IFERROR(VLOOKUP(N83,$K$4:$L$509,2,0),"")</f>
        <v>46215</v>
      </c>
    </row>
    <row r="84" customFormat="false" ht="14.25" hidden="false" customHeight="false" outlineLevel="0" collapsed="false">
      <c r="F84" s="1" t="n">
        <f aca="false">IF(OR(I84=1,J84=1),1,0)</f>
        <v>0</v>
      </c>
      <c r="G84" s="1" t="str">
        <f aca="false">TEXT(H84,"DDD")</f>
        <v>lun</v>
      </c>
      <c r="H84" s="150" t="n">
        <f aca="false">IF(H83&gt;='Tallerdata.com'!$X$4,NA(),H83+1)</f>
        <v>46216</v>
      </c>
      <c r="I84" s="2" t="n">
        <f aca="false">IFERROR(IF(VLOOKUP(H84,$A$4:$A$33,1,0),1,0),0)</f>
        <v>0</v>
      </c>
      <c r="J84" s="2" t="n">
        <f aca="false">IF(AND($D$4=TRUE(),G84="Sáb"),1,IF(AND($D$5=TRUE(),G84="Dom"),1,0))</f>
        <v>0</v>
      </c>
      <c r="K84" s="2" t="n">
        <f aca="false">IF(L84="No",K83,K83+1)</f>
        <v>81</v>
      </c>
      <c r="L84" s="152" t="n">
        <f aca="false">IF(AND(I84=0,J84=0),H84,"NO")</f>
        <v>46216</v>
      </c>
      <c r="N84" s="1" t="n">
        <f aca="false">N83+1</f>
        <v>81</v>
      </c>
      <c r="O84" s="150" t="n">
        <f aca="false">IFERROR(VLOOKUP(N84,$K$4:$L$509,2,0),"")</f>
        <v>46216</v>
      </c>
    </row>
    <row r="85" customFormat="false" ht="14.25" hidden="false" customHeight="false" outlineLevel="0" collapsed="false">
      <c r="F85" s="1" t="n">
        <f aca="false">IF(OR(I85=1,J85=1),1,0)</f>
        <v>0</v>
      </c>
      <c r="G85" s="1" t="str">
        <f aca="false">TEXT(H85,"DDD")</f>
        <v>mar</v>
      </c>
      <c r="H85" s="150" t="n">
        <f aca="false">IF(H84&gt;='Tallerdata.com'!$X$4,NA(),H84+1)</f>
        <v>46217</v>
      </c>
      <c r="I85" s="2" t="n">
        <f aca="false">IFERROR(IF(VLOOKUP(H85,$A$4:$A$33,1,0),1,0),0)</f>
        <v>0</v>
      </c>
      <c r="J85" s="2" t="n">
        <f aca="false">IF(AND($D$4=TRUE(),G85="Sáb"),1,IF(AND($D$5=TRUE(),G85="Dom"),1,0))</f>
        <v>0</v>
      </c>
      <c r="K85" s="2" t="n">
        <f aca="false">IF(L85="No",K84,K84+1)</f>
        <v>82</v>
      </c>
      <c r="L85" s="152" t="n">
        <f aca="false">IF(AND(I85=0,J85=0),H85,"NO")</f>
        <v>46217</v>
      </c>
      <c r="N85" s="1" t="n">
        <f aca="false">N84+1</f>
        <v>82</v>
      </c>
      <c r="O85" s="150" t="n">
        <f aca="false">IFERROR(VLOOKUP(N85,$K$4:$L$509,2,0),"")</f>
        <v>46217</v>
      </c>
    </row>
    <row r="86" customFormat="false" ht="14.25" hidden="false" customHeight="false" outlineLevel="0" collapsed="false">
      <c r="F86" s="1" t="n">
        <f aca="false">IF(OR(I86=1,J86=1),1,0)</f>
        <v>0</v>
      </c>
      <c r="G86" s="1" t="str">
        <f aca="false">TEXT(H86,"DDD")</f>
        <v>mié</v>
      </c>
      <c r="H86" s="150" t="n">
        <f aca="false">IF(H85&gt;='Tallerdata.com'!$X$4,NA(),H85+1)</f>
        <v>46218</v>
      </c>
      <c r="I86" s="2" t="n">
        <f aca="false">IFERROR(IF(VLOOKUP(H86,$A$4:$A$33,1,0),1,0),0)</f>
        <v>0</v>
      </c>
      <c r="J86" s="2" t="n">
        <f aca="false">IF(AND($D$4=TRUE(),G86="Sáb"),1,IF(AND($D$5=TRUE(),G86="Dom"),1,0))</f>
        <v>0</v>
      </c>
      <c r="K86" s="2" t="n">
        <f aca="false">IF(L86="No",K85,K85+1)</f>
        <v>83</v>
      </c>
      <c r="L86" s="152" t="n">
        <f aca="false">IF(AND(I86=0,J86=0),H86,"NO")</f>
        <v>46218</v>
      </c>
      <c r="N86" s="1" t="n">
        <f aca="false">N85+1</f>
        <v>83</v>
      </c>
      <c r="O86" s="150" t="n">
        <f aca="false">IFERROR(VLOOKUP(N86,$K$4:$L$509,2,0),"")</f>
        <v>46218</v>
      </c>
    </row>
    <row r="87" customFormat="false" ht="14.25" hidden="false" customHeight="false" outlineLevel="0" collapsed="false">
      <c r="F87" s="1" t="e">
        <f aca="false">IF(OR(I87=1,J87=1),1,0)</f>
        <v>#N/A</v>
      </c>
      <c r="G87" s="1" t="e">
        <f aca="false">TEXT(H87,"DDD")</f>
        <v>#N/A</v>
      </c>
      <c r="H87" s="150" t="e">
        <f aca="false">IF(H86&gt;='Tallerdata.com'!$X$4,NA(),H86+1)</f>
        <v>#N/A</v>
      </c>
      <c r="I87" s="2" t="n">
        <f aca="false">IFERROR(IF(VLOOKUP(H87,$A$4:$A$33,1,0),1,0),0)</f>
        <v>0</v>
      </c>
      <c r="J87" s="2" t="e">
        <f aca="false">IF(AND($D$4=TRUE(),G87="Sáb"),1,IF(AND($D$5=TRUE(),G87="Dom"),1,0))</f>
        <v>#N/A</v>
      </c>
      <c r="K87" s="2" t="e">
        <f aca="false">IF(L87="No",K86,K86+1)</f>
        <v>#N/A</v>
      </c>
      <c r="L87" s="152" t="e">
        <f aca="false">IF(AND(I87=0,J87=0),H87,"NO")</f>
        <v>#N/A</v>
      </c>
      <c r="N87" s="1" t="n">
        <f aca="false">N86+1</f>
        <v>84</v>
      </c>
      <c r="O87" s="150" t="str">
        <f aca="false">IFERROR(VLOOKUP(N87,$K$4:$L$509,2,0),"")</f>
        <v/>
      </c>
    </row>
    <row r="88" customFormat="false" ht="14.25" hidden="false" customHeight="false" outlineLevel="0" collapsed="false">
      <c r="F88" s="1" t="e">
        <f aca="false">IF(OR(I88=1,J88=1),1,0)</f>
        <v>#N/A</v>
      </c>
      <c r="G88" s="1" t="e">
        <f aca="false">TEXT(H88,"DDD")</f>
        <v>#N/A</v>
      </c>
      <c r="H88" s="150" t="e">
        <f aca="false">IF(H87&gt;='Tallerdata.com'!$X$4,NA(),H87+1)</f>
        <v>#N/A</v>
      </c>
      <c r="I88" s="2" t="n">
        <f aca="false">IFERROR(IF(VLOOKUP(H88,$A$4:$A$33,1,0),1,0),0)</f>
        <v>0</v>
      </c>
      <c r="J88" s="2" t="e">
        <f aca="false">IF(AND($D$4=TRUE(),G88="Sáb"),1,IF(AND($D$5=TRUE(),G88="Dom"),1,0))</f>
        <v>#N/A</v>
      </c>
      <c r="K88" s="2" t="e">
        <f aca="false">IF(L88="No",K87,K87+1)</f>
        <v>#N/A</v>
      </c>
      <c r="L88" s="152" t="e">
        <f aca="false">IF(AND(I88=0,J88=0),H88,"NO")</f>
        <v>#N/A</v>
      </c>
      <c r="N88" s="1" t="n">
        <f aca="false">N87+1</f>
        <v>85</v>
      </c>
      <c r="O88" s="150" t="str">
        <f aca="false">IFERROR(VLOOKUP(N88,$K$4:$L$509,2,0),"")</f>
        <v/>
      </c>
    </row>
    <row r="89" customFormat="false" ht="14.25" hidden="false" customHeight="false" outlineLevel="0" collapsed="false">
      <c r="F89" s="1" t="e">
        <f aca="false">IF(OR(I89=1,J89=1),1,0)</f>
        <v>#N/A</v>
      </c>
      <c r="G89" s="1" t="e">
        <f aca="false">TEXT(H89,"DDD")</f>
        <v>#N/A</v>
      </c>
      <c r="H89" s="150" t="e">
        <f aca="false">IF(H88&gt;='Tallerdata.com'!$X$4,NA(),H88+1)</f>
        <v>#N/A</v>
      </c>
      <c r="I89" s="2" t="n">
        <f aca="false">IFERROR(IF(VLOOKUP(H89,$A$4:$A$33,1,0),1,0),0)</f>
        <v>0</v>
      </c>
      <c r="J89" s="2" t="e">
        <f aca="false">IF(AND($D$4=TRUE(),G89="Sáb"),1,IF(AND($D$5=TRUE(),G89="Dom"),1,0))</f>
        <v>#N/A</v>
      </c>
      <c r="K89" s="2" t="e">
        <f aca="false">IF(L89="No",K88,K88+1)</f>
        <v>#N/A</v>
      </c>
      <c r="L89" s="152" t="e">
        <f aca="false">IF(AND(I89=0,J89=0),H89,"NO")</f>
        <v>#N/A</v>
      </c>
      <c r="N89" s="1" t="n">
        <f aca="false">N88+1</f>
        <v>86</v>
      </c>
      <c r="O89" s="150" t="str">
        <f aca="false">IFERROR(VLOOKUP(N89,$K$4:$L$509,2,0),"")</f>
        <v/>
      </c>
    </row>
    <row r="90" customFormat="false" ht="14.25" hidden="false" customHeight="false" outlineLevel="0" collapsed="false">
      <c r="F90" s="1" t="e">
        <f aca="false">IF(OR(I90=1,J90=1),1,0)</f>
        <v>#N/A</v>
      </c>
      <c r="G90" s="1" t="e">
        <f aca="false">TEXT(H90,"DDD")</f>
        <v>#N/A</v>
      </c>
      <c r="H90" s="150" t="e">
        <f aca="false">IF(H89&gt;='Tallerdata.com'!$X$4,NA(),H89+1)</f>
        <v>#N/A</v>
      </c>
      <c r="I90" s="2" t="n">
        <f aca="false">IFERROR(IF(VLOOKUP(H90,$A$4:$A$33,1,0),1,0),0)</f>
        <v>0</v>
      </c>
      <c r="J90" s="2" t="e">
        <f aca="false">IF(AND($D$4=TRUE(),G90="Sáb"),1,IF(AND($D$5=TRUE(),G90="Dom"),1,0))</f>
        <v>#N/A</v>
      </c>
      <c r="K90" s="2" t="e">
        <f aca="false">IF(L90="No",K89,K89+1)</f>
        <v>#N/A</v>
      </c>
      <c r="L90" s="152" t="e">
        <f aca="false">IF(AND(I90=0,J90=0),H90,"NO")</f>
        <v>#N/A</v>
      </c>
      <c r="N90" s="1" t="n">
        <f aca="false">N89+1</f>
        <v>87</v>
      </c>
      <c r="O90" s="150" t="str">
        <f aca="false">IFERROR(VLOOKUP(N90,$K$4:$L$509,2,0),"")</f>
        <v/>
      </c>
    </row>
    <row r="91" customFormat="false" ht="14.25" hidden="false" customHeight="false" outlineLevel="0" collapsed="false">
      <c r="F91" s="1" t="e">
        <f aca="false">IF(OR(I91=1,J91=1),1,0)</f>
        <v>#N/A</v>
      </c>
      <c r="G91" s="1" t="e">
        <f aca="false">TEXT(H91,"DDD")</f>
        <v>#N/A</v>
      </c>
      <c r="H91" s="150" t="e">
        <f aca="false">IF(H90&gt;='Tallerdata.com'!$X$4,NA(),H90+1)</f>
        <v>#N/A</v>
      </c>
      <c r="I91" s="2" t="n">
        <f aca="false">IFERROR(IF(VLOOKUP(H91,$A$4:$A$33,1,0),1,0),0)</f>
        <v>0</v>
      </c>
      <c r="J91" s="2" t="e">
        <f aca="false">IF(AND($D$4=TRUE(),G91="Sáb"),1,IF(AND($D$5=TRUE(),G91="Dom"),1,0))</f>
        <v>#N/A</v>
      </c>
      <c r="K91" s="2" t="e">
        <f aca="false">IF(L91="No",K90,K90+1)</f>
        <v>#N/A</v>
      </c>
      <c r="L91" s="152" t="e">
        <f aca="false">IF(AND(I91=0,J91=0),H91,"NO")</f>
        <v>#N/A</v>
      </c>
      <c r="N91" s="1" t="n">
        <f aca="false">N90+1</f>
        <v>88</v>
      </c>
      <c r="O91" s="150" t="str">
        <f aca="false">IFERROR(VLOOKUP(N91,$K$4:$L$509,2,0),"")</f>
        <v/>
      </c>
    </row>
    <row r="92" customFormat="false" ht="14.25" hidden="false" customHeight="false" outlineLevel="0" collapsed="false">
      <c r="F92" s="1" t="e">
        <f aca="false">IF(OR(I92=1,J92=1),1,0)</f>
        <v>#N/A</v>
      </c>
      <c r="G92" s="1" t="e">
        <f aca="false">TEXT(H92,"DDD")</f>
        <v>#N/A</v>
      </c>
      <c r="H92" s="150" t="e">
        <f aca="false">IF(H91&gt;='Tallerdata.com'!$X$4,NA(),H91+1)</f>
        <v>#N/A</v>
      </c>
      <c r="I92" s="2" t="n">
        <f aca="false">IFERROR(IF(VLOOKUP(H92,$A$4:$A$33,1,0),1,0),0)</f>
        <v>0</v>
      </c>
      <c r="J92" s="2" t="e">
        <f aca="false">IF(AND($D$4=TRUE(),G92="Sáb"),1,IF(AND($D$5=TRUE(),G92="Dom"),1,0))</f>
        <v>#N/A</v>
      </c>
      <c r="K92" s="2" t="e">
        <f aca="false">IF(L92="No",K91,K91+1)</f>
        <v>#N/A</v>
      </c>
      <c r="L92" s="152" t="e">
        <f aca="false">IF(AND(I92=0,J92=0),H92,"NO")</f>
        <v>#N/A</v>
      </c>
      <c r="N92" s="1" t="n">
        <f aca="false">N91+1</f>
        <v>89</v>
      </c>
      <c r="O92" s="150" t="str">
        <f aca="false">IFERROR(VLOOKUP(N92,$K$4:$L$509,2,0),"")</f>
        <v/>
      </c>
    </row>
    <row r="93" customFormat="false" ht="14.25" hidden="false" customHeight="false" outlineLevel="0" collapsed="false">
      <c r="F93" s="1" t="e">
        <f aca="false">IF(OR(I93=1,J93=1),1,0)</f>
        <v>#N/A</v>
      </c>
      <c r="G93" s="1" t="e">
        <f aca="false">TEXT(H93,"DDD")</f>
        <v>#N/A</v>
      </c>
      <c r="H93" s="150" t="e">
        <f aca="false">IF(H92&gt;='Tallerdata.com'!$X$4,NA(),H92+1)</f>
        <v>#N/A</v>
      </c>
      <c r="I93" s="2" t="n">
        <f aca="false">IFERROR(IF(VLOOKUP(H93,$A$4:$A$33,1,0),1,0),0)</f>
        <v>0</v>
      </c>
      <c r="J93" s="2" t="e">
        <f aca="false">IF(AND($D$4=TRUE(),G93="Sáb"),1,IF(AND($D$5=TRUE(),G93="Dom"),1,0))</f>
        <v>#N/A</v>
      </c>
      <c r="K93" s="2" t="e">
        <f aca="false">IF(L93="No",K92,K92+1)</f>
        <v>#N/A</v>
      </c>
      <c r="L93" s="152" t="e">
        <f aca="false">IF(AND(I93=0,J93=0),H93,"NO")</f>
        <v>#N/A</v>
      </c>
      <c r="N93" s="1" t="n">
        <f aca="false">N92+1</f>
        <v>90</v>
      </c>
      <c r="O93" s="150" t="str">
        <f aca="false">IFERROR(VLOOKUP(N93,$K$4:$L$509,2,0),"")</f>
        <v/>
      </c>
    </row>
    <row r="94" customFormat="false" ht="14.25" hidden="false" customHeight="false" outlineLevel="0" collapsed="false">
      <c r="F94" s="1" t="e">
        <f aca="false">IF(OR(I94=1,J94=1),1,0)</f>
        <v>#N/A</v>
      </c>
      <c r="G94" s="1" t="e">
        <f aca="false">TEXT(H94,"DDD")</f>
        <v>#N/A</v>
      </c>
      <c r="H94" s="150" t="e">
        <f aca="false">IF(H93&gt;='Tallerdata.com'!$X$4,NA(),H93+1)</f>
        <v>#N/A</v>
      </c>
      <c r="I94" s="2" t="n">
        <f aca="false">IFERROR(IF(VLOOKUP(H94,$A$4:$A$33,1,0),1,0),0)</f>
        <v>0</v>
      </c>
      <c r="J94" s="2" t="e">
        <f aca="false">IF(AND($D$4=TRUE(),G94="Sáb"),1,IF(AND($D$5=TRUE(),G94="Dom"),1,0))</f>
        <v>#N/A</v>
      </c>
      <c r="K94" s="2" t="e">
        <f aca="false">IF(L94="No",K93,K93+1)</f>
        <v>#N/A</v>
      </c>
      <c r="L94" s="152" t="e">
        <f aca="false">IF(AND(I94=0,J94=0),H94,"NO")</f>
        <v>#N/A</v>
      </c>
      <c r="N94" s="1" t="n">
        <f aca="false">N93+1</f>
        <v>91</v>
      </c>
      <c r="O94" s="150" t="str">
        <f aca="false">IFERROR(VLOOKUP(N94,$K$4:$L$509,2,0),"")</f>
        <v/>
      </c>
    </row>
    <row r="95" customFormat="false" ht="14.25" hidden="false" customHeight="false" outlineLevel="0" collapsed="false">
      <c r="F95" s="1" t="e">
        <f aca="false">IF(OR(I95=1,J95=1),1,0)</f>
        <v>#N/A</v>
      </c>
      <c r="G95" s="1" t="e">
        <f aca="false">TEXT(H95,"DDD")</f>
        <v>#N/A</v>
      </c>
      <c r="H95" s="150" t="e">
        <f aca="false">IF(H94&gt;='Tallerdata.com'!$X$4,NA(),H94+1)</f>
        <v>#N/A</v>
      </c>
      <c r="I95" s="2" t="n">
        <f aca="false">IFERROR(IF(VLOOKUP(H95,$A$4:$A$33,1,0),1,0),0)</f>
        <v>0</v>
      </c>
      <c r="J95" s="2" t="e">
        <f aca="false">IF(AND($D$4=TRUE(),G95="Sáb"),1,IF(AND($D$5=TRUE(),G95="Dom"),1,0))</f>
        <v>#N/A</v>
      </c>
      <c r="K95" s="2" t="e">
        <f aca="false">IF(L95="No",K94,K94+1)</f>
        <v>#N/A</v>
      </c>
      <c r="L95" s="152" t="e">
        <f aca="false">IF(AND(I95=0,J95=0),H95,"NO")</f>
        <v>#N/A</v>
      </c>
      <c r="N95" s="1" t="n">
        <f aca="false">N94+1</f>
        <v>92</v>
      </c>
      <c r="O95" s="150" t="str">
        <f aca="false">IFERROR(VLOOKUP(N95,$K$4:$L$509,2,0),"")</f>
        <v/>
      </c>
    </row>
    <row r="96" customFormat="false" ht="14.25" hidden="false" customHeight="false" outlineLevel="0" collapsed="false">
      <c r="F96" s="1" t="e">
        <f aca="false">IF(OR(I96=1,J96=1),1,0)</f>
        <v>#N/A</v>
      </c>
      <c r="G96" s="1" t="e">
        <f aca="false">TEXT(H96,"DDD")</f>
        <v>#N/A</v>
      </c>
      <c r="H96" s="150" t="e">
        <f aca="false">IF(H95&gt;='Tallerdata.com'!$X$4,NA(),H95+1)</f>
        <v>#N/A</v>
      </c>
      <c r="I96" s="2" t="n">
        <f aca="false">IFERROR(IF(VLOOKUP(H96,$A$4:$A$33,1,0),1,0),0)</f>
        <v>0</v>
      </c>
      <c r="J96" s="2" t="e">
        <f aca="false">IF(AND($D$4=TRUE(),G96="Sáb"),1,IF(AND($D$5=TRUE(),G96="Dom"),1,0))</f>
        <v>#N/A</v>
      </c>
      <c r="K96" s="2" t="e">
        <f aca="false">IF(L96="No",K95,K95+1)</f>
        <v>#N/A</v>
      </c>
      <c r="L96" s="152" t="e">
        <f aca="false">IF(AND(I96=0,J96=0),H96,"NO")</f>
        <v>#N/A</v>
      </c>
      <c r="N96" s="1" t="n">
        <f aca="false">N95+1</f>
        <v>93</v>
      </c>
      <c r="O96" s="150" t="str">
        <f aca="false">IFERROR(VLOOKUP(N96,$K$4:$L$509,2,0),"")</f>
        <v/>
      </c>
    </row>
    <row r="97" customFormat="false" ht="14.25" hidden="false" customHeight="false" outlineLevel="0" collapsed="false">
      <c r="F97" s="1" t="e">
        <f aca="false">IF(OR(I97=1,J97=1),1,0)</f>
        <v>#N/A</v>
      </c>
      <c r="G97" s="1" t="e">
        <f aca="false">TEXT(H97,"DDD")</f>
        <v>#N/A</v>
      </c>
      <c r="H97" s="150" t="e">
        <f aca="false">IF(H96&gt;='Tallerdata.com'!$X$4,NA(),H96+1)</f>
        <v>#N/A</v>
      </c>
      <c r="I97" s="2" t="n">
        <f aca="false">IFERROR(IF(VLOOKUP(H97,$A$4:$A$33,1,0),1,0),0)</f>
        <v>0</v>
      </c>
      <c r="J97" s="2" t="e">
        <f aca="false">IF(AND($D$4=TRUE(),G97="Sáb"),1,IF(AND($D$5=TRUE(),G97="Dom"),1,0))</f>
        <v>#N/A</v>
      </c>
      <c r="K97" s="2" t="e">
        <f aca="false">IF(L97="No",K96,K96+1)</f>
        <v>#N/A</v>
      </c>
      <c r="L97" s="152" t="e">
        <f aca="false">IF(AND(I97=0,J97=0),H97,"NO")</f>
        <v>#N/A</v>
      </c>
      <c r="N97" s="1" t="n">
        <f aca="false">N96+1</f>
        <v>94</v>
      </c>
      <c r="O97" s="150" t="str">
        <f aca="false">IFERROR(VLOOKUP(N97,$K$4:$L$509,2,0),"")</f>
        <v/>
      </c>
    </row>
    <row r="98" customFormat="false" ht="14.25" hidden="false" customHeight="false" outlineLevel="0" collapsed="false">
      <c r="F98" s="1" t="e">
        <f aca="false">IF(OR(I98=1,J98=1),1,0)</f>
        <v>#N/A</v>
      </c>
      <c r="G98" s="1" t="e">
        <f aca="false">TEXT(H98,"DDD")</f>
        <v>#N/A</v>
      </c>
      <c r="H98" s="150" t="e">
        <f aca="false">IF(H97&gt;='Tallerdata.com'!$X$4,NA(),H97+1)</f>
        <v>#N/A</v>
      </c>
      <c r="I98" s="2" t="n">
        <f aca="false">IFERROR(IF(VLOOKUP(H98,$A$4:$A$33,1,0),1,0),0)</f>
        <v>0</v>
      </c>
      <c r="J98" s="2" t="e">
        <f aca="false">IF(AND($D$4=TRUE(),G98="Sáb"),1,IF(AND($D$5=TRUE(),G98="Dom"),1,0))</f>
        <v>#N/A</v>
      </c>
      <c r="K98" s="2" t="e">
        <f aca="false">IF(L98="No",K97,K97+1)</f>
        <v>#N/A</v>
      </c>
      <c r="L98" s="152" t="e">
        <f aca="false">IF(AND(I98=0,J98=0),H98,"NO")</f>
        <v>#N/A</v>
      </c>
      <c r="N98" s="1" t="n">
        <f aca="false">N97+1</f>
        <v>95</v>
      </c>
      <c r="O98" s="150" t="str">
        <f aca="false">IFERROR(VLOOKUP(N98,$K$4:$L$509,2,0),"")</f>
        <v/>
      </c>
    </row>
    <row r="99" customFormat="false" ht="14.25" hidden="false" customHeight="false" outlineLevel="0" collapsed="false">
      <c r="F99" s="1" t="e">
        <f aca="false">IF(OR(I99=1,J99=1),1,0)</f>
        <v>#N/A</v>
      </c>
      <c r="G99" s="1" t="e">
        <f aca="false">TEXT(H99,"DDD")</f>
        <v>#N/A</v>
      </c>
      <c r="H99" s="150" t="e">
        <f aca="false">IF(H98&gt;='Tallerdata.com'!$X$4,NA(),H98+1)</f>
        <v>#N/A</v>
      </c>
      <c r="I99" s="2" t="n">
        <f aca="false">IFERROR(IF(VLOOKUP(H99,$A$4:$A$33,1,0),1,0),0)</f>
        <v>0</v>
      </c>
      <c r="J99" s="2" t="e">
        <f aca="false">IF(AND($D$4=TRUE(),G99="Sáb"),1,IF(AND($D$5=TRUE(),G99="Dom"),1,0))</f>
        <v>#N/A</v>
      </c>
      <c r="K99" s="2" t="e">
        <f aca="false">IF(L99="No",K98,K98+1)</f>
        <v>#N/A</v>
      </c>
      <c r="L99" s="152" t="e">
        <f aca="false">IF(AND(I99=0,J99=0),H99,"NO")</f>
        <v>#N/A</v>
      </c>
      <c r="N99" s="1" t="n">
        <f aca="false">N98+1</f>
        <v>96</v>
      </c>
      <c r="O99" s="150" t="str">
        <f aca="false">IFERROR(VLOOKUP(N99,$K$4:$L$509,2,0),"")</f>
        <v/>
      </c>
    </row>
    <row r="100" customFormat="false" ht="14.25" hidden="false" customHeight="false" outlineLevel="0" collapsed="false">
      <c r="F100" s="1" t="e">
        <f aca="false">IF(OR(I100=1,J100=1),1,0)</f>
        <v>#N/A</v>
      </c>
      <c r="G100" s="1" t="e">
        <f aca="false">TEXT(H100,"DDD")</f>
        <v>#N/A</v>
      </c>
      <c r="H100" s="150" t="e">
        <f aca="false">IF(H99&gt;='Tallerdata.com'!$X$4,NA(),H99+1)</f>
        <v>#N/A</v>
      </c>
      <c r="I100" s="2" t="n">
        <f aca="false">IFERROR(IF(VLOOKUP(H100,$A$4:$A$33,1,0),1,0),0)</f>
        <v>0</v>
      </c>
      <c r="J100" s="2" t="e">
        <f aca="false">IF(AND($D$4=TRUE(),G100="Sáb"),1,IF(AND($D$5=TRUE(),G100="Dom"),1,0))</f>
        <v>#N/A</v>
      </c>
      <c r="K100" s="2" t="e">
        <f aca="false">IF(L100="No",K99,K99+1)</f>
        <v>#N/A</v>
      </c>
      <c r="L100" s="152" t="e">
        <f aca="false">IF(AND(I100=0,J100=0),H100,"NO")</f>
        <v>#N/A</v>
      </c>
      <c r="N100" s="1" t="n">
        <f aca="false">N99+1</f>
        <v>97</v>
      </c>
      <c r="O100" s="150" t="str">
        <f aca="false">IFERROR(VLOOKUP(N100,$K$4:$L$509,2,0),"")</f>
        <v/>
      </c>
    </row>
    <row r="101" customFormat="false" ht="14.25" hidden="false" customHeight="false" outlineLevel="0" collapsed="false">
      <c r="F101" s="1" t="e">
        <f aca="false">IF(OR(I101=1,J101=1),1,0)</f>
        <v>#N/A</v>
      </c>
      <c r="G101" s="1" t="e">
        <f aca="false">TEXT(H101,"DDD")</f>
        <v>#N/A</v>
      </c>
      <c r="H101" s="150" t="e">
        <f aca="false">IF(H100&gt;='Tallerdata.com'!$X$4,NA(),H100+1)</f>
        <v>#N/A</v>
      </c>
      <c r="I101" s="2" t="n">
        <f aca="false">IFERROR(IF(VLOOKUP(H101,$A$4:$A$33,1,0),1,0),0)</f>
        <v>0</v>
      </c>
      <c r="J101" s="2" t="e">
        <f aca="false">IF(AND($D$4=TRUE(),G101="Sáb"),1,IF(AND($D$5=TRUE(),G101="Dom"),1,0))</f>
        <v>#N/A</v>
      </c>
      <c r="K101" s="2" t="e">
        <f aca="false">IF(L101="No",K100,K100+1)</f>
        <v>#N/A</v>
      </c>
      <c r="L101" s="152" t="e">
        <f aca="false">IF(AND(I101=0,J101=0),H101,"NO")</f>
        <v>#N/A</v>
      </c>
      <c r="N101" s="1" t="n">
        <f aca="false">N100+1</f>
        <v>98</v>
      </c>
      <c r="O101" s="150" t="str">
        <f aca="false">IFERROR(VLOOKUP(N101,$K$4:$L$509,2,0),"")</f>
        <v/>
      </c>
    </row>
    <row r="102" customFormat="false" ht="14.25" hidden="false" customHeight="false" outlineLevel="0" collapsed="false">
      <c r="F102" s="1" t="e">
        <f aca="false">IF(OR(I102=1,J102=1),1,0)</f>
        <v>#N/A</v>
      </c>
      <c r="G102" s="1" t="e">
        <f aca="false">TEXT(H102,"DDD")</f>
        <v>#N/A</v>
      </c>
      <c r="H102" s="150" t="e">
        <f aca="false">IF(H101&gt;='Tallerdata.com'!$X$4,NA(),H101+1)</f>
        <v>#N/A</v>
      </c>
      <c r="I102" s="2" t="n">
        <f aca="false">IFERROR(IF(VLOOKUP(H102,$A$4:$A$33,1,0),1,0),0)</f>
        <v>0</v>
      </c>
      <c r="J102" s="2" t="e">
        <f aca="false">IF(AND($D$4=TRUE(),G102="Sáb"),1,IF(AND($D$5=TRUE(),G102="Dom"),1,0))</f>
        <v>#N/A</v>
      </c>
      <c r="K102" s="2" t="e">
        <f aca="false">IF(L102="No",K101,K101+1)</f>
        <v>#N/A</v>
      </c>
      <c r="L102" s="152" t="e">
        <f aca="false">IF(AND(I102=0,J102=0),H102,"NO")</f>
        <v>#N/A</v>
      </c>
      <c r="N102" s="1" t="n">
        <f aca="false">N101+1</f>
        <v>99</v>
      </c>
      <c r="O102" s="150" t="str">
        <f aca="false">IFERROR(VLOOKUP(N102,$K$4:$L$509,2,0),"")</f>
        <v/>
      </c>
    </row>
    <row r="103" customFormat="false" ht="14.25" hidden="false" customHeight="false" outlineLevel="0" collapsed="false">
      <c r="F103" s="1" t="e">
        <f aca="false">IF(OR(I103=1,J103=1),1,0)</f>
        <v>#N/A</v>
      </c>
      <c r="G103" s="1" t="e">
        <f aca="false">TEXT(H103,"DDD")</f>
        <v>#N/A</v>
      </c>
      <c r="H103" s="150" t="e">
        <f aca="false">IF(H102&gt;='Tallerdata.com'!$X$4,NA(),H102+1)</f>
        <v>#N/A</v>
      </c>
      <c r="I103" s="2" t="n">
        <f aca="false">IFERROR(IF(VLOOKUP(H103,$A$4:$A$33,1,0),1,0),0)</f>
        <v>0</v>
      </c>
      <c r="J103" s="2" t="e">
        <f aca="false">IF(AND($D$4=TRUE(),G103="Sáb"),1,IF(AND($D$5=TRUE(),G103="Dom"),1,0))</f>
        <v>#N/A</v>
      </c>
      <c r="K103" s="2" t="e">
        <f aca="false">IF(L103="No",K102,K102+1)</f>
        <v>#N/A</v>
      </c>
      <c r="L103" s="152" t="e">
        <f aca="false">IF(AND(I103=0,J103=0),H103,"NO")</f>
        <v>#N/A</v>
      </c>
      <c r="N103" s="1" t="n">
        <f aca="false">N102+1</f>
        <v>100</v>
      </c>
      <c r="O103" s="150" t="str">
        <f aca="false">IFERROR(VLOOKUP(N103,$K$4:$L$509,2,0),"")</f>
        <v/>
      </c>
    </row>
    <row r="104" customFormat="false" ht="14.25" hidden="false" customHeight="false" outlineLevel="0" collapsed="false">
      <c r="F104" s="1" t="e">
        <f aca="false">IF(OR(I104=1,J104=1),1,0)</f>
        <v>#N/A</v>
      </c>
      <c r="G104" s="1" t="e">
        <f aca="false">TEXT(H104,"DDD")</f>
        <v>#N/A</v>
      </c>
      <c r="H104" s="150" t="e">
        <f aca="false">IF(H103&gt;='Tallerdata.com'!$X$4,NA(),H103+1)</f>
        <v>#N/A</v>
      </c>
      <c r="I104" s="2" t="n">
        <f aca="false">IFERROR(IF(VLOOKUP(H104,$A$4:$A$33,1,0),1,0),0)</f>
        <v>0</v>
      </c>
      <c r="J104" s="2" t="e">
        <f aca="false">IF(AND($D$4=TRUE(),G104="Sáb"),1,IF(AND($D$5=TRUE(),G104="Dom"),1,0))</f>
        <v>#N/A</v>
      </c>
      <c r="K104" s="2" t="e">
        <f aca="false">IF(L104="No",K103,K103+1)</f>
        <v>#N/A</v>
      </c>
      <c r="L104" s="152" t="e">
        <f aca="false">IF(AND(I104=0,J104=0),H104,"NO")</f>
        <v>#N/A</v>
      </c>
      <c r="N104" s="1" t="n">
        <f aca="false">N103+1</f>
        <v>101</v>
      </c>
      <c r="O104" s="150" t="str">
        <f aca="false">IFERROR(VLOOKUP(N104,$K$4:$L$509,2,0),"")</f>
        <v/>
      </c>
    </row>
    <row r="105" customFormat="false" ht="14.25" hidden="false" customHeight="false" outlineLevel="0" collapsed="false">
      <c r="F105" s="1" t="e">
        <f aca="false">IF(OR(I105=1,J105=1),1,0)</f>
        <v>#N/A</v>
      </c>
      <c r="G105" s="1" t="e">
        <f aca="false">TEXT(H105,"DDD")</f>
        <v>#N/A</v>
      </c>
      <c r="H105" s="150" t="e">
        <f aca="false">IF(H104&gt;='Tallerdata.com'!$X$4,NA(),H104+1)</f>
        <v>#N/A</v>
      </c>
      <c r="I105" s="2" t="n">
        <f aca="false">IFERROR(IF(VLOOKUP(H105,$A$4:$A$33,1,0),1,0),0)</f>
        <v>0</v>
      </c>
      <c r="J105" s="2" t="e">
        <f aca="false">IF(AND($D$4=TRUE(),G105="Sáb"),1,IF(AND($D$5=TRUE(),G105="Dom"),1,0))</f>
        <v>#N/A</v>
      </c>
      <c r="K105" s="2" t="e">
        <f aca="false">IF(L105="No",K104,K104+1)</f>
        <v>#N/A</v>
      </c>
      <c r="L105" s="152" t="e">
        <f aca="false">IF(AND(I105=0,J105=0),H105,"NO")</f>
        <v>#N/A</v>
      </c>
      <c r="N105" s="1" t="n">
        <f aca="false">N104+1</f>
        <v>102</v>
      </c>
      <c r="O105" s="150" t="str">
        <f aca="false">IFERROR(VLOOKUP(N105,$K$4:$L$509,2,0),"")</f>
        <v/>
      </c>
    </row>
    <row r="106" customFormat="false" ht="14.25" hidden="false" customHeight="false" outlineLevel="0" collapsed="false">
      <c r="F106" s="1" t="e">
        <f aca="false">IF(OR(I106=1,J106=1),1,0)</f>
        <v>#N/A</v>
      </c>
      <c r="G106" s="1" t="e">
        <f aca="false">TEXT(H106,"DDD")</f>
        <v>#N/A</v>
      </c>
      <c r="H106" s="150" t="e">
        <f aca="false">IF(H105&gt;='Tallerdata.com'!$X$4,NA(),H105+1)</f>
        <v>#N/A</v>
      </c>
      <c r="I106" s="2" t="n">
        <f aca="false">IFERROR(IF(VLOOKUP(H106,$A$4:$A$33,1,0),1,0),0)</f>
        <v>0</v>
      </c>
      <c r="J106" s="2" t="e">
        <f aca="false">IF(AND($D$4=TRUE(),G106="Sáb"),1,IF(AND($D$5=TRUE(),G106="Dom"),1,0))</f>
        <v>#N/A</v>
      </c>
      <c r="K106" s="2" t="e">
        <f aca="false">IF(L106="No",K105,K105+1)</f>
        <v>#N/A</v>
      </c>
      <c r="L106" s="152" t="e">
        <f aca="false">IF(AND(I106=0,J106=0),H106,"NO")</f>
        <v>#N/A</v>
      </c>
      <c r="N106" s="1" t="n">
        <f aca="false">N105+1</f>
        <v>103</v>
      </c>
      <c r="O106" s="150" t="str">
        <f aca="false">IFERROR(VLOOKUP(N106,$K$4:$L$509,2,0),"")</f>
        <v/>
      </c>
    </row>
    <row r="107" customFormat="false" ht="14.25" hidden="false" customHeight="false" outlineLevel="0" collapsed="false">
      <c r="F107" s="1" t="e">
        <f aca="false">IF(OR(I107=1,J107=1),1,0)</f>
        <v>#N/A</v>
      </c>
      <c r="G107" s="1" t="e">
        <f aca="false">TEXT(H107,"DDD")</f>
        <v>#N/A</v>
      </c>
      <c r="H107" s="150" t="e">
        <f aca="false">IF(H106&gt;='Tallerdata.com'!$X$4,NA(),H106+1)</f>
        <v>#N/A</v>
      </c>
      <c r="I107" s="2" t="n">
        <f aca="false">IFERROR(IF(VLOOKUP(H107,$A$4:$A$33,1,0),1,0),0)</f>
        <v>0</v>
      </c>
      <c r="J107" s="2" t="e">
        <f aca="false">IF(AND($D$4=TRUE(),G107="Sáb"),1,IF(AND($D$5=TRUE(),G107="Dom"),1,0))</f>
        <v>#N/A</v>
      </c>
      <c r="K107" s="2" t="e">
        <f aca="false">IF(L107="No",K106,K106+1)</f>
        <v>#N/A</v>
      </c>
      <c r="L107" s="152" t="e">
        <f aca="false">IF(AND(I107=0,J107=0),H107,"NO")</f>
        <v>#N/A</v>
      </c>
      <c r="N107" s="1" t="n">
        <f aca="false">N106+1</f>
        <v>104</v>
      </c>
      <c r="O107" s="150" t="str">
        <f aca="false">IFERROR(VLOOKUP(N107,$K$4:$L$509,2,0),"")</f>
        <v/>
      </c>
    </row>
    <row r="108" customFormat="false" ht="14.25" hidden="false" customHeight="false" outlineLevel="0" collapsed="false">
      <c r="F108" s="1" t="e">
        <f aca="false">IF(OR(I108=1,J108=1),1,0)</f>
        <v>#N/A</v>
      </c>
      <c r="G108" s="1" t="e">
        <f aca="false">TEXT(H108,"DDD")</f>
        <v>#N/A</v>
      </c>
      <c r="H108" s="150" t="e">
        <f aca="false">IF(H107&gt;='Tallerdata.com'!$X$4,NA(),H107+1)</f>
        <v>#N/A</v>
      </c>
      <c r="I108" s="2" t="n">
        <f aca="false">IFERROR(IF(VLOOKUP(H108,$A$4:$A$33,1,0),1,0),0)</f>
        <v>0</v>
      </c>
      <c r="J108" s="2" t="e">
        <f aca="false">IF(AND($D$4=TRUE(),G108="Sáb"),1,IF(AND($D$5=TRUE(),G108="Dom"),1,0))</f>
        <v>#N/A</v>
      </c>
      <c r="K108" s="2" t="e">
        <f aca="false">IF(L108="No",K107,K107+1)</f>
        <v>#N/A</v>
      </c>
      <c r="L108" s="152" t="e">
        <f aca="false">IF(AND(I108=0,J108=0),H108,"NO")</f>
        <v>#N/A</v>
      </c>
      <c r="N108" s="1" t="n">
        <f aca="false">N107+1</f>
        <v>105</v>
      </c>
      <c r="O108" s="150" t="str">
        <f aca="false">IFERROR(VLOOKUP(N108,$K$4:$L$509,2,0),"")</f>
        <v/>
      </c>
    </row>
    <row r="109" customFormat="false" ht="14.25" hidden="false" customHeight="false" outlineLevel="0" collapsed="false">
      <c r="F109" s="1" t="e">
        <f aca="false">IF(OR(I109=1,J109=1),1,0)</f>
        <v>#N/A</v>
      </c>
      <c r="G109" s="1" t="e">
        <f aca="false">TEXT(H109,"DDD")</f>
        <v>#N/A</v>
      </c>
      <c r="H109" s="150" t="e">
        <f aca="false">IF(H108&gt;='Tallerdata.com'!$X$4,NA(),H108+1)</f>
        <v>#N/A</v>
      </c>
      <c r="I109" s="2" t="n">
        <f aca="false">IFERROR(IF(VLOOKUP(H109,$A$4:$A$33,1,0),1,0),0)</f>
        <v>0</v>
      </c>
      <c r="J109" s="2" t="e">
        <f aca="false">IF(AND($D$4=TRUE(),G109="Sáb"),1,IF(AND($D$5=TRUE(),G109="Dom"),1,0))</f>
        <v>#N/A</v>
      </c>
      <c r="K109" s="2" t="e">
        <f aca="false">IF(L109="No",K108,K108+1)</f>
        <v>#N/A</v>
      </c>
      <c r="L109" s="152" t="e">
        <f aca="false">IF(AND(I109=0,J109=0),H109,"NO")</f>
        <v>#N/A</v>
      </c>
      <c r="N109" s="1" t="n">
        <f aca="false">N108+1</f>
        <v>106</v>
      </c>
      <c r="O109" s="150" t="str">
        <f aca="false">IFERROR(VLOOKUP(N109,$K$4:$L$509,2,0),"")</f>
        <v/>
      </c>
    </row>
    <row r="110" customFormat="false" ht="14.25" hidden="false" customHeight="false" outlineLevel="0" collapsed="false">
      <c r="F110" s="1" t="e">
        <f aca="false">IF(OR(I110=1,J110=1),1,0)</f>
        <v>#N/A</v>
      </c>
      <c r="G110" s="1" t="e">
        <f aca="false">TEXT(H110,"DDD")</f>
        <v>#N/A</v>
      </c>
      <c r="H110" s="150" t="e">
        <f aca="false">IF(H109&gt;='Tallerdata.com'!$X$4,NA(),H109+1)</f>
        <v>#N/A</v>
      </c>
      <c r="I110" s="2" t="n">
        <f aca="false">IFERROR(IF(VLOOKUP(H110,$A$4:$A$33,1,0),1,0),0)</f>
        <v>0</v>
      </c>
      <c r="J110" s="2" t="e">
        <f aca="false">IF(AND($D$4=TRUE(),G110="Sáb"),1,IF(AND($D$5=TRUE(),G110="Dom"),1,0))</f>
        <v>#N/A</v>
      </c>
      <c r="K110" s="2" t="e">
        <f aca="false">IF(L110="No",K109,K109+1)</f>
        <v>#N/A</v>
      </c>
      <c r="L110" s="152" t="e">
        <f aca="false">IF(AND(I110=0,J110=0),H110,"NO")</f>
        <v>#N/A</v>
      </c>
      <c r="N110" s="1" t="n">
        <f aca="false">N109+1</f>
        <v>107</v>
      </c>
      <c r="O110" s="150" t="str">
        <f aca="false">IFERROR(VLOOKUP(N110,$K$4:$L$509,2,0),"")</f>
        <v/>
      </c>
    </row>
    <row r="111" customFormat="false" ht="14.25" hidden="false" customHeight="false" outlineLevel="0" collapsed="false">
      <c r="F111" s="1" t="e">
        <f aca="false">IF(OR(I111=1,J111=1),1,0)</f>
        <v>#N/A</v>
      </c>
      <c r="G111" s="1" t="e">
        <f aca="false">TEXT(H111,"DDD")</f>
        <v>#N/A</v>
      </c>
      <c r="H111" s="150" t="e">
        <f aca="false">IF(H110&gt;='Tallerdata.com'!$X$4,NA(),H110+1)</f>
        <v>#N/A</v>
      </c>
      <c r="I111" s="2" t="n">
        <f aca="false">IFERROR(IF(VLOOKUP(H111,$A$4:$A$33,1,0),1,0),0)</f>
        <v>0</v>
      </c>
      <c r="J111" s="2" t="e">
        <f aca="false">IF(AND($D$4=TRUE(),G111="Sáb"),1,IF(AND($D$5=TRUE(),G111="Dom"),1,0))</f>
        <v>#N/A</v>
      </c>
      <c r="K111" s="2" t="e">
        <f aca="false">IF(L111="No",K110,K110+1)</f>
        <v>#N/A</v>
      </c>
      <c r="L111" s="152" t="e">
        <f aca="false">IF(AND(I111=0,J111=0),H111,"NO")</f>
        <v>#N/A</v>
      </c>
      <c r="N111" s="1" t="n">
        <f aca="false">N110+1</f>
        <v>108</v>
      </c>
      <c r="O111" s="150" t="str">
        <f aca="false">IFERROR(VLOOKUP(N111,$K$4:$L$509,2,0),"")</f>
        <v/>
      </c>
    </row>
    <row r="112" customFormat="false" ht="14.25" hidden="false" customHeight="false" outlineLevel="0" collapsed="false">
      <c r="F112" s="1" t="e">
        <f aca="false">IF(OR(I112=1,J112=1),1,0)</f>
        <v>#N/A</v>
      </c>
      <c r="G112" s="1" t="e">
        <f aca="false">TEXT(H112,"DDD")</f>
        <v>#N/A</v>
      </c>
      <c r="H112" s="150" t="e">
        <f aca="false">IF(H111&gt;='Tallerdata.com'!$X$4,NA(),H111+1)</f>
        <v>#N/A</v>
      </c>
      <c r="I112" s="2" t="n">
        <f aca="false">IFERROR(IF(VLOOKUP(H112,$A$4:$A$33,1,0),1,0),0)</f>
        <v>0</v>
      </c>
      <c r="J112" s="2" t="e">
        <f aca="false">IF(AND($D$4=TRUE(),G112="Sáb"),1,IF(AND($D$5=TRUE(),G112="Dom"),1,0))</f>
        <v>#N/A</v>
      </c>
      <c r="K112" s="2" t="e">
        <f aca="false">IF(L112="No",K111,K111+1)</f>
        <v>#N/A</v>
      </c>
      <c r="L112" s="152" t="e">
        <f aca="false">IF(AND(I112=0,J112=0),H112,"NO")</f>
        <v>#N/A</v>
      </c>
      <c r="N112" s="1" t="n">
        <f aca="false">N111+1</f>
        <v>109</v>
      </c>
      <c r="O112" s="150" t="str">
        <f aca="false">IFERROR(VLOOKUP(N112,$K$4:$L$509,2,0),"")</f>
        <v/>
      </c>
    </row>
    <row r="113" customFormat="false" ht="14.25" hidden="false" customHeight="false" outlineLevel="0" collapsed="false">
      <c r="F113" s="1" t="e">
        <f aca="false">IF(OR(I113=1,J113=1),1,0)</f>
        <v>#N/A</v>
      </c>
      <c r="G113" s="1" t="e">
        <f aca="false">TEXT(H113,"DDD")</f>
        <v>#N/A</v>
      </c>
      <c r="H113" s="150" t="e">
        <f aca="false">IF(H112&gt;='Tallerdata.com'!$X$4,NA(),H112+1)</f>
        <v>#N/A</v>
      </c>
      <c r="I113" s="2" t="n">
        <f aca="false">IFERROR(IF(VLOOKUP(H113,$A$4:$A$33,1,0),1,0),0)</f>
        <v>0</v>
      </c>
      <c r="J113" s="2" t="e">
        <f aca="false">IF(AND($D$4=TRUE(),G113="Sáb"),1,IF(AND($D$5=TRUE(),G113="Dom"),1,0))</f>
        <v>#N/A</v>
      </c>
      <c r="K113" s="2" t="e">
        <f aca="false">IF(L113="No",K112,K112+1)</f>
        <v>#N/A</v>
      </c>
      <c r="L113" s="152" t="e">
        <f aca="false">IF(AND(I113=0,J113=0),H113,"NO")</f>
        <v>#N/A</v>
      </c>
      <c r="N113" s="1" t="n">
        <f aca="false">N112+1</f>
        <v>110</v>
      </c>
      <c r="O113" s="150" t="str">
        <f aca="false">IFERROR(VLOOKUP(N113,$K$4:$L$509,2,0),"")</f>
        <v/>
      </c>
    </row>
    <row r="114" customFormat="false" ht="14.25" hidden="false" customHeight="false" outlineLevel="0" collapsed="false">
      <c r="F114" s="1" t="e">
        <f aca="false">IF(OR(I114=1,J114=1),1,0)</f>
        <v>#N/A</v>
      </c>
      <c r="G114" s="1" t="e">
        <f aca="false">TEXT(H114,"DDD")</f>
        <v>#N/A</v>
      </c>
      <c r="H114" s="150" t="e">
        <f aca="false">IF(H113&gt;='Tallerdata.com'!$X$4,NA(),H113+1)</f>
        <v>#N/A</v>
      </c>
      <c r="I114" s="2" t="n">
        <f aca="false">IFERROR(IF(VLOOKUP(H114,$A$4:$A$33,1,0),1,0),0)</f>
        <v>0</v>
      </c>
      <c r="J114" s="2" t="e">
        <f aca="false">IF(AND($D$4=TRUE(),G114="Sáb"),1,IF(AND($D$5=TRUE(),G114="Dom"),1,0))</f>
        <v>#N/A</v>
      </c>
      <c r="K114" s="2" t="e">
        <f aca="false">IF(L114="No",K113,K113+1)</f>
        <v>#N/A</v>
      </c>
      <c r="L114" s="152" t="e">
        <f aca="false">IF(AND(I114=0,J114=0),H114,"NO")</f>
        <v>#N/A</v>
      </c>
      <c r="N114" s="1" t="n">
        <f aca="false">N113+1</f>
        <v>111</v>
      </c>
      <c r="O114" s="150" t="str">
        <f aca="false">IFERROR(VLOOKUP(N114,$K$4:$L$509,2,0),"")</f>
        <v/>
      </c>
    </row>
    <row r="115" customFormat="false" ht="14.25" hidden="false" customHeight="false" outlineLevel="0" collapsed="false">
      <c r="F115" s="1" t="e">
        <f aca="false">IF(OR(I115=1,J115=1),1,0)</f>
        <v>#N/A</v>
      </c>
      <c r="G115" s="1" t="e">
        <f aca="false">TEXT(H115,"DDD")</f>
        <v>#N/A</v>
      </c>
      <c r="H115" s="150" t="e">
        <f aca="false">IF(H114&gt;='Tallerdata.com'!$X$4,NA(),H114+1)</f>
        <v>#N/A</v>
      </c>
      <c r="I115" s="2" t="n">
        <f aca="false">IFERROR(IF(VLOOKUP(H115,$A$4:$A$33,1,0),1,0),0)</f>
        <v>0</v>
      </c>
      <c r="J115" s="2" t="e">
        <f aca="false">IF(AND($D$4=TRUE(),G115="Sáb"),1,IF(AND($D$5=TRUE(),G115="Dom"),1,0))</f>
        <v>#N/A</v>
      </c>
      <c r="K115" s="2" t="e">
        <f aca="false">IF(L115="No",K114,K114+1)</f>
        <v>#N/A</v>
      </c>
      <c r="L115" s="152" t="e">
        <f aca="false">IF(AND(I115=0,J115=0),H115,"NO")</f>
        <v>#N/A</v>
      </c>
      <c r="N115" s="1" t="n">
        <f aca="false">N114+1</f>
        <v>112</v>
      </c>
      <c r="O115" s="150" t="str">
        <f aca="false">IFERROR(VLOOKUP(N115,$K$4:$L$509,2,0),"")</f>
        <v/>
      </c>
    </row>
    <row r="116" customFormat="false" ht="14.25" hidden="false" customHeight="false" outlineLevel="0" collapsed="false">
      <c r="F116" s="1" t="e">
        <f aca="false">IF(OR(I116=1,J116=1),1,0)</f>
        <v>#N/A</v>
      </c>
      <c r="G116" s="1" t="e">
        <f aca="false">TEXT(H116,"DDD")</f>
        <v>#N/A</v>
      </c>
      <c r="H116" s="150" t="e">
        <f aca="false">IF(H115&gt;='Tallerdata.com'!$X$4,NA(),H115+1)</f>
        <v>#N/A</v>
      </c>
      <c r="I116" s="2" t="n">
        <f aca="false">IFERROR(IF(VLOOKUP(H116,$A$4:$A$33,1,0),1,0),0)</f>
        <v>0</v>
      </c>
      <c r="J116" s="2" t="e">
        <f aca="false">IF(AND($D$4=TRUE(),G116="Sáb"),1,IF(AND($D$5=TRUE(),G116="Dom"),1,0))</f>
        <v>#N/A</v>
      </c>
      <c r="K116" s="2" t="e">
        <f aca="false">IF(L116="No",K115,K115+1)</f>
        <v>#N/A</v>
      </c>
      <c r="L116" s="152" t="e">
        <f aca="false">IF(AND(I116=0,J116=0),H116,"NO")</f>
        <v>#N/A</v>
      </c>
      <c r="N116" s="1" t="n">
        <f aca="false">N115+1</f>
        <v>113</v>
      </c>
      <c r="O116" s="150" t="str">
        <f aca="false">IFERROR(VLOOKUP(N116,$K$4:$L$509,2,0),"")</f>
        <v/>
      </c>
    </row>
    <row r="117" customFormat="false" ht="14.25" hidden="false" customHeight="false" outlineLevel="0" collapsed="false">
      <c r="F117" s="1" t="e">
        <f aca="false">IF(OR(I117=1,J117=1),1,0)</f>
        <v>#N/A</v>
      </c>
      <c r="G117" s="1" t="e">
        <f aca="false">TEXT(H117,"DDD")</f>
        <v>#N/A</v>
      </c>
      <c r="H117" s="150" t="e">
        <f aca="false">IF(H116&gt;='Tallerdata.com'!$X$4,NA(),H116+1)</f>
        <v>#N/A</v>
      </c>
      <c r="I117" s="2" t="n">
        <f aca="false">IFERROR(IF(VLOOKUP(H117,$A$4:$A$33,1,0),1,0),0)</f>
        <v>0</v>
      </c>
      <c r="J117" s="2" t="e">
        <f aca="false">IF(AND($D$4=TRUE(),G117="Sáb"),1,IF(AND($D$5=TRUE(),G117="Dom"),1,0))</f>
        <v>#N/A</v>
      </c>
      <c r="K117" s="2" t="e">
        <f aca="false">IF(L117="No",K116,K116+1)</f>
        <v>#N/A</v>
      </c>
      <c r="L117" s="152" t="e">
        <f aca="false">IF(AND(I117=0,J117=0),H117,"NO")</f>
        <v>#N/A</v>
      </c>
      <c r="N117" s="1" t="n">
        <f aca="false">N116+1</f>
        <v>114</v>
      </c>
      <c r="O117" s="150" t="str">
        <f aca="false">IFERROR(VLOOKUP(N117,$K$4:$L$509,2,0),"")</f>
        <v/>
      </c>
    </row>
    <row r="118" customFormat="false" ht="14.25" hidden="false" customHeight="false" outlineLevel="0" collapsed="false">
      <c r="F118" s="1" t="e">
        <f aca="false">IF(OR(I118=1,J118=1),1,0)</f>
        <v>#N/A</v>
      </c>
      <c r="G118" s="1" t="e">
        <f aca="false">TEXT(H118,"DDD")</f>
        <v>#N/A</v>
      </c>
      <c r="H118" s="150" t="e">
        <f aca="false">IF(H117&gt;='Tallerdata.com'!$X$4,NA(),H117+1)</f>
        <v>#N/A</v>
      </c>
      <c r="I118" s="2" t="n">
        <f aca="false">IFERROR(IF(VLOOKUP(H118,$A$4:$A$33,1,0),1,0),0)</f>
        <v>0</v>
      </c>
      <c r="J118" s="2" t="e">
        <f aca="false">IF(AND($D$4=TRUE(),G118="Sáb"),1,IF(AND($D$5=TRUE(),G118="Dom"),1,0))</f>
        <v>#N/A</v>
      </c>
      <c r="K118" s="2" t="e">
        <f aca="false">IF(L118="No",K117,K117+1)</f>
        <v>#N/A</v>
      </c>
      <c r="L118" s="152" t="e">
        <f aca="false">IF(AND(I118=0,J118=0),H118,"NO")</f>
        <v>#N/A</v>
      </c>
      <c r="N118" s="1" t="n">
        <f aca="false">N117+1</f>
        <v>115</v>
      </c>
      <c r="O118" s="150" t="str">
        <f aca="false">IFERROR(VLOOKUP(N118,$K$4:$L$509,2,0),"")</f>
        <v/>
      </c>
    </row>
    <row r="119" customFormat="false" ht="14.25" hidden="false" customHeight="false" outlineLevel="0" collapsed="false">
      <c r="F119" s="1" t="e">
        <f aca="false">IF(OR(I119=1,J119=1),1,0)</f>
        <v>#N/A</v>
      </c>
      <c r="G119" s="1" t="e">
        <f aca="false">TEXT(H119,"DDD")</f>
        <v>#N/A</v>
      </c>
      <c r="H119" s="150" t="e">
        <f aca="false">IF(H118&gt;='Tallerdata.com'!$X$4,NA(),H118+1)</f>
        <v>#N/A</v>
      </c>
      <c r="I119" s="2" t="n">
        <f aca="false">IFERROR(IF(VLOOKUP(H119,$A$4:$A$33,1,0),1,0),0)</f>
        <v>0</v>
      </c>
      <c r="J119" s="2" t="e">
        <f aca="false">IF(AND($D$4=TRUE(),G119="Sáb"),1,IF(AND($D$5=TRUE(),G119="Dom"),1,0))</f>
        <v>#N/A</v>
      </c>
      <c r="K119" s="2" t="e">
        <f aca="false">IF(L119="No",K118,K118+1)</f>
        <v>#N/A</v>
      </c>
      <c r="L119" s="152" t="e">
        <f aca="false">IF(AND(I119=0,J119=0),H119,"NO")</f>
        <v>#N/A</v>
      </c>
      <c r="N119" s="1" t="n">
        <f aca="false">N118+1</f>
        <v>116</v>
      </c>
      <c r="O119" s="150" t="str">
        <f aca="false">IFERROR(VLOOKUP(N119,$K$4:$L$509,2,0),"")</f>
        <v/>
      </c>
    </row>
    <row r="120" customFormat="false" ht="14.25" hidden="false" customHeight="false" outlineLevel="0" collapsed="false">
      <c r="F120" s="1" t="e">
        <f aca="false">IF(OR(I120=1,J120=1),1,0)</f>
        <v>#N/A</v>
      </c>
      <c r="G120" s="1" t="e">
        <f aca="false">TEXT(H120,"DDD")</f>
        <v>#N/A</v>
      </c>
      <c r="H120" s="150" t="e">
        <f aca="false">IF(H119&gt;='Tallerdata.com'!$X$4,NA(),H119+1)</f>
        <v>#N/A</v>
      </c>
      <c r="I120" s="2" t="n">
        <f aca="false">IFERROR(IF(VLOOKUP(H120,$A$4:$A$33,1,0),1,0),0)</f>
        <v>0</v>
      </c>
      <c r="J120" s="2" t="e">
        <f aca="false">IF(AND($D$4=TRUE(),G120="Sáb"),1,IF(AND($D$5=TRUE(),G120="Dom"),1,0))</f>
        <v>#N/A</v>
      </c>
      <c r="K120" s="2" t="e">
        <f aca="false">IF(L120="No",K119,K119+1)</f>
        <v>#N/A</v>
      </c>
      <c r="L120" s="152" t="e">
        <f aca="false">IF(AND(I120=0,J120=0),H120,"NO")</f>
        <v>#N/A</v>
      </c>
      <c r="N120" s="1" t="n">
        <f aca="false">N119+1</f>
        <v>117</v>
      </c>
      <c r="O120" s="150" t="str">
        <f aca="false">IFERROR(VLOOKUP(N120,$K$4:$L$509,2,0),"")</f>
        <v/>
      </c>
    </row>
    <row r="121" customFormat="false" ht="14.25" hidden="false" customHeight="false" outlineLevel="0" collapsed="false">
      <c r="F121" s="1" t="e">
        <f aca="false">IF(OR(I121=1,J121=1),1,0)</f>
        <v>#N/A</v>
      </c>
      <c r="G121" s="1" t="e">
        <f aca="false">TEXT(H121,"DDD")</f>
        <v>#N/A</v>
      </c>
      <c r="H121" s="150" t="e">
        <f aca="false">IF(H120&gt;='Tallerdata.com'!$X$4,NA(),H120+1)</f>
        <v>#N/A</v>
      </c>
      <c r="I121" s="2" t="n">
        <f aca="false">IFERROR(IF(VLOOKUP(H121,$A$4:$A$33,1,0),1,0),0)</f>
        <v>0</v>
      </c>
      <c r="J121" s="2" t="e">
        <f aca="false">IF(AND($D$4=TRUE(),G121="Sáb"),1,IF(AND($D$5=TRUE(),G121="Dom"),1,0))</f>
        <v>#N/A</v>
      </c>
      <c r="K121" s="2" t="e">
        <f aca="false">IF(L121="No",K120,K120+1)</f>
        <v>#N/A</v>
      </c>
      <c r="L121" s="152" t="e">
        <f aca="false">IF(AND(I121=0,J121=0),H121,"NO")</f>
        <v>#N/A</v>
      </c>
      <c r="N121" s="1" t="n">
        <f aca="false">N120+1</f>
        <v>118</v>
      </c>
      <c r="O121" s="150" t="str">
        <f aca="false">IFERROR(VLOOKUP(N121,$K$4:$L$509,2,0),"")</f>
        <v/>
      </c>
    </row>
    <row r="122" customFormat="false" ht="14.25" hidden="false" customHeight="false" outlineLevel="0" collapsed="false">
      <c r="F122" s="1" t="e">
        <f aca="false">IF(OR(I122=1,J122=1),1,0)</f>
        <v>#N/A</v>
      </c>
      <c r="G122" s="1" t="e">
        <f aca="false">TEXT(H122,"DDD")</f>
        <v>#N/A</v>
      </c>
      <c r="H122" s="150" t="e">
        <f aca="false">IF(H121&gt;='Tallerdata.com'!$X$4,NA(),H121+1)</f>
        <v>#N/A</v>
      </c>
      <c r="I122" s="2" t="n">
        <f aca="false">IFERROR(IF(VLOOKUP(H122,$A$4:$A$33,1,0),1,0),0)</f>
        <v>0</v>
      </c>
      <c r="J122" s="2" t="e">
        <f aca="false">IF(AND($D$4=TRUE(),G122="Sáb"),1,IF(AND($D$5=TRUE(),G122="Dom"),1,0))</f>
        <v>#N/A</v>
      </c>
      <c r="K122" s="2" t="e">
        <f aca="false">IF(L122="No",K121,K121+1)</f>
        <v>#N/A</v>
      </c>
      <c r="L122" s="152" t="e">
        <f aca="false">IF(AND(I122=0,J122=0),H122,"NO")</f>
        <v>#N/A</v>
      </c>
      <c r="N122" s="1" t="n">
        <f aca="false">N121+1</f>
        <v>119</v>
      </c>
      <c r="O122" s="150" t="str">
        <f aca="false">IFERROR(VLOOKUP(N122,$K$4:$L$509,2,0),"")</f>
        <v/>
      </c>
    </row>
    <row r="123" customFormat="false" ht="14.25" hidden="false" customHeight="false" outlineLevel="0" collapsed="false">
      <c r="F123" s="1" t="e">
        <f aca="false">IF(OR(I123=1,J123=1),1,0)</f>
        <v>#N/A</v>
      </c>
      <c r="G123" s="1" t="e">
        <f aca="false">TEXT(H123,"DDD")</f>
        <v>#N/A</v>
      </c>
      <c r="H123" s="150" t="e">
        <f aca="false">IF(H122&gt;='Tallerdata.com'!$X$4,NA(),H122+1)</f>
        <v>#N/A</v>
      </c>
      <c r="I123" s="2" t="n">
        <f aca="false">IFERROR(IF(VLOOKUP(H123,$A$4:$A$33,1,0),1,0),0)</f>
        <v>0</v>
      </c>
      <c r="J123" s="2" t="e">
        <f aca="false">IF(AND($D$4=TRUE(),G123="Sáb"),1,IF(AND($D$5=TRUE(),G123="Dom"),1,0))</f>
        <v>#N/A</v>
      </c>
      <c r="K123" s="2" t="e">
        <f aca="false">IF(L123="No",K122,K122+1)</f>
        <v>#N/A</v>
      </c>
      <c r="L123" s="152" t="e">
        <f aca="false">IF(AND(I123=0,J123=0),H123,"NO")</f>
        <v>#N/A</v>
      </c>
      <c r="N123" s="1" t="n">
        <f aca="false">N122+1</f>
        <v>120</v>
      </c>
      <c r="O123" s="150" t="str">
        <f aca="false">IFERROR(VLOOKUP(N123,$K$4:$L$509,2,0),"")</f>
        <v/>
      </c>
    </row>
    <row r="124" customFormat="false" ht="14.25" hidden="false" customHeight="false" outlineLevel="0" collapsed="false">
      <c r="F124" s="1" t="e">
        <f aca="false">IF(OR(I124=1,J124=1),1,0)</f>
        <v>#N/A</v>
      </c>
      <c r="G124" s="1" t="e">
        <f aca="false">TEXT(H124,"DDD")</f>
        <v>#N/A</v>
      </c>
      <c r="H124" s="150" t="e">
        <f aca="false">IF(H123&gt;='Tallerdata.com'!$X$4,NA(),H123+1)</f>
        <v>#N/A</v>
      </c>
      <c r="I124" s="2" t="n">
        <f aca="false">IFERROR(IF(VLOOKUP(H124,$A$4:$A$33,1,0),1,0),0)</f>
        <v>0</v>
      </c>
      <c r="J124" s="2" t="e">
        <f aca="false">IF(AND($D$4=TRUE(),G124="Sáb"),1,IF(AND($D$5=TRUE(),G124="Dom"),1,0))</f>
        <v>#N/A</v>
      </c>
      <c r="K124" s="2" t="e">
        <f aca="false">IF(L124="No",K123,K123+1)</f>
        <v>#N/A</v>
      </c>
      <c r="L124" s="152" t="e">
        <f aca="false">IF(AND(I124=0,J124=0),H124,"NO")</f>
        <v>#N/A</v>
      </c>
      <c r="N124" s="1" t="n">
        <f aca="false">N123+1</f>
        <v>121</v>
      </c>
      <c r="O124" s="150" t="str">
        <f aca="false">IFERROR(VLOOKUP(N124,$K$4:$L$509,2,0),"")</f>
        <v/>
      </c>
    </row>
    <row r="125" customFormat="false" ht="14.25" hidden="false" customHeight="false" outlineLevel="0" collapsed="false">
      <c r="F125" s="1" t="e">
        <f aca="false">IF(OR(I125=1,J125=1),1,0)</f>
        <v>#N/A</v>
      </c>
      <c r="G125" s="1" t="e">
        <f aca="false">TEXT(H125,"DDD")</f>
        <v>#N/A</v>
      </c>
      <c r="H125" s="150" t="e">
        <f aca="false">IF(H124&gt;='Tallerdata.com'!$X$4,NA(),H124+1)</f>
        <v>#N/A</v>
      </c>
      <c r="I125" s="2" t="n">
        <f aca="false">IFERROR(IF(VLOOKUP(H125,$A$4:$A$33,1,0),1,0),0)</f>
        <v>0</v>
      </c>
      <c r="J125" s="2" t="e">
        <f aca="false">IF(AND($D$4=TRUE(),G125="Sáb"),1,IF(AND($D$5=TRUE(),G125="Dom"),1,0))</f>
        <v>#N/A</v>
      </c>
      <c r="K125" s="2" t="e">
        <f aca="false">IF(L125="No",K124,K124+1)</f>
        <v>#N/A</v>
      </c>
      <c r="L125" s="152" t="e">
        <f aca="false">IF(AND(I125=0,J125=0),H125,"NO")</f>
        <v>#N/A</v>
      </c>
      <c r="N125" s="1" t="n">
        <f aca="false">N124+1</f>
        <v>122</v>
      </c>
      <c r="O125" s="150" t="str">
        <f aca="false">IFERROR(VLOOKUP(N125,$K$4:$L$509,2,0),"")</f>
        <v/>
      </c>
    </row>
    <row r="126" customFormat="false" ht="14.25" hidden="false" customHeight="false" outlineLevel="0" collapsed="false">
      <c r="F126" s="1" t="e">
        <f aca="false">IF(OR(I126=1,J126=1),1,0)</f>
        <v>#N/A</v>
      </c>
      <c r="G126" s="1" t="e">
        <f aca="false">TEXT(H126,"DDD")</f>
        <v>#N/A</v>
      </c>
      <c r="H126" s="150" t="e">
        <f aca="false">IF(H125&gt;='Tallerdata.com'!$X$4,NA(),H125+1)</f>
        <v>#N/A</v>
      </c>
      <c r="I126" s="2" t="n">
        <f aca="false">IFERROR(IF(VLOOKUP(H126,$A$4:$A$33,1,0),1,0),0)</f>
        <v>0</v>
      </c>
      <c r="J126" s="2" t="e">
        <f aca="false">IF(AND($D$4=TRUE(),G126="Sáb"),1,IF(AND($D$5=TRUE(),G126="Dom"),1,0))</f>
        <v>#N/A</v>
      </c>
      <c r="K126" s="2" t="e">
        <f aca="false">IF(L126="No",K125,K125+1)</f>
        <v>#N/A</v>
      </c>
      <c r="L126" s="152" t="e">
        <f aca="false">IF(AND(I126=0,J126=0),H126,"NO")</f>
        <v>#N/A</v>
      </c>
      <c r="N126" s="1" t="n">
        <f aca="false">N125+1</f>
        <v>123</v>
      </c>
      <c r="O126" s="150" t="str">
        <f aca="false">IFERROR(VLOOKUP(N126,$K$4:$L$509,2,0),"")</f>
        <v/>
      </c>
    </row>
    <row r="127" customFormat="false" ht="14.25" hidden="false" customHeight="false" outlineLevel="0" collapsed="false">
      <c r="F127" s="1" t="e">
        <f aca="false">IF(OR(I127=1,J127=1),1,0)</f>
        <v>#N/A</v>
      </c>
      <c r="G127" s="1" t="e">
        <f aca="false">TEXT(H127,"DDD")</f>
        <v>#N/A</v>
      </c>
      <c r="H127" s="150" t="e">
        <f aca="false">IF(H126&gt;='Tallerdata.com'!$X$4,NA(),H126+1)</f>
        <v>#N/A</v>
      </c>
      <c r="I127" s="2" t="n">
        <f aca="false">IFERROR(IF(VLOOKUP(H127,$A$4:$A$33,1,0),1,0),0)</f>
        <v>0</v>
      </c>
      <c r="J127" s="2" t="e">
        <f aca="false">IF(AND($D$4=TRUE(),G127="Sáb"),1,IF(AND($D$5=TRUE(),G127="Dom"),1,0))</f>
        <v>#N/A</v>
      </c>
      <c r="K127" s="2" t="e">
        <f aca="false">IF(L127="No",K126,K126+1)</f>
        <v>#N/A</v>
      </c>
      <c r="L127" s="152" t="e">
        <f aca="false">IF(AND(I127=0,J127=0),H127,"NO")</f>
        <v>#N/A</v>
      </c>
      <c r="N127" s="1" t="n">
        <f aca="false">N126+1</f>
        <v>124</v>
      </c>
      <c r="O127" s="150" t="str">
        <f aca="false">IFERROR(VLOOKUP(N127,$K$4:$L$509,2,0),"")</f>
        <v/>
      </c>
    </row>
    <row r="128" customFormat="false" ht="14.25" hidden="false" customHeight="false" outlineLevel="0" collapsed="false">
      <c r="F128" s="1" t="e">
        <f aca="false">IF(OR(I128=1,J128=1),1,0)</f>
        <v>#N/A</v>
      </c>
      <c r="G128" s="1" t="e">
        <f aca="false">TEXT(H128,"DDD")</f>
        <v>#N/A</v>
      </c>
      <c r="H128" s="150" t="e">
        <f aca="false">IF(H127&gt;='Tallerdata.com'!$X$4,NA(),H127+1)</f>
        <v>#N/A</v>
      </c>
      <c r="I128" s="2" t="n">
        <f aca="false">IFERROR(IF(VLOOKUP(H128,$A$4:$A$33,1,0),1,0),0)</f>
        <v>0</v>
      </c>
      <c r="J128" s="2" t="e">
        <f aca="false">IF(AND($D$4=TRUE(),G128="Sáb"),1,IF(AND($D$5=TRUE(),G128="Dom"),1,0))</f>
        <v>#N/A</v>
      </c>
      <c r="K128" s="2" t="e">
        <f aca="false">IF(L128="No",K127,K127+1)</f>
        <v>#N/A</v>
      </c>
      <c r="L128" s="152" t="e">
        <f aca="false">IF(AND(I128=0,J128=0),H128,"NO")</f>
        <v>#N/A</v>
      </c>
      <c r="N128" s="1" t="n">
        <f aca="false">N127+1</f>
        <v>125</v>
      </c>
      <c r="O128" s="150" t="str">
        <f aca="false">IFERROR(VLOOKUP(N128,$K$4:$L$509,2,0),"")</f>
        <v/>
      </c>
    </row>
    <row r="129" customFormat="false" ht="14.25" hidden="false" customHeight="false" outlineLevel="0" collapsed="false">
      <c r="F129" s="1" t="e">
        <f aca="false">IF(OR(I129=1,J129=1),1,0)</f>
        <v>#N/A</v>
      </c>
      <c r="G129" s="1" t="e">
        <f aca="false">TEXT(H129,"DDD")</f>
        <v>#N/A</v>
      </c>
      <c r="H129" s="150" t="e">
        <f aca="false">IF(H128&gt;='Tallerdata.com'!$X$4,NA(),H128+1)</f>
        <v>#N/A</v>
      </c>
      <c r="I129" s="2" t="n">
        <f aca="false">IFERROR(IF(VLOOKUP(H129,$A$4:$A$33,1,0),1,0),0)</f>
        <v>0</v>
      </c>
      <c r="J129" s="2" t="e">
        <f aca="false">IF(AND($D$4=TRUE(),G129="Sáb"),1,IF(AND($D$5=TRUE(),G129="Dom"),1,0))</f>
        <v>#N/A</v>
      </c>
      <c r="K129" s="2" t="e">
        <f aca="false">IF(L129="No",K128,K128+1)</f>
        <v>#N/A</v>
      </c>
      <c r="L129" s="152" t="e">
        <f aca="false">IF(AND(I129=0,J129=0),H129,"NO")</f>
        <v>#N/A</v>
      </c>
      <c r="N129" s="1" t="n">
        <f aca="false">N128+1</f>
        <v>126</v>
      </c>
      <c r="O129" s="150" t="str">
        <f aca="false">IFERROR(VLOOKUP(N129,$K$4:$L$509,2,0),"")</f>
        <v/>
      </c>
    </row>
    <row r="130" customFormat="false" ht="14.25" hidden="false" customHeight="false" outlineLevel="0" collapsed="false">
      <c r="F130" s="1" t="e">
        <f aca="false">IF(OR(I130=1,J130=1),1,0)</f>
        <v>#N/A</v>
      </c>
      <c r="G130" s="1" t="e">
        <f aca="false">TEXT(H130,"DDD")</f>
        <v>#N/A</v>
      </c>
      <c r="H130" s="150" t="e">
        <f aca="false">IF(H129&gt;='Tallerdata.com'!$X$4,NA(),H129+1)</f>
        <v>#N/A</v>
      </c>
      <c r="I130" s="2" t="n">
        <f aca="false">IFERROR(IF(VLOOKUP(H130,$A$4:$A$33,1,0),1,0),0)</f>
        <v>0</v>
      </c>
      <c r="J130" s="2" t="e">
        <f aca="false">IF(AND($D$4=TRUE(),G130="Sáb"),1,IF(AND($D$5=TRUE(),G130="Dom"),1,0))</f>
        <v>#N/A</v>
      </c>
      <c r="K130" s="2" t="e">
        <f aca="false">IF(L130="No",K129,K129+1)</f>
        <v>#N/A</v>
      </c>
      <c r="L130" s="152" t="e">
        <f aca="false">IF(AND(I130=0,J130=0),H130,"NO")</f>
        <v>#N/A</v>
      </c>
      <c r="N130" s="1" t="n">
        <f aca="false">N129+1</f>
        <v>127</v>
      </c>
      <c r="O130" s="150" t="str">
        <f aca="false">IFERROR(VLOOKUP(N130,$K$4:$L$509,2,0),"")</f>
        <v/>
      </c>
    </row>
    <row r="131" customFormat="false" ht="14.25" hidden="false" customHeight="false" outlineLevel="0" collapsed="false">
      <c r="F131" s="1" t="e">
        <f aca="false">IF(OR(I131=1,J131=1),1,0)</f>
        <v>#N/A</v>
      </c>
      <c r="G131" s="1" t="e">
        <f aca="false">TEXT(H131,"DDD")</f>
        <v>#N/A</v>
      </c>
      <c r="H131" s="150" t="e">
        <f aca="false">IF(H130&gt;='Tallerdata.com'!$X$4,NA(),H130+1)</f>
        <v>#N/A</v>
      </c>
      <c r="I131" s="2" t="n">
        <f aca="false">IFERROR(IF(VLOOKUP(H131,$A$4:$A$33,1,0),1,0),0)</f>
        <v>0</v>
      </c>
      <c r="J131" s="2" t="e">
        <f aca="false">IF(AND($D$4=TRUE(),G131="Sáb"),1,IF(AND($D$5=TRUE(),G131="Dom"),1,0))</f>
        <v>#N/A</v>
      </c>
      <c r="K131" s="2" t="e">
        <f aca="false">IF(L131="No",K130,K130+1)</f>
        <v>#N/A</v>
      </c>
      <c r="L131" s="152" t="e">
        <f aca="false">IF(AND(I131=0,J131=0),H131,"NO")</f>
        <v>#N/A</v>
      </c>
      <c r="N131" s="1" t="n">
        <f aca="false">N130+1</f>
        <v>128</v>
      </c>
      <c r="O131" s="150" t="str">
        <f aca="false">IFERROR(VLOOKUP(N131,$K$4:$L$509,2,0),"")</f>
        <v/>
      </c>
    </row>
    <row r="132" customFormat="false" ht="14.25" hidden="false" customHeight="false" outlineLevel="0" collapsed="false">
      <c r="F132" s="1" t="e">
        <f aca="false">IF(OR(I132=1,J132=1),1,0)</f>
        <v>#N/A</v>
      </c>
      <c r="G132" s="1" t="e">
        <f aca="false">TEXT(H132,"DDD")</f>
        <v>#N/A</v>
      </c>
      <c r="H132" s="150" t="e">
        <f aca="false">IF(H131&gt;='Tallerdata.com'!$X$4,NA(),H131+1)</f>
        <v>#N/A</v>
      </c>
      <c r="I132" s="2" t="n">
        <f aca="false">IFERROR(IF(VLOOKUP(H132,$A$4:$A$33,1,0),1,0),0)</f>
        <v>0</v>
      </c>
      <c r="J132" s="2" t="e">
        <f aca="false">IF(AND($D$4=TRUE(),G132="Sáb"),1,IF(AND($D$5=TRUE(),G132="Dom"),1,0))</f>
        <v>#N/A</v>
      </c>
      <c r="K132" s="2" t="e">
        <f aca="false">IF(L132="No",K131,K131+1)</f>
        <v>#N/A</v>
      </c>
      <c r="L132" s="152" t="e">
        <f aca="false">IF(AND(I132=0,J132=0),H132,"NO")</f>
        <v>#N/A</v>
      </c>
      <c r="N132" s="1" t="n">
        <f aca="false">N131+1</f>
        <v>129</v>
      </c>
      <c r="O132" s="150" t="str">
        <f aca="false">IFERROR(VLOOKUP(N132,$K$4:$L$509,2,0),"")</f>
        <v/>
      </c>
    </row>
    <row r="133" customFormat="false" ht="14.25" hidden="false" customHeight="false" outlineLevel="0" collapsed="false">
      <c r="F133" s="1" t="e">
        <f aca="false">IF(OR(I133=1,J133=1),1,0)</f>
        <v>#N/A</v>
      </c>
      <c r="G133" s="1" t="e">
        <f aca="false">TEXT(H133,"DDD")</f>
        <v>#N/A</v>
      </c>
      <c r="H133" s="150" t="e">
        <f aca="false">IF(H132&gt;='Tallerdata.com'!$X$4,NA(),H132+1)</f>
        <v>#N/A</v>
      </c>
      <c r="I133" s="2" t="n">
        <f aca="false">IFERROR(IF(VLOOKUP(H133,$A$4:$A$33,1,0),1,0),0)</f>
        <v>0</v>
      </c>
      <c r="J133" s="2" t="e">
        <f aca="false">IF(AND($D$4=TRUE(),G133="Sáb"),1,IF(AND($D$5=TRUE(),G133="Dom"),1,0))</f>
        <v>#N/A</v>
      </c>
      <c r="K133" s="2" t="e">
        <f aca="false">IF(L133="No",K132,K132+1)</f>
        <v>#N/A</v>
      </c>
      <c r="L133" s="152" t="e">
        <f aca="false">IF(AND(I133=0,J133=0),H133,"NO")</f>
        <v>#N/A</v>
      </c>
      <c r="N133" s="1" t="n">
        <f aca="false">N132+1</f>
        <v>130</v>
      </c>
      <c r="O133" s="150" t="str">
        <f aca="false">IFERROR(VLOOKUP(N133,$K$4:$L$509,2,0),"")</f>
        <v/>
      </c>
    </row>
    <row r="134" customFormat="false" ht="14.25" hidden="false" customHeight="false" outlineLevel="0" collapsed="false">
      <c r="F134" s="1" t="e">
        <f aca="false">IF(OR(I134=1,J134=1),1,0)</f>
        <v>#N/A</v>
      </c>
      <c r="G134" s="1" t="e">
        <f aca="false">TEXT(H134,"DDD")</f>
        <v>#N/A</v>
      </c>
      <c r="H134" s="150" t="e">
        <f aca="false">IF(H133&gt;='Tallerdata.com'!$X$4,NA(),H133+1)</f>
        <v>#N/A</v>
      </c>
      <c r="I134" s="2" t="n">
        <f aca="false">IFERROR(IF(VLOOKUP(H134,$A$4:$A$33,1,0),1,0),0)</f>
        <v>0</v>
      </c>
      <c r="J134" s="2" t="e">
        <f aca="false">IF(AND($D$4=TRUE(),G134="Sáb"),1,IF(AND($D$5=TRUE(),G134="Dom"),1,0))</f>
        <v>#N/A</v>
      </c>
      <c r="K134" s="2" t="e">
        <f aca="false">IF(L134="No",K133,K133+1)</f>
        <v>#N/A</v>
      </c>
      <c r="L134" s="152" t="e">
        <f aca="false">IF(AND(I134=0,J134=0),H134,"NO")</f>
        <v>#N/A</v>
      </c>
      <c r="N134" s="1" t="n">
        <f aca="false">N133+1</f>
        <v>131</v>
      </c>
      <c r="O134" s="150" t="str">
        <f aca="false">IFERROR(VLOOKUP(N134,$K$4:$L$509,2,0),"")</f>
        <v/>
      </c>
    </row>
    <row r="135" customFormat="false" ht="14.25" hidden="false" customHeight="false" outlineLevel="0" collapsed="false">
      <c r="F135" s="1" t="e">
        <f aca="false">IF(OR(I135=1,J135=1),1,0)</f>
        <v>#N/A</v>
      </c>
      <c r="G135" s="1" t="e">
        <f aca="false">TEXT(H135,"DDD")</f>
        <v>#N/A</v>
      </c>
      <c r="H135" s="150" t="e">
        <f aca="false">IF(H134&gt;='Tallerdata.com'!$X$4,NA(),H134+1)</f>
        <v>#N/A</v>
      </c>
      <c r="I135" s="2" t="n">
        <f aca="false">IFERROR(IF(VLOOKUP(H135,$A$4:$A$33,1,0),1,0),0)</f>
        <v>0</v>
      </c>
      <c r="J135" s="2" t="e">
        <f aca="false">IF(AND($D$4=TRUE(),G135="Sáb"),1,IF(AND($D$5=TRUE(),G135="Dom"),1,0))</f>
        <v>#N/A</v>
      </c>
      <c r="K135" s="2" t="e">
        <f aca="false">IF(L135="No",K134,K134+1)</f>
        <v>#N/A</v>
      </c>
      <c r="L135" s="152" t="e">
        <f aca="false">IF(AND(I135=0,J135=0),H135,"NO")</f>
        <v>#N/A</v>
      </c>
      <c r="N135" s="1" t="n">
        <f aca="false">N134+1</f>
        <v>132</v>
      </c>
      <c r="O135" s="150" t="str">
        <f aca="false">IFERROR(VLOOKUP(N135,$K$4:$L$509,2,0),"")</f>
        <v/>
      </c>
    </row>
    <row r="136" customFormat="false" ht="14.25" hidden="false" customHeight="false" outlineLevel="0" collapsed="false">
      <c r="F136" s="1" t="e">
        <f aca="false">IF(OR(I136=1,J136=1),1,0)</f>
        <v>#N/A</v>
      </c>
      <c r="G136" s="1" t="e">
        <f aca="false">TEXT(H136,"DDD")</f>
        <v>#N/A</v>
      </c>
      <c r="H136" s="150" t="e">
        <f aca="false">IF(H135&gt;='Tallerdata.com'!$X$4,NA(),H135+1)</f>
        <v>#N/A</v>
      </c>
      <c r="I136" s="2" t="n">
        <f aca="false">IFERROR(IF(VLOOKUP(H136,$A$4:$A$33,1,0),1,0),0)</f>
        <v>0</v>
      </c>
      <c r="J136" s="2" t="e">
        <f aca="false">IF(AND($D$4=TRUE(),G136="Sáb"),1,IF(AND($D$5=TRUE(),G136="Dom"),1,0))</f>
        <v>#N/A</v>
      </c>
      <c r="K136" s="2" t="e">
        <f aca="false">IF(L136="No",K135,K135+1)</f>
        <v>#N/A</v>
      </c>
      <c r="L136" s="152" t="e">
        <f aca="false">IF(AND(I136=0,J136=0),H136,"NO")</f>
        <v>#N/A</v>
      </c>
      <c r="N136" s="1" t="n">
        <f aca="false">N135+1</f>
        <v>133</v>
      </c>
      <c r="O136" s="150" t="str">
        <f aca="false">IFERROR(VLOOKUP(N136,$K$4:$L$509,2,0),"")</f>
        <v/>
      </c>
    </row>
    <row r="137" customFormat="false" ht="14.25" hidden="false" customHeight="false" outlineLevel="0" collapsed="false">
      <c r="F137" s="1" t="e">
        <f aca="false">IF(OR(I137=1,J137=1),1,0)</f>
        <v>#N/A</v>
      </c>
      <c r="G137" s="1" t="e">
        <f aca="false">TEXT(H137,"DDD")</f>
        <v>#N/A</v>
      </c>
      <c r="H137" s="150" t="e">
        <f aca="false">IF(H136&gt;='Tallerdata.com'!$X$4,NA(),H136+1)</f>
        <v>#N/A</v>
      </c>
      <c r="I137" s="2" t="n">
        <f aca="false">IFERROR(IF(VLOOKUP(H137,$A$4:$A$33,1,0),1,0),0)</f>
        <v>0</v>
      </c>
      <c r="J137" s="2" t="e">
        <f aca="false">IF(AND($D$4=TRUE(),G137="Sáb"),1,IF(AND($D$5=TRUE(),G137="Dom"),1,0))</f>
        <v>#N/A</v>
      </c>
      <c r="K137" s="2" t="e">
        <f aca="false">IF(L137="No",K136,K136+1)</f>
        <v>#N/A</v>
      </c>
      <c r="L137" s="152" t="e">
        <f aca="false">IF(AND(I137=0,J137=0),H137,"NO")</f>
        <v>#N/A</v>
      </c>
      <c r="N137" s="1" t="n">
        <f aca="false">N136+1</f>
        <v>134</v>
      </c>
      <c r="O137" s="150" t="str">
        <f aca="false">IFERROR(VLOOKUP(N137,$K$4:$L$509,2,0),"")</f>
        <v/>
      </c>
    </row>
    <row r="138" customFormat="false" ht="14.25" hidden="false" customHeight="false" outlineLevel="0" collapsed="false">
      <c r="F138" s="1" t="e">
        <f aca="false">IF(OR(I138=1,J138=1),1,0)</f>
        <v>#N/A</v>
      </c>
      <c r="G138" s="1" t="e">
        <f aca="false">TEXT(H138,"DDD")</f>
        <v>#N/A</v>
      </c>
      <c r="H138" s="150" t="e">
        <f aca="false">IF(H137&gt;='Tallerdata.com'!$X$4,NA(),H137+1)</f>
        <v>#N/A</v>
      </c>
      <c r="I138" s="2" t="n">
        <f aca="false">IFERROR(IF(VLOOKUP(H138,$A$4:$A$33,1,0),1,0),0)</f>
        <v>0</v>
      </c>
      <c r="J138" s="2" t="e">
        <f aca="false">IF(AND($D$4=TRUE(),G138="Sáb"),1,IF(AND($D$5=TRUE(),G138="Dom"),1,0))</f>
        <v>#N/A</v>
      </c>
      <c r="K138" s="2" t="e">
        <f aca="false">IF(L138="No",K137,K137+1)</f>
        <v>#N/A</v>
      </c>
      <c r="L138" s="152" t="e">
        <f aca="false">IF(AND(I138=0,J138=0),H138,"NO")</f>
        <v>#N/A</v>
      </c>
      <c r="N138" s="1" t="n">
        <f aca="false">N137+1</f>
        <v>135</v>
      </c>
      <c r="O138" s="150" t="str">
        <f aca="false">IFERROR(VLOOKUP(N138,$K$4:$L$509,2,0),"")</f>
        <v/>
      </c>
    </row>
    <row r="139" customFormat="false" ht="14.25" hidden="false" customHeight="false" outlineLevel="0" collapsed="false">
      <c r="F139" s="1" t="e">
        <f aca="false">IF(OR(I139=1,J139=1),1,0)</f>
        <v>#N/A</v>
      </c>
      <c r="G139" s="1" t="e">
        <f aca="false">TEXT(H139,"DDD")</f>
        <v>#N/A</v>
      </c>
      <c r="H139" s="150" t="e">
        <f aca="false">IF(H138&gt;='Tallerdata.com'!$X$4,NA(),H138+1)</f>
        <v>#N/A</v>
      </c>
      <c r="I139" s="2" t="n">
        <f aca="false">IFERROR(IF(VLOOKUP(H139,$A$4:$A$33,1,0),1,0),0)</f>
        <v>0</v>
      </c>
      <c r="J139" s="2" t="e">
        <f aca="false">IF(AND($D$4=TRUE(),G139="Sáb"),1,IF(AND($D$5=TRUE(),G139="Dom"),1,0))</f>
        <v>#N/A</v>
      </c>
      <c r="K139" s="2" t="e">
        <f aca="false">IF(L139="No",K138,K138+1)</f>
        <v>#N/A</v>
      </c>
      <c r="L139" s="152" t="e">
        <f aca="false">IF(AND(I139=0,J139=0),H139,"NO")</f>
        <v>#N/A</v>
      </c>
      <c r="N139" s="1" t="n">
        <f aca="false">N138+1</f>
        <v>136</v>
      </c>
      <c r="O139" s="150" t="str">
        <f aca="false">IFERROR(VLOOKUP(N139,$K$4:$L$509,2,0),"")</f>
        <v/>
      </c>
    </row>
    <row r="140" customFormat="false" ht="14.25" hidden="false" customHeight="false" outlineLevel="0" collapsed="false">
      <c r="F140" s="1" t="e">
        <f aca="false">IF(OR(I140=1,J140=1),1,0)</f>
        <v>#N/A</v>
      </c>
      <c r="G140" s="1" t="e">
        <f aca="false">TEXT(H140,"DDD")</f>
        <v>#N/A</v>
      </c>
      <c r="H140" s="150" t="e">
        <f aca="false">IF(H139&gt;='Tallerdata.com'!$X$4,NA(),H139+1)</f>
        <v>#N/A</v>
      </c>
      <c r="I140" s="2" t="n">
        <f aca="false">IFERROR(IF(VLOOKUP(H140,$A$4:$A$33,1,0),1,0),0)</f>
        <v>0</v>
      </c>
      <c r="J140" s="2" t="e">
        <f aca="false">IF(AND($D$4=TRUE(),G140="Sáb"),1,IF(AND($D$5=TRUE(),G140="Dom"),1,0))</f>
        <v>#N/A</v>
      </c>
      <c r="K140" s="2" t="e">
        <f aca="false">IF(L140="No",K139,K139+1)</f>
        <v>#N/A</v>
      </c>
      <c r="L140" s="152" t="e">
        <f aca="false">IF(AND(I140=0,J140=0),H140,"NO")</f>
        <v>#N/A</v>
      </c>
      <c r="N140" s="1" t="n">
        <f aca="false">N139+1</f>
        <v>137</v>
      </c>
      <c r="O140" s="150" t="str">
        <f aca="false">IFERROR(VLOOKUP(N140,$K$4:$L$509,2,0),"")</f>
        <v/>
      </c>
    </row>
    <row r="141" customFormat="false" ht="14.25" hidden="false" customHeight="false" outlineLevel="0" collapsed="false">
      <c r="F141" s="1" t="e">
        <f aca="false">IF(OR(I141=1,J141=1),1,0)</f>
        <v>#N/A</v>
      </c>
      <c r="G141" s="1" t="e">
        <f aca="false">TEXT(H141,"DDD")</f>
        <v>#N/A</v>
      </c>
      <c r="H141" s="150" t="e">
        <f aca="false">IF(H140&gt;='Tallerdata.com'!$X$4,NA(),H140+1)</f>
        <v>#N/A</v>
      </c>
      <c r="I141" s="2" t="n">
        <f aca="false">IFERROR(IF(VLOOKUP(H141,$A$4:$A$33,1,0),1,0),0)</f>
        <v>0</v>
      </c>
      <c r="J141" s="2" t="e">
        <f aca="false">IF(AND($D$4=TRUE(),G141="Sáb"),1,IF(AND($D$5=TRUE(),G141="Dom"),1,0))</f>
        <v>#N/A</v>
      </c>
      <c r="K141" s="2" t="e">
        <f aca="false">IF(L141="No",K140,K140+1)</f>
        <v>#N/A</v>
      </c>
      <c r="L141" s="152" t="e">
        <f aca="false">IF(AND(I141=0,J141=0),H141,"NO")</f>
        <v>#N/A</v>
      </c>
      <c r="N141" s="1" t="n">
        <f aca="false">N140+1</f>
        <v>138</v>
      </c>
      <c r="O141" s="150" t="str">
        <f aca="false">IFERROR(VLOOKUP(N141,$K$4:$L$509,2,0),"")</f>
        <v/>
      </c>
    </row>
    <row r="142" customFormat="false" ht="14.25" hidden="false" customHeight="false" outlineLevel="0" collapsed="false">
      <c r="F142" s="1" t="e">
        <f aca="false">IF(OR(I142=1,J142=1),1,0)</f>
        <v>#N/A</v>
      </c>
      <c r="G142" s="1" t="e">
        <f aca="false">TEXT(H142,"DDD")</f>
        <v>#N/A</v>
      </c>
      <c r="H142" s="150" t="e">
        <f aca="false">IF(H141&gt;='Tallerdata.com'!$X$4,NA(),H141+1)</f>
        <v>#N/A</v>
      </c>
      <c r="I142" s="2" t="n">
        <f aca="false">IFERROR(IF(VLOOKUP(H142,$A$4:$A$33,1,0),1,0),0)</f>
        <v>0</v>
      </c>
      <c r="J142" s="2" t="e">
        <f aca="false">IF(AND($D$4=TRUE(),G142="Sáb"),1,IF(AND($D$5=TRUE(),G142="Dom"),1,0))</f>
        <v>#N/A</v>
      </c>
      <c r="K142" s="2" t="e">
        <f aca="false">IF(L142="No",K141,K141+1)</f>
        <v>#N/A</v>
      </c>
      <c r="L142" s="152" t="e">
        <f aca="false">IF(AND(I142=0,J142=0),H142,"NO")</f>
        <v>#N/A</v>
      </c>
      <c r="N142" s="1" t="n">
        <f aca="false">N141+1</f>
        <v>139</v>
      </c>
      <c r="O142" s="150" t="str">
        <f aca="false">IFERROR(VLOOKUP(N142,$K$4:$L$509,2,0),"")</f>
        <v/>
      </c>
    </row>
    <row r="143" customFormat="false" ht="14.25" hidden="false" customHeight="false" outlineLevel="0" collapsed="false">
      <c r="F143" s="1" t="e">
        <f aca="false">IF(OR(I143=1,J143=1),1,0)</f>
        <v>#N/A</v>
      </c>
      <c r="G143" s="1" t="e">
        <f aca="false">TEXT(H143,"DDD")</f>
        <v>#N/A</v>
      </c>
      <c r="H143" s="150" t="e">
        <f aca="false">IF(H142&gt;='Tallerdata.com'!$X$4,NA(),H142+1)</f>
        <v>#N/A</v>
      </c>
      <c r="I143" s="2" t="n">
        <f aca="false">IFERROR(IF(VLOOKUP(H143,$A$4:$A$33,1,0),1,0),0)</f>
        <v>0</v>
      </c>
      <c r="J143" s="2" t="e">
        <f aca="false">IF(AND($D$4=TRUE(),G143="Sáb"),1,IF(AND($D$5=TRUE(),G143="Dom"),1,0))</f>
        <v>#N/A</v>
      </c>
      <c r="K143" s="2" t="e">
        <f aca="false">IF(L143="No",K142,K142+1)</f>
        <v>#N/A</v>
      </c>
      <c r="L143" s="152" t="e">
        <f aca="false">IF(AND(I143=0,J143=0),H143,"NO")</f>
        <v>#N/A</v>
      </c>
      <c r="N143" s="1" t="n">
        <f aca="false">N142+1</f>
        <v>140</v>
      </c>
      <c r="O143" s="150" t="str">
        <f aca="false">IFERROR(VLOOKUP(N143,$K$4:$L$509,2,0),"")</f>
        <v/>
      </c>
    </row>
    <row r="144" customFormat="false" ht="14.25" hidden="false" customHeight="false" outlineLevel="0" collapsed="false">
      <c r="F144" s="1" t="e">
        <f aca="false">IF(OR(I144=1,J144=1),1,0)</f>
        <v>#N/A</v>
      </c>
      <c r="G144" s="1" t="e">
        <f aca="false">TEXT(H144,"DDD")</f>
        <v>#N/A</v>
      </c>
      <c r="H144" s="150" t="e">
        <f aca="false">IF(H143&gt;='Tallerdata.com'!$X$4,NA(),H143+1)</f>
        <v>#N/A</v>
      </c>
      <c r="I144" s="2" t="n">
        <f aca="false">IFERROR(IF(VLOOKUP(H144,$A$4:$A$33,1,0),1,0),0)</f>
        <v>0</v>
      </c>
      <c r="J144" s="2" t="e">
        <f aca="false">IF(AND($D$4=TRUE(),G144="Sáb"),1,IF(AND($D$5=TRUE(),G144="Dom"),1,0))</f>
        <v>#N/A</v>
      </c>
      <c r="K144" s="2" t="e">
        <f aca="false">IF(L144="No",K143,K143+1)</f>
        <v>#N/A</v>
      </c>
      <c r="L144" s="152" t="e">
        <f aca="false">IF(AND(I144=0,J144=0),H144,"NO")</f>
        <v>#N/A</v>
      </c>
      <c r="N144" s="1" t="n">
        <f aca="false">N143+1</f>
        <v>141</v>
      </c>
      <c r="O144" s="150" t="str">
        <f aca="false">IFERROR(VLOOKUP(N144,$K$4:$L$509,2,0),"")</f>
        <v/>
      </c>
    </row>
    <row r="145" customFormat="false" ht="14.25" hidden="false" customHeight="false" outlineLevel="0" collapsed="false">
      <c r="F145" s="1" t="e">
        <f aca="false">IF(OR(I145=1,J145=1),1,0)</f>
        <v>#N/A</v>
      </c>
      <c r="G145" s="1" t="e">
        <f aca="false">TEXT(H145,"DDD")</f>
        <v>#N/A</v>
      </c>
      <c r="H145" s="150" t="e">
        <f aca="false">IF(H144&gt;='Tallerdata.com'!$X$4,NA(),H144+1)</f>
        <v>#N/A</v>
      </c>
      <c r="I145" s="2" t="n">
        <f aca="false">IFERROR(IF(VLOOKUP(H145,$A$4:$A$33,1,0),1,0),0)</f>
        <v>0</v>
      </c>
      <c r="J145" s="2" t="e">
        <f aca="false">IF(AND($D$4=TRUE(),G145="Sáb"),1,IF(AND($D$5=TRUE(),G145="Dom"),1,0))</f>
        <v>#N/A</v>
      </c>
      <c r="K145" s="2" t="e">
        <f aca="false">IF(L145="No",K144,K144+1)</f>
        <v>#N/A</v>
      </c>
      <c r="L145" s="152" t="e">
        <f aca="false">IF(AND(I145=0,J145=0),H145,"NO")</f>
        <v>#N/A</v>
      </c>
      <c r="N145" s="1" t="n">
        <f aca="false">N144+1</f>
        <v>142</v>
      </c>
      <c r="O145" s="150" t="str">
        <f aca="false">IFERROR(VLOOKUP(N145,$K$4:$L$509,2,0),"")</f>
        <v/>
      </c>
    </row>
    <row r="146" customFormat="false" ht="14.25" hidden="false" customHeight="false" outlineLevel="0" collapsed="false">
      <c r="F146" s="1" t="e">
        <f aca="false">IF(OR(I146=1,J146=1),1,0)</f>
        <v>#N/A</v>
      </c>
      <c r="G146" s="1" t="e">
        <f aca="false">TEXT(H146,"DDD")</f>
        <v>#N/A</v>
      </c>
      <c r="H146" s="150" t="e">
        <f aca="false">IF(H145&gt;='Tallerdata.com'!$X$4,NA(),H145+1)</f>
        <v>#N/A</v>
      </c>
      <c r="I146" s="2" t="n">
        <f aca="false">IFERROR(IF(VLOOKUP(H146,$A$4:$A$33,1,0),1,0),0)</f>
        <v>0</v>
      </c>
      <c r="J146" s="2" t="e">
        <f aca="false">IF(AND($D$4=TRUE(),G146="Sáb"),1,IF(AND($D$5=TRUE(),G146="Dom"),1,0))</f>
        <v>#N/A</v>
      </c>
      <c r="K146" s="2" t="e">
        <f aca="false">IF(L146="No",K145,K145+1)</f>
        <v>#N/A</v>
      </c>
      <c r="L146" s="152" t="e">
        <f aca="false">IF(AND(I146=0,J146=0),H146,"NO")</f>
        <v>#N/A</v>
      </c>
      <c r="N146" s="1" t="n">
        <f aca="false">N145+1</f>
        <v>143</v>
      </c>
      <c r="O146" s="150" t="str">
        <f aca="false">IFERROR(VLOOKUP(N146,$K$4:$L$509,2,0),"")</f>
        <v/>
      </c>
    </row>
    <row r="147" customFormat="false" ht="14.25" hidden="false" customHeight="false" outlineLevel="0" collapsed="false">
      <c r="F147" s="1" t="e">
        <f aca="false">IF(OR(I147=1,J147=1),1,0)</f>
        <v>#N/A</v>
      </c>
      <c r="G147" s="1" t="e">
        <f aca="false">TEXT(H147,"DDD")</f>
        <v>#N/A</v>
      </c>
      <c r="H147" s="150" t="e">
        <f aca="false">IF(H146&gt;='Tallerdata.com'!$X$4,NA(),H146+1)</f>
        <v>#N/A</v>
      </c>
      <c r="I147" s="2" t="n">
        <f aca="false">IFERROR(IF(VLOOKUP(H147,$A$4:$A$33,1,0),1,0),0)</f>
        <v>0</v>
      </c>
      <c r="J147" s="2" t="e">
        <f aca="false">IF(AND($D$4=TRUE(),G147="Sáb"),1,IF(AND($D$5=TRUE(),G147="Dom"),1,0))</f>
        <v>#N/A</v>
      </c>
      <c r="K147" s="2" t="e">
        <f aca="false">IF(L147="No",K146,K146+1)</f>
        <v>#N/A</v>
      </c>
      <c r="L147" s="152" t="e">
        <f aca="false">IF(AND(I147=0,J147=0),H147,"NO")</f>
        <v>#N/A</v>
      </c>
      <c r="N147" s="1" t="n">
        <f aca="false">N146+1</f>
        <v>144</v>
      </c>
      <c r="O147" s="150" t="str">
        <f aca="false">IFERROR(VLOOKUP(N147,$K$4:$L$509,2,0),"")</f>
        <v/>
      </c>
    </row>
    <row r="148" customFormat="false" ht="14.25" hidden="false" customHeight="false" outlineLevel="0" collapsed="false">
      <c r="F148" s="1" t="e">
        <f aca="false">IF(OR(I148=1,J148=1),1,0)</f>
        <v>#N/A</v>
      </c>
      <c r="G148" s="1" t="e">
        <f aca="false">TEXT(H148,"DDD")</f>
        <v>#N/A</v>
      </c>
      <c r="H148" s="150" t="e">
        <f aca="false">IF(H147&gt;='Tallerdata.com'!$X$4,NA(),H147+1)</f>
        <v>#N/A</v>
      </c>
      <c r="I148" s="2" t="n">
        <f aca="false">IFERROR(IF(VLOOKUP(H148,$A$4:$A$33,1,0),1,0),0)</f>
        <v>0</v>
      </c>
      <c r="J148" s="2" t="e">
        <f aca="false">IF(AND($D$4=TRUE(),G148="Sáb"),1,IF(AND($D$5=TRUE(),G148="Dom"),1,0))</f>
        <v>#N/A</v>
      </c>
      <c r="K148" s="2" t="e">
        <f aca="false">IF(L148="No",K147,K147+1)</f>
        <v>#N/A</v>
      </c>
      <c r="L148" s="152" t="e">
        <f aca="false">IF(AND(I148=0,J148=0),H148,"NO")</f>
        <v>#N/A</v>
      </c>
      <c r="N148" s="1" t="n">
        <f aca="false">N147+1</f>
        <v>145</v>
      </c>
      <c r="O148" s="150" t="str">
        <f aca="false">IFERROR(VLOOKUP(N148,$K$4:$L$509,2,0),"")</f>
        <v/>
      </c>
    </row>
    <row r="149" customFormat="false" ht="14.25" hidden="false" customHeight="false" outlineLevel="0" collapsed="false">
      <c r="F149" s="1" t="e">
        <f aca="false">IF(OR(I149=1,J149=1),1,0)</f>
        <v>#N/A</v>
      </c>
      <c r="G149" s="1" t="e">
        <f aca="false">TEXT(H149,"DDD")</f>
        <v>#N/A</v>
      </c>
      <c r="H149" s="150" t="e">
        <f aca="false">IF(H148&gt;='Tallerdata.com'!$X$4,NA(),H148+1)</f>
        <v>#N/A</v>
      </c>
      <c r="I149" s="2" t="n">
        <f aca="false">IFERROR(IF(VLOOKUP(H149,$A$4:$A$33,1,0),1,0),0)</f>
        <v>0</v>
      </c>
      <c r="J149" s="2" t="e">
        <f aca="false">IF(AND($D$4=TRUE(),G149="Sáb"),1,IF(AND($D$5=TRUE(),G149="Dom"),1,0))</f>
        <v>#N/A</v>
      </c>
      <c r="K149" s="2" t="e">
        <f aca="false">IF(L149="No",K148,K148+1)</f>
        <v>#N/A</v>
      </c>
      <c r="L149" s="152" t="e">
        <f aca="false">IF(AND(I149=0,J149=0),H149,"NO")</f>
        <v>#N/A</v>
      </c>
      <c r="N149" s="1" t="n">
        <f aca="false">N148+1</f>
        <v>146</v>
      </c>
      <c r="O149" s="150" t="str">
        <f aca="false">IFERROR(VLOOKUP(N149,$K$4:$L$509,2,0),"")</f>
        <v/>
      </c>
    </row>
    <row r="150" customFormat="false" ht="14.25" hidden="false" customHeight="false" outlineLevel="0" collapsed="false">
      <c r="F150" s="1" t="e">
        <f aca="false">IF(OR(I150=1,J150=1),1,0)</f>
        <v>#N/A</v>
      </c>
      <c r="G150" s="1" t="e">
        <f aca="false">TEXT(H150,"DDD")</f>
        <v>#N/A</v>
      </c>
      <c r="H150" s="150" t="e">
        <f aca="false">IF(H149&gt;='Tallerdata.com'!$X$4,NA(),H149+1)</f>
        <v>#N/A</v>
      </c>
      <c r="I150" s="2" t="n">
        <f aca="false">IFERROR(IF(VLOOKUP(H150,$A$4:$A$33,1,0),1,0),0)</f>
        <v>0</v>
      </c>
      <c r="J150" s="2" t="e">
        <f aca="false">IF(AND($D$4=TRUE(),G150="Sáb"),1,IF(AND($D$5=TRUE(),G150="Dom"),1,0))</f>
        <v>#N/A</v>
      </c>
      <c r="K150" s="2" t="e">
        <f aca="false">IF(L150="No",K149,K149+1)</f>
        <v>#N/A</v>
      </c>
      <c r="L150" s="152" t="e">
        <f aca="false">IF(AND(I150=0,J150=0),H150,"NO")</f>
        <v>#N/A</v>
      </c>
      <c r="N150" s="1" t="n">
        <f aca="false">N149+1</f>
        <v>147</v>
      </c>
      <c r="O150" s="150" t="str">
        <f aca="false">IFERROR(VLOOKUP(N150,$K$4:$L$509,2,0),"")</f>
        <v/>
      </c>
    </row>
    <row r="151" customFormat="false" ht="14.25" hidden="false" customHeight="false" outlineLevel="0" collapsed="false">
      <c r="F151" s="1" t="e">
        <f aca="false">IF(OR(I151=1,J151=1),1,0)</f>
        <v>#N/A</v>
      </c>
      <c r="G151" s="1" t="e">
        <f aca="false">TEXT(H151,"DDD")</f>
        <v>#N/A</v>
      </c>
      <c r="H151" s="150" t="e">
        <f aca="false">IF(H150&gt;='Tallerdata.com'!$X$4,NA(),H150+1)</f>
        <v>#N/A</v>
      </c>
      <c r="I151" s="2" t="n">
        <f aca="false">IFERROR(IF(VLOOKUP(H151,$A$4:$A$33,1,0),1,0),0)</f>
        <v>0</v>
      </c>
      <c r="J151" s="2" t="e">
        <f aca="false">IF(AND($D$4=TRUE(),G151="Sáb"),1,IF(AND($D$5=TRUE(),G151="Dom"),1,0))</f>
        <v>#N/A</v>
      </c>
      <c r="K151" s="2" t="e">
        <f aca="false">IF(L151="No",K150,K150+1)</f>
        <v>#N/A</v>
      </c>
      <c r="L151" s="152" t="e">
        <f aca="false">IF(AND(I151=0,J151=0),H151,"NO")</f>
        <v>#N/A</v>
      </c>
      <c r="N151" s="1" t="n">
        <f aca="false">N150+1</f>
        <v>148</v>
      </c>
      <c r="O151" s="150" t="str">
        <f aca="false">IFERROR(VLOOKUP(N151,$K$4:$L$509,2,0),"")</f>
        <v/>
      </c>
    </row>
    <row r="152" customFormat="false" ht="14.25" hidden="false" customHeight="false" outlineLevel="0" collapsed="false">
      <c r="F152" s="1" t="e">
        <f aca="false">IF(OR(I152=1,J152=1),1,0)</f>
        <v>#N/A</v>
      </c>
      <c r="G152" s="1" t="e">
        <f aca="false">TEXT(H152,"DDD")</f>
        <v>#N/A</v>
      </c>
      <c r="H152" s="150" t="e">
        <f aca="false">IF(H151&gt;='Tallerdata.com'!$X$4,NA(),H151+1)</f>
        <v>#N/A</v>
      </c>
      <c r="I152" s="2" t="n">
        <f aca="false">IFERROR(IF(VLOOKUP(H152,$A$4:$A$33,1,0),1,0),0)</f>
        <v>0</v>
      </c>
      <c r="J152" s="2" t="e">
        <f aca="false">IF(AND($D$4=TRUE(),G152="Sáb"),1,IF(AND($D$5=TRUE(),G152="Dom"),1,0))</f>
        <v>#N/A</v>
      </c>
      <c r="K152" s="2" t="e">
        <f aca="false">IF(L152="No",K151,K151+1)</f>
        <v>#N/A</v>
      </c>
      <c r="L152" s="152" t="e">
        <f aca="false">IF(AND(I152=0,J152=0),H152,"NO")</f>
        <v>#N/A</v>
      </c>
      <c r="N152" s="1" t="n">
        <f aca="false">N151+1</f>
        <v>149</v>
      </c>
      <c r="O152" s="150" t="str">
        <f aca="false">IFERROR(VLOOKUP(N152,$K$4:$L$509,2,0),"")</f>
        <v/>
      </c>
    </row>
    <row r="153" customFormat="false" ht="14.25" hidden="false" customHeight="false" outlineLevel="0" collapsed="false">
      <c r="F153" s="1" t="e">
        <f aca="false">IF(OR(I153=1,J153=1),1,0)</f>
        <v>#N/A</v>
      </c>
      <c r="G153" s="1" t="e">
        <f aca="false">TEXT(H153,"DDD")</f>
        <v>#N/A</v>
      </c>
      <c r="H153" s="150" t="e">
        <f aca="false">IF(H152&gt;='Tallerdata.com'!$X$4,NA(),H152+1)</f>
        <v>#N/A</v>
      </c>
      <c r="I153" s="2" t="n">
        <f aca="false">IFERROR(IF(VLOOKUP(H153,$A$4:$A$33,1,0),1,0),0)</f>
        <v>0</v>
      </c>
      <c r="J153" s="2" t="e">
        <f aca="false">IF(AND($D$4=TRUE(),G153="Sáb"),1,IF(AND($D$5=TRUE(),G153="Dom"),1,0))</f>
        <v>#N/A</v>
      </c>
      <c r="K153" s="2" t="e">
        <f aca="false">IF(L153="No",K152,K152+1)</f>
        <v>#N/A</v>
      </c>
      <c r="L153" s="152" t="e">
        <f aca="false">IF(AND(I153=0,J153=0),H153,"NO")</f>
        <v>#N/A</v>
      </c>
      <c r="N153" s="1" t="n">
        <f aca="false">N152+1</f>
        <v>150</v>
      </c>
      <c r="O153" s="150" t="str">
        <f aca="false">IFERROR(VLOOKUP(N153,$K$4:$L$509,2,0),"")</f>
        <v/>
      </c>
    </row>
    <row r="154" customFormat="false" ht="14.25" hidden="false" customHeight="false" outlineLevel="0" collapsed="false">
      <c r="F154" s="1" t="e">
        <f aca="false">IF(OR(I154=1,J154=1),1,0)</f>
        <v>#N/A</v>
      </c>
      <c r="G154" s="1" t="e">
        <f aca="false">TEXT(H154,"DDD")</f>
        <v>#N/A</v>
      </c>
      <c r="H154" s="150" t="e">
        <f aca="false">IF(H153&gt;='Tallerdata.com'!$X$4,NA(),H153+1)</f>
        <v>#N/A</v>
      </c>
      <c r="I154" s="2" t="n">
        <f aca="false">IFERROR(IF(VLOOKUP(H154,$A$4:$A$33,1,0),1,0),0)</f>
        <v>0</v>
      </c>
      <c r="J154" s="2" t="e">
        <f aca="false">IF(AND($D$4=TRUE(),G154="Sáb"),1,IF(AND($D$5=TRUE(),G154="Dom"),1,0))</f>
        <v>#N/A</v>
      </c>
      <c r="K154" s="2" t="e">
        <f aca="false">IF(L154="No",K153,K153+1)</f>
        <v>#N/A</v>
      </c>
      <c r="L154" s="152" t="e">
        <f aca="false">IF(AND(I154=0,J154=0),H154,"NO")</f>
        <v>#N/A</v>
      </c>
      <c r="N154" s="1" t="n">
        <f aca="false">N153+1</f>
        <v>151</v>
      </c>
      <c r="O154" s="150" t="str">
        <f aca="false">IFERROR(VLOOKUP(N154,$K$4:$L$509,2,0),"")</f>
        <v/>
      </c>
    </row>
    <row r="155" customFormat="false" ht="14.25" hidden="false" customHeight="false" outlineLevel="0" collapsed="false">
      <c r="F155" s="1" t="e">
        <f aca="false">IF(OR(I155=1,J155=1),1,0)</f>
        <v>#N/A</v>
      </c>
      <c r="G155" s="1" t="e">
        <f aca="false">TEXT(H155,"DDD")</f>
        <v>#N/A</v>
      </c>
      <c r="H155" s="150" t="e">
        <f aca="false">IF(H154&gt;='Tallerdata.com'!$X$4,NA(),H154+1)</f>
        <v>#N/A</v>
      </c>
      <c r="I155" s="2" t="n">
        <f aca="false">IFERROR(IF(VLOOKUP(H155,$A$4:$A$33,1,0),1,0),0)</f>
        <v>0</v>
      </c>
      <c r="J155" s="2" t="e">
        <f aca="false">IF(AND($D$4=TRUE(),G155="Sáb"),1,IF(AND($D$5=TRUE(),G155="Dom"),1,0))</f>
        <v>#N/A</v>
      </c>
      <c r="K155" s="2" t="e">
        <f aca="false">IF(L155="No",K154,K154+1)</f>
        <v>#N/A</v>
      </c>
      <c r="L155" s="152" t="e">
        <f aca="false">IF(AND(I155=0,J155=0),H155,"NO")</f>
        <v>#N/A</v>
      </c>
      <c r="N155" s="1" t="n">
        <f aca="false">N154+1</f>
        <v>152</v>
      </c>
      <c r="O155" s="150" t="str">
        <f aca="false">IFERROR(VLOOKUP(N155,$K$4:$L$509,2,0),"")</f>
        <v/>
      </c>
    </row>
    <row r="156" customFormat="false" ht="14.25" hidden="false" customHeight="false" outlineLevel="0" collapsed="false">
      <c r="F156" s="1" t="e">
        <f aca="false">IF(OR(I156=1,J156=1),1,0)</f>
        <v>#N/A</v>
      </c>
      <c r="G156" s="1" t="e">
        <f aca="false">TEXT(H156,"DDD")</f>
        <v>#N/A</v>
      </c>
      <c r="H156" s="150" t="e">
        <f aca="false">IF(H155&gt;='Tallerdata.com'!$X$4,NA(),H155+1)</f>
        <v>#N/A</v>
      </c>
      <c r="I156" s="2" t="n">
        <f aca="false">IFERROR(IF(VLOOKUP(H156,$A$4:$A$33,1,0),1,0),0)</f>
        <v>0</v>
      </c>
      <c r="J156" s="2" t="e">
        <f aca="false">IF(AND($D$4=TRUE(),G156="Sáb"),1,IF(AND($D$5=TRUE(),G156="Dom"),1,0))</f>
        <v>#N/A</v>
      </c>
      <c r="K156" s="2" t="e">
        <f aca="false">IF(L156="No",K155,K155+1)</f>
        <v>#N/A</v>
      </c>
      <c r="L156" s="152" t="e">
        <f aca="false">IF(AND(I156=0,J156=0),H156,"NO")</f>
        <v>#N/A</v>
      </c>
      <c r="N156" s="1" t="n">
        <f aca="false">N155+1</f>
        <v>153</v>
      </c>
      <c r="O156" s="150" t="str">
        <f aca="false">IFERROR(VLOOKUP(N156,$K$4:$L$509,2,0),"")</f>
        <v/>
      </c>
    </row>
    <row r="157" customFormat="false" ht="14.25" hidden="false" customHeight="false" outlineLevel="0" collapsed="false">
      <c r="F157" s="1" t="e">
        <f aca="false">IF(OR(I157=1,J157=1),1,0)</f>
        <v>#N/A</v>
      </c>
      <c r="G157" s="1" t="e">
        <f aca="false">TEXT(H157,"DDD")</f>
        <v>#N/A</v>
      </c>
      <c r="H157" s="150" t="e">
        <f aca="false">IF(H156&gt;='Tallerdata.com'!$X$4,NA(),H156+1)</f>
        <v>#N/A</v>
      </c>
      <c r="I157" s="2" t="n">
        <f aca="false">IFERROR(IF(VLOOKUP(H157,$A$4:$A$33,1,0),1,0),0)</f>
        <v>0</v>
      </c>
      <c r="J157" s="2" t="e">
        <f aca="false">IF(AND($D$4=TRUE(),G157="Sáb"),1,IF(AND($D$5=TRUE(),G157="Dom"),1,0))</f>
        <v>#N/A</v>
      </c>
      <c r="K157" s="2" t="e">
        <f aca="false">IF(L157="No",K156,K156+1)</f>
        <v>#N/A</v>
      </c>
      <c r="L157" s="152" t="e">
        <f aca="false">IF(AND(I157=0,J157=0),H157,"NO")</f>
        <v>#N/A</v>
      </c>
      <c r="N157" s="1" t="n">
        <f aca="false">N156+1</f>
        <v>154</v>
      </c>
      <c r="O157" s="150" t="str">
        <f aca="false">IFERROR(VLOOKUP(N157,$K$4:$L$509,2,0),"")</f>
        <v/>
      </c>
    </row>
    <row r="158" customFormat="false" ht="14.25" hidden="false" customHeight="false" outlineLevel="0" collapsed="false">
      <c r="F158" s="1" t="e">
        <f aca="false">IF(OR(I158=1,J158=1),1,0)</f>
        <v>#N/A</v>
      </c>
      <c r="G158" s="1" t="e">
        <f aca="false">TEXT(H158,"DDD")</f>
        <v>#N/A</v>
      </c>
      <c r="H158" s="150" t="e">
        <f aca="false">IF(H157&gt;='Tallerdata.com'!$X$4,NA(),H157+1)</f>
        <v>#N/A</v>
      </c>
      <c r="I158" s="2" t="n">
        <f aca="false">IFERROR(IF(VLOOKUP(H158,$A$4:$A$33,1,0),1,0),0)</f>
        <v>0</v>
      </c>
      <c r="J158" s="2" t="e">
        <f aca="false">IF(AND($D$4=TRUE(),G158="Sáb"),1,IF(AND($D$5=TRUE(),G158="Dom"),1,0))</f>
        <v>#N/A</v>
      </c>
      <c r="K158" s="2" t="e">
        <f aca="false">IF(L158="No",K157,K157+1)</f>
        <v>#N/A</v>
      </c>
      <c r="L158" s="152" t="e">
        <f aca="false">IF(AND(I158=0,J158=0),H158,"NO")</f>
        <v>#N/A</v>
      </c>
      <c r="N158" s="1" t="n">
        <f aca="false">N157+1</f>
        <v>155</v>
      </c>
      <c r="O158" s="150" t="str">
        <f aca="false">IFERROR(VLOOKUP(N158,$K$4:$L$509,2,0),"")</f>
        <v/>
      </c>
    </row>
    <row r="159" customFormat="false" ht="14.25" hidden="false" customHeight="false" outlineLevel="0" collapsed="false">
      <c r="F159" s="1" t="e">
        <f aca="false">IF(OR(I159=1,J159=1),1,0)</f>
        <v>#N/A</v>
      </c>
      <c r="G159" s="1" t="e">
        <f aca="false">TEXT(H159,"DDD")</f>
        <v>#N/A</v>
      </c>
      <c r="H159" s="150" t="e">
        <f aca="false">IF(H158&gt;='Tallerdata.com'!$X$4,NA(),H158+1)</f>
        <v>#N/A</v>
      </c>
      <c r="I159" s="2" t="n">
        <f aca="false">IFERROR(IF(VLOOKUP(H159,$A$4:$A$33,1,0),1,0),0)</f>
        <v>0</v>
      </c>
      <c r="J159" s="2" t="e">
        <f aca="false">IF(AND($D$4=TRUE(),G159="Sáb"),1,IF(AND($D$5=TRUE(),G159="Dom"),1,0))</f>
        <v>#N/A</v>
      </c>
      <c r="K159" s="2" t="e">
        <f aca="false">IF(L159="No",K158,K158+1)</f>
        <v>#N/A</v>
      </c>
      <c r="L159" s="152" t="e">
        <f aca="false">IF(AND(I159=0,J159=0),H159,"NO")</f>
        <v>#N/A</v>
      </c>
      <c r="N159" s="1" t="n">
        <f aca="false">N158+1</f>
        <v>156</v>
      </c>
      <c r="O159" s="150" t="str">
        <f aca="false">IFERROR(VLOOKUP(N159,$K$4:$L$509,2,0),"")</f>
        <v/>
      </c>
    </row>
    <row r="160" customFormat="false" ht="14.25" hidden="false" customHeight="false" outlineLevel="0" collapsed="false">
      <c r="F160" s="1" t="e">
        <f aca="false">IF(OR(I160=1,J160=1),1,0)</f>
        <v>#N/A</v>
      </c>
      <c r="G160" s="1" t="e">
        <f aca="false">TEXT(H160,"DDD")</f>
        <v>#N/A</v>
      </c>
      <c r="H160" s="150" t="e">
        <f aca="false">IF(H159&gt;='Tallerdata.com'!$X$4,NA(),H159+1)</f>
        <v>#N/A</v>
      </c>
      <c r="I160" s="2" t="n">
        <f aca="false">IFERROR(IF(VLOOKUP(H160,$A$4:$A$33,1,0),1,0),0)</f>
        <v>0</v>
      </c>
      <c r="J160" s="2" t="e">
        <f aca="false">IF(AND($D$4=TRUE(),G160="Sáb"),1,IF(AND($D$5=TRUE(),G160="Dom"),1,0))</f>
        <v>#N/A</v>
      </c>
      <c r="K160" s="2" t="e">
        <f aca="false">IF(L160="No",K159,K159+1)</f>
        <v>#N/A</v>
      </c>
      <c r="L160" s="152" t="e">
        <f aca="false">IF(AND(I160=0,J160=0),H160,"NO")</f>
        <v>#N/A</v>
      </c>
      <c r="N160" s="1" t="n">
        <f aca="false">N159+1</f>
        <v>157</v>
      </c>
      <c r="O160" s="150" t="str">
        <f aca="false">IFERROR(VLOOKUP(N160,$K$4:$L$509,2,0),"")</f>
        <v/>
      </c>
    </row>
    <row r="161" customFormat="false" ht="14.25" hidden="false" customHeight="false" outlineLevel="0" collapsed="false">
      <c r="F161" s="1" t="e">
        <f aca="false">IF(OR(I161=1,J161=1),1,0)</f>
        <v>#N/A</v>
      </c>
      <c r="G161" s="1" t="e">
        <f aca="false">TEXT(H161,"DDD")</f>
        <v>#N/A</v>
      </c>
      <c r="H161" s="150" t="e">
        <f aca="false">IF(H160&gt;='Tallerdata.com'!$X$4,NA(),H160+1)</f>
        <v>#N/A</v>
      </c>
      <c r="I161" s="2" t="n">
        <f aca="false">IFERROR(IF(VLOOKUP(H161,$A$4:$A$33,1,0),1,0),0)</f>
        <v>0</v>
      </c>
      <c r="J161" s="2" t="e">
        <f aca="false">IF(AND($D$4=TRUE(),G161="Sáb"),1,IF(AND($D$5=TRUE(),G161="Dom"),1,0))</f>
        <v>#N/A</v>
      </c>
      <c r="K161" s="2" t="e">
        <f aca="false">IF(L161="No",K160,K160+1)</f>
        <v>#N/A</v>
      </c>
      <c r="L161" s="152" t="e">
        <f aca="false">IF(AND(I161=0,J161=0),H161,"NO")</f>
        <v>#N/A</v>
      </c>
      <c r="N161" s="1" t="n">
        <f aca="false">N160+1</f>
        <v>158</v>
      </c>
      <c r="O161" s="150" t="str">
        <f aca="false">IFERROR(VLOOKUP(N161,$K$4:$L$509,2,0),"")</f>
        <v/>
      </c>
    </row>
    <row r="162" customFormat="false" ht="14.25" hidden="false" customHeight="false" outlineLevel="0" collapsed="false">
      <c r="F162" s="1" t="e">
        <f aca="false">IF(OR(I162=1,J162=1),1,0)</f>
        <v>#N/A</v>
      </c>
      <c r="G162" s="1" t="e">
        <f aca="false">TEXT(H162,"DDD")</f>
        <v>#N/A</v>
      </c>
      <c r="H162" s="150" t="e">
        <f aca="false">IF(H161&gt;='Tallerdata.com'!$X$4,NA(),H161+1)</f>
        <v>#N/A</v>
      </c>
      <c r="I162" s="2" t="n">
        <f aca="false">IFERROR(IF(VLOOKUP(H162,$A$4:$A$33,1,0),1,0),0)</f>
        <v>0</v>
      </c>
      <c r="J162" s="2" t="e">
        <f aca="false">IF(AND($D$4=TRUE(),G162="Sáb"),1,IF(AND($D$5=TRUE(),G162="Dom"),1,0))</f>
        <v>#N/A</v>
      </c>
      <c r="K162" s="2" t="e">
        <f aca="false">IF(L162="No",K161,K161+1)</f>
        <v>#N/A</v>
      </c>
      <c r="L162" s="152" t="e">
        <f aca="false">IF(AND(I162=0,J162=0),H162,"NO")</f>
        <v>#N/A</v>
      </c>
      <c r="N162" s="1" t="n">
        <f aca="false">N161+1</f>
        <v>159</v>
      </c>
      <c r="O162" s="150" t="str">
        <f aca="false">IFERROR(VLOOKUP(N162,$K$4:$L$509,2,0),"")</f>
        <v/>
      </c>
    </row>
    <row r="163" customFormat="false" ht="14.25" hidden="false" customHeight="false" outlineLevel="0" collapsed="false">
      <c r="F163" s="1" t="e">
        <f aca="false">IF(OR(I163=1,J163=1),1,0)</f>
        <v>#N/A</v>
      </c>
      <c r="G163" s="1" t="e">
        <f aca="false">TEXT(H163,"DDD")</f>
        <v>#N/A</v>
      </c>
      <c r="H163" s="150" t="e">
        <f aca="false">IF(H162&gt;='Tallerdata.com'!$X$4,NA(),H162+1)</f>
        <v>#N/A</v>
      </c>
      <c r="I163" s="2" t="n">
        <f aca="false">IFERROR(IF(VLOOKUP(H163,$A$4:$A$33,1,0),1,0),0)</f>
        <v>0</v>
      </c>
      <c r="J163" s="2" t="e">
        <f aca="false">IF(AND($D$4=TRUE(),G163="Sáb"),1,IF(AND($D$5=TRUE(),G163="Dom"),1,0))</f>
        <v>#N/A</v>
      </c>
      <c r="K163" s="2" t="e">
        <f aca="false">IF(L163="No",K162,K162+1)</f>
        <v>#N/A</v>
      </c>
      <c r="L163" s="152" t="e">
        <f aca="false">IF(AND(I163=0,J163=0),H163,"NO")</f>
        <v>#N/A</v>
      </c>
      <c r="N163" s="1" t="n">
        <f aca="false">N162+1</f>
        <v>160</v>
      </c>
      <c r="O163" s="150" t="str">
        <f aca="false">IFERROR(VLOOKUP(N163,$K$4:$L$509,2,0),"")</f>
        <v/>
      </c>
    </row>
    <row r="164" customFormat="false" ht="14.25" hidden="false" customHeight="false" outlineLevel="0" collapsed="false">
      <c r="F164" s="1" t="e">
        <f aca="false">IF(OR(I164=1,J164=1),1,0)</f>
        <v>#N/A</v>
      </c>
      <c r="G164" s="1" t="e">
        <f aca="false">TEXT(H164,"DDD")</f>
        <v>#N/A</v>
      </c>
      <c r="H164" s="150" t="e">
        <f aca="false">IF(H163&gt;='Tallerdata.com'!$X$4,NA(),H163+1)</f>
        <v>#N/A</v>
      </c>
      <c r="I164" s="2" t="n">
        <f aca="false">IFERROR(IF(VLOOKUP(H164,$A$4:$A$33,1,0),1,0),0)</f>
        <v>0</v>
      </c>
      <c r="J164" s="2" t="e">
        <f aca="false">IF(AND($D$4=TRUE(),G164="Sáb"),1,IF(AND($D$5=TRUE(),G164="Dom"),1,0))</f>
        <v>#N/A</v>
      </c>
      <c r="K164" s="2" t="e">
        <f aca="false">IF(L164="No",K163,K163+1)</f>
        <v>#N/A</v>
      </c>
      <c r="L164" s="152" t="e">
        <f aca="false">IF(AND(I164=0,J164=0),H164,"NO")</f>
        <v>#N/A</v>
      </c>
      <c r="N164" s="1" t="n">
        <f aca="false">N163+1</f>
        <v>161</v>
      </c>
      <c r="O164" s="150" t="str">
        <f aca="false">IFERROR(VLOOKUP(N164,$K$4:$L$509,2,0),"")</f>
        <v/>
      </c>
    </row>
    <row r="165" customFormat="false" ht="14.25" hidden="false" customHeight="false" outlineLevel="0" collapsed="false">
      <c r="F165" s="1" t="e">
        <f aca="false">IF(OR(I165=1,J165=1),1,0)</f>
        <v>#N/A</v>
      </c>
      <c r="G165" s="1" t="e">
        <f aca="false">TEXT(H165,"DDD")</f>
        <v>#N/A</v>
      </c>
      <c r="H165" s="150" t="e">
        <f aca="false">IF(H164&gt;='Tallerdata.com'!$X$4,NA(),H164+1)</f>
        <v>#N/A</v>
      </c>
      <c r="I165" s="2" t="n">
        <f aca="false">IFERROR(IF(VLOOKUP(H165,$A$4:$A$33,1,0),1,0),0)</f>
        <v>0</v>
      </c>
      <c r="J165" s="2" t="e">
        <f aca="false">IF(AND($D$4=TRUE(),G165="Sáb"),1,IF(AND($D$5=TRUE(),G165="Dom"),1,0))</f>
        <v>#N/A</v>
      </c>
      <c r="K165" s="2" t="e">
        <f aca="false">IF(L165="No",K164,K164+1)</f>
        <v>#N/A</v>
      </c>
      <c r="L165" s="152" t="e">
        <f aca="false">IF(AND(I165=0,J165=0),H165,"NO")</f>
        <v>#N/A</v>
      </c>
      <c r="N165" s="1" t="n">
        <f aca="false">N164+1</f>
        <v>162</v>
      </c>
      <c r="O165" s="150" t="str">
        <f aca="false">IFERROR(VLOOKUP(N165,$K$4:$L$509,2,0),"")</f>
        <v/>
      </c>
    </row>
    <row r="166" customFormat="false" ht="14.25" hidden="false" customHeight="false" outlineLevel="0" collapsed="false">
      <c r="F166" s="1" t="e">
        <f aca="false">IF(OR(I166=1,J166=1),1,0)</f>
        <v>#N/A</v>
      </c>
      <c r="G166" s="1" t="e">
        <f aca="false">TEXT(H166,"DDD")</f>
        <v>#N/A</v>
      </c>
      <c r="H166" s="150" t="e">
        <f aca="false">IF(H165&gt;='Tallerdata.com'!$X$4,NA(),H165+1)</f>
        <v>#N/A</v>
      </c>
      <c r="I166" s="2" t="n">
        <f aca="false">IFERROR(IF(VLOOKUP(H166,$A$4:$A$33,1,0),1,0),0)</f>
        <v>0</v>
      </c>
      <c r="J166" s="2" t="e">
        <f aca="false">IF(AND($D$4=TRUE(),G166="Sáb"),1,IF(AND($D$5=TRUE(),G166="Dom"),1,0))</f>
        <v>#N/A</v>
      </c>
      <c r="K166" s="2" t="e">
        <f aca="false">IF(L166="No",K165,K165+1)</f>
        <v>#N/A</v>
      </c>
      <c r="L166" s="152" t="e">
        <f aca="false">IF(AND(I166=0,J166=0),H166,"NO")</f>
        <v>#N/A</v>
      </c>
      <c r="N166" s="1" t="n">
        <f aca="false">N165+1</f>
        <v>163</v>
      </c>
      <c r="O166" s="150" t="str">
        <f aca="false">IFERROR(VLOOKUP(N166,$K$4:$L$509,2,0),"")</f>
        <v/>
      </c>
    </row>
    <row r="167" customFormat="false" ht="14.25" hidden="false" customHeight="false" outlineLevel="0" collapsed="false">
      <c r="F167" s="1" t="e">
        <f aca="false">IF(OR(I167=1,J167=1),1,0)</f>
        <v>#N/A</v>
      </c>
      <c r="G167" s="1" t="e">
        <f aca="false">TEXT(H167,"DDD")</f>
        <v>#N/A</v>
      </c>
      <c r="H167" s="150" t="e">
        <f aca="false">IF(H166&gt;='Tallerdata.com'!$X$4,NA(),H166+1)</f>
        <v>#N/A</v>
      </c>
      <c r="I167" s="2" t="n">
        <f aca="false">IFERROR(IF(VLOOKUP(H167,$A$4:$A$33,1,0),1,0),0)</f>
        <v>0</v>
      </c>
      <c r="J167" s="2" t="e">
        <f aca="false">IF(AND($D$4=TRUE(),G167="Sáb"),1,IF(AND($D$5=TRUE(),G167="Dom"),1,0))</f>
        <v>#N/A</v>
      </c>
      <c r="K167" s="2" t="e">
        <f aca="false">IF(L167="No",K166,K166+1)</f>
        <v>#N/A</v>
      </c>
      <c r="L167" s="152" t="e">
        <f aca="false">IF(AND(I167=0,J167=0),H167,"NO")</f>
        <v>#N/A</v>
      </c>
      <c r="N167" s="1" t="n">
        <f aca="false">N166+1</f>
        <v>164</v>
      </c>
      <c r="O167" s="150" t="str">
        <f aca="false">IFERROR(VLOOKUP(N167,$K$4:$L$509,2,0),"")</f>
        <v/>
      </c>
    </row>
    <row r="168" customFormat="false" ht="14.25" hidden="false" customHeight="false" outlineLevel="0" collapsed="false">
      <c r="F168" s="1" t="e">
        <f aca="false">IF(OR(I168=1,J168=1),1,0)</f>
        <v>#N/A</v>
      </c>
      <c r="G168" s="1" t="e">
        <f aca="false">TEXT(H168,"DDD")</f>
        <v>#N/A</v>
      </c>
      <c r="H168" s="150" t="e">
        <f aca="false">IF(H167&gt;='Tallerdata.com'!$X$4,NA(),H167+1)</f>
        <v>#N/A</v>
      </c>
      <c r="I168" s="2" t="n">
        <f aca="false">IFERROR(IF(VLOOKUP(H168,$A$4:$A$33,1,0),1,0),0)</f>
        <v>0</v>
      </c>
      <c r="J168" s="2" t="e">
        <f aca="false">IF(AND($D$4=TRUE(),G168="Sáb"),1,IF(AND($D$5=TRUE(),G168="Dom"),1,0))</f>
        <v>#N/A</v>
      </c>
      <c r="K168" s="2" t="e">
        <f aca="false">IF(L168="No",K167,K167+1)</f>
        <v>#N/A</v>
      </c>
      <c r="L168" s="152" t="e">
        <f aca="false">IF(AND(I168=0,J168=0),H168,"NO")</f>
        <v>#N/A</v>
      </c>
      <c r="N168" s="1" t="n">
        <f aca="false">N167+1</f>
        <v>165</v>
      </c>
      <c r="O168" s="150" t="str">
        <f aca="false">IFERROR(VLOOKUP(N168,$K$4:$L$509,2,0),"")</f>
        <v/>
      </c>
    </row>
    <row r="169" customFormat="false" ht="14.25" hidden="false" customHeight="false" outlineLevel="0" collapsed="false">
      <c r="F169" s="1" t="e">
        <f aca="false">IF(OR(I169=1,J169=1),1,0)</f>
        <v>#N/A</v>
      </c>
      <c r="G169" s="1" t="e">
        <f aca="false">TEXT(H169,"DDD")</f>
        <v>#N/A</v>
      </c>
      <c r="H169" s="150" t="e">
        <f aca="false">IF(H168&gt;='Tallerdata.com'!$X$4,NA(),H168+1)</f>
        <v>#N/A</v>
      </c>
      <c r="I169" s="2" t="n">
        <f aca="false">IFERROR(IF(VLOOKUP(H169,$A$4:$A$33,1,0),1,0),0)</f>
        <v>0</v>
      </c>
      <c r="J169" s="2" t="e">
        <f aca="false">IF(AND($D$4=TRUE(),G169="Sáb"),1,IF(AND($D$5=TRUE(),G169="Dom"),1,0))</f>
        <v>#N/A</v>
      </c>
      <c r="K169" s="2" t="e">
        <f aca="false">IF(L169="No",K168,K168+1)</f>
        <v>#N/A</v>
      </c>
      <c r="L169" s="152" t="e">
        <f aca="false">IF(AND(I169=0,J169=0),H169,"NO")</f>
        <v>#N/A</v>
      </c>
      <c r="N169" s="1" t="n">
        <f aca="false">N168+1</f>
        <v>166</v>
      </c>
      <c r="O169" s="150" t="str">
        <f aca="false">IFERROR(VLOOKUP(N169,$K$4:$L$509,2,0),"")</f>
        <v/>
      </c>
    </row>
    <row r="170" customFormat="false" ht="14.25" hidden="false" customHeight="false" outlineLevel="0" collapsed="false">
      <c r="F170" s="1" t="e">
        <f aca="false">IF(OR(I170=1,J170=1),1,0)</f>
        <v>#N/A</v>
      </c>
      <c r="G170" s="1" t="e">
        <f aca="false">TEXT(H170,"DDD")</f>
        <v>#N/A</v>
      </c>
      <c r="H170" s="150" t="e">
        <f aca="false">IF(H169&gt;='Tallerdata.com'!$X$4,NA(),H169+1)</f>
        <v>#N/A</v>
      </c>
      <c r="I170" s="2" t="n">
        <f aca="false">IFERROR(IF(VLOOKUP(H170,$A$4:$A$33,1,0),1,0),0)</f>
        <v>0</v>
      </c>
      <c r="J170" s="2" t="e">
        <f aca="false">IF(AND($D$4=TRUE(),G170="Sáb"),1,IF(AND($D$5=TRUE(),G170="Dom"),1,0))</f>
        <v>#N/A</v>
      </c>
      <c r="K170" s="2" t="e">
        <f aca="false">IF(L170="No",K169,K169+1)</f>
        <v>#N/A</v>
      </c>
      <c r="L170" s="152" t="e">
        <f aca="false">IF(AND(I170=0,J170=0),H170,"NO")</f>
        <v>#N/A</v>
      </c>
      <c r="N170" s="1" t="n">
        <f aca="false">N169+1</f>
        <v>167</v>
      </c>
      <c r="O170" s="150" t="str">
        <f aca="false">IFERROR(VLOOKUP(N170,$K$4:$L$509,2,0),"")</f>
        <v/>
      </c>
    </row>
    <row r="171" customFormat="false" ht="14.25" hidden="false" customHeight="false" outlineLevel="0" collapsed="false">
      <c r="F171" s="1" t="e">
        <f aca="false">IF(OR(I171=1,J171=1),1,0)</f>
        <v>#N/A</v>
      </c>
      <c r="G171" s="1" t="e">
        <f aca="false">TEXT(H171,"DDD")</f>
        <v>#N/A</v>
      </c>
      <c r="H171" s="150" t="e">
        <f aca="false">IF(H170&gt;='Tallerdata.com'!$X$4,NA(),H170+1)</f>
        <v>#N/A</v>
      </c>
      <c r="I171" s="2" t="n">
        <f aca="false">IFERROR(IF(VLOOKUP(H171,$A$4:$A$33,1,0),1,0),0)</f>
        <v>0</v>
      </c>
      <c r="J171" s="2" t="e">
        <f aca="false">IF(AND($D$4=TRUE(),G171="Sáb"),1,IF(AND($D$5=TRUE(),G171="Dom"),1,0))</f>
        <v>#N/A</v>
      </c>
      <c r="K171" s="2" t="e">
        <f aca="false">IF(L171="No",K170,K170+1)</f>
        <v>#N/A</v>
      </c>
      <c r="L171" s="152" t="e">
        <f aca="false">IF(AND(I171=0,J171=0),H171,"NO")</f>
        <v>#N/A</v>
      </c>
      <c r="N171" s="1" t="n">
        <f aca="false">N170+1</f>
        <v>168</v>
      </c>
      <c r="O171" s="150" t="str">
        <f aca="false">IFERROR(VLOOKUP(N171,$K$4:$L$509,2,0),"")</f>
        <v/>
      </c>
    </row>
    <row r="172" customFormat="false" ht="14.25" hidden="false" customHeight="false" outlineLevel="0" collapsed="false">
      <c r="F172" s="1" t="e">
        <f aca="false">IF(OR(I172=1,J172=1),1,0)</f>
        <v>#N/A</v>
      </c>
      <c r="G172" s="1" t="e">
        <f aca="false">TEXT(H172,"DDD")</f>
        <v>#N/A</v>
      </c>
      <c r="H172" s="150" t="e">
        <f aca="false">IF(H171&gt;='Tallerdata.com'!$X$4,NA(),H171+1)</f>
        <v>#N/A</v>
      </c>
      <c r="I172" s="2" t="n">
        <f aca="false">IFERROR(IF(VLOOKUP(H172,$A$4:$A$33,1,0),1,0),0)</f>
        <v>0</v>
      </c>
      <c r="J172" s="2" t="e">
        <f aca="false">IF(AND($D$4=TRUE(),G172="Sáb"),1,IF(AND($D$5=TRUE(),G172="Dom"),1,0))</f>
        <v>#N/A</v>
      </c>
      <c r="K172" s="2" t="e">
        <f aca="false">IF(L172="No",K171,K171+1)</f>
        <v>#N/A</v>
      </c>
      <c r="L172" s="152" t="e">
        <f aca="false">IF(AND(I172=0,J172=0),H172,"NO")</f>
        <v>#N/A</v>
      </c>
      <c r="N172" s="1" t="n">
        <f aca="false">N171+1</f>
        <v>169</v>
      </c>
      <c r="O172" s="150" t="str">
        <f aca="false">IFERROR(VLOOKUP(N172,$K$4:$L$509,2,0),"")</f>
        <v/>
      </c>
    </row>
    <row r="173" customFormat="false" ht="14.25" hidden="false" customHeight="false" outlineLevel="0" collapsed="false">
      <c r="F173" s="1" t="e">
        <f aca="false">IF(OR(I173=1,J173=1),1,0)</f>
        <v>#N/A</v>
      </c>
      <c r="G173" s="1" t="e">
        <f aca="false">TEXT(H173,"DDD")</f>
        <v>#N/A</v>
      </c>
      <c r="H173" s="150" t="e">
        <f aca="false">IF(H172&gt;='Tallerdata.com'!$X$4,NA(),H172+1)</f>
        <v>#N/A</v>
      </c>
      <c r="I173" s="2" t="n">
        <f aca="false">IFERROR(IF(VLOOKUP(H173,$A$4:$A$33,1,0),1,0),0)</f>
        <v>0</v>
      </c>
      <c r="J173" s="2" t="e">
        <f aca="false">IF(AND($D$4=TRUE(),G173="Sáb"),1,IF(AND($D$5=TRUE(),G173="Dom"),1,0))</f>
        <v>#N/A</v>
      </c>
      <c r="K173" s="2" t="e">
        <f aca="false">IF(L173="No",K172,K172+1)</f>
        <v>#N/A</v>
      </c>
      <c r="L173" s="152" t="e">
        <f aca="false">IF(AND(I173=0,J173=0),H173,"NO")</f>
        <v>#N/A</v>
      </c>
      <c r="N173" s="1" t="n">
        <f aca="false">N172+1</f>
        <v>170</v>
      </c>
      <c r="O173" s="150" t="str">
        <f aca="false">IFERROR(VLOOKUP(N173,$K$4:$L$509,2,0),"")</f>
        <v/>
      </c>
    </row>
    <row r="174" customFormat="false" ht="14.25" hidden="false" customHeight="false" outlineLevel="0" collapsed="false">
      <c r="F174" s="1" t="e">
        <f aca="false">IF(OR(I174=1,J174=1),1,0)</f>
        <v>#N/A</v>
      </c>
      <c r="G174" s="1" t="e">
        <f aca="false">TEXT(H174,"DDD")</f>
        <v>#N/A</v>
      </c>
      <c r="H174" s="150" t="e">
        <f aca="false">IF(H173&gt;='Tallerdata.com'!$X$4,NA(),H173+1)</f>
        <v>#N/A</v>
      </c>
      <c r="I174" s="2" t="n">
        <f aca="false">IFERROR(IF(VLOOKUP(H174,$A$4:$A$33,1,0),1,0),0)</f>
        <v>0</v>
      </c>
      <c r="J174" s="2" t="e">
        <f aca="false">IF(AND($D$4=TRUE(),G174="Sáb"),1,IF(AND($D$5=TRUE(),G174="Dom"),1,0))</f>
        <v>#N/A</v>
      </c>
      <c r="K174" s="2" t="e">
        <f aca="false">IF(L174="No",K173,K173+1)</f>
        <v>#N/A</v>
      </c>
      <c r="L174" s="152" t="e">
        <f aca="false">IF(AND(I174=0,J174=0),H174,"NO")</f>
        <v>#N/A</v>
      </c>
      <c r="N174" s="1" t="n">
        <f aca="false">N173+1</f>
        <v>171</v>
      </c>
      <c r="O174" s="150" t="str">
        <f aca="false">IFERROR(VLOOKUP(N174,$K$4:$L$509,2,0),"")</f>
        <v/>
      </c>
    </row>
    <row r="175" customFormat="false" ht="14.25" hidden="false" customHeight="false" outlineLevel="0" collapsed="false">
      <c r="F175" s="1" t="e">
        <f aca="false">IF(OR(I175=1,J175=1),1,0)</f>
        <v>#N/A</v>
      </c>
      <c r="G175" s="1" t="e">
        <f aca="false">TEXT(H175,"DDD")</f>
        <v>#N/A</v>
      </c>
      <c r="H175" s="150" t="e">
        <f aca="false">IF(H174&gt;='Tallerdata.com'!$X$4,NA(),H174+1)</f>
        <v>#N/A</v>
      </c>
      <c r="I175" s="2" t="n">
        <f aca="false">IFERROR(IF(VLOOKUP(H175,$A$4:$A$33,1,0),1,0),0)</f>
        <v>0</v>
      </c>
      <c r="J175" s="2" t="e">
        <f aca="false">IF(AND($D$4=TRUE(),G175="Sáb"),1,IF(AND($D$5=TRUE(),G175="Dom"),1,0))</f>
        <v>#N/A</v>
      </c>
      <c r="K175" s="2" t="e">
        <f aca="false">IF(L175="No",K174,K174+1)</f>
        <v>#N/A</v>
      </c>
      <c r="L175" s="152" t="e">
        <f aca="false">IF(AND(I175=0,J175=0),H175,"NO")</f>
        <v>#N/A</v>
      </c>
      <c r="N175" s="1" t="n">
        <f aca="false">N174+1</f>
        <v>172</v>
      </c>
      <c r="O175" s="150" t="str">
        <f aca="false">IFERROR(VLOOKUP(N175,$K$4:$L$509,2,0),"")</f>
        <v/>
      </c>
    </row>
    <row r="176" customFormat="false" ht="14.25" hidden="false" customHeight="false" outlineLevel="0" collapsed="false">
      <c r="F176" s="1" t="e">
        <f aca="false">IF(OR(I176=1,J176=1),1,0)</f>
        <v>#N/A</v>
      </c>
      <c r="G176" s="1" t="e">
        <f aca="false">TEXT(H176,"DDD")</f>
        <v>#N/A</v>
      </c>
      <c r="H176" s="150" t="e">
        <f aca="false">IF(H175&gt;='Tallerdata.com'!$X$4,NA(),H175+1)</f>
        <v>#N/A</v>
      </c>
      <c r="I176" s="2" t="n">
        <f aca="false">IFERROR(IF(VLOOKUP(H176,$A$4:$A$33,1,0),1,0),0)</f>
        <v>0</v>
      </c>
      <c r="J176" s="2" t="e">
        <f aca="false">IF(AND($D$4=TRUE(),G176="Sáb"),1,IF(AND($D$5=TRUE(),G176="Dom"),1,0))</f>
        <v>#N/A</v>
      </c>
      <c r="K176" s="2" t="e">
        <f aca="false">IF(L176="No",K175,K175+1)</f>
        <v>#N/A</v>
      </c>
      <c r="L176" s="152" t="e">
        <f aca="false">IF(AND(I176=0,J176=0),H176,"NO")</f>
        <v>#N/A</v>
      </c>
      <c r="N176" s="1" t="n">
        <f aca="false">N175+1</f>
        <v>173</v>
      </c>
      <c r="O176" s="150" t="str">
        <f aca="false">IFERROR(VLOOKUP(N176,$K$4:$L$509,2,0),"")</f>
        <v/>
      </c>
    </row>
    <row r="177" customFormat="false" ht="14.25" hidden="false" customHeight="false" outlineLevel="0" collapsed="false">
      <c r="F177" s="1" t="e">
        <f aca="false">IF(OR(I177=1,J177=1),1,0)</f>
        <v>#N/A</v>
      </c>
      <c r="G177" s="1" t="e">
        <f aca="false">TEXT(H177,"DDD")</f>
        <v>#N/A</v>
      </c>
      <c r="H177" s="150" t="e">
        <f aca="false">IF(H176&gt;='Tallerdata.com'!$X$4,NA(),H176+1)</f>
        <v>#N/A</v>
      </c>
      <c r="I177" s="2" t="n">
        <f aca="false">IFERROR(IF(VLOOKUP(H177,$A$4:$A$33,1,0),1,0),0)</f>
        <v>0</v>
      </c>
      <c r="J177" s="2" t="e">
        <f aca="false">IF(AND($D$4=TRUE(),G177="Sáb"),1,IF(AND($D$5=TRUE(),G177="Dom"),1,0))</f>
        <v>#N/A</v>
      </c>
      <c r="K177" s="2" t="e">
        <f aca="false">IF(L177="No",K176,K176+1)</f>
        <v>#N/A</v>
      </c>
      <c r="L177" s="152" t="e">
        <f aca="false">IF(AND(I177=0,J177=0),H177,"NO")</f>
        <v>#N/A</v>
      </c>
      <c r="N177" s="1" t="n">
        <f aca="false">N176+1</f>
        <v>174</v>
      </c>
      <c r="O177" s="150" t="str">
        <f aca="false">IFERROR(VLOOKUP(N177,$K$4:$L$509,2,0),"")</f>
        <v/>
      </c>
    </row>
    <row r="178" customFormat="false" ht="14.25" hidden="false" customHeight="false" outlineLevel="0" collapsed="false">
      <c r="F178" s="1" t="e">
        <f aca="false">IF(OR(I178=1,J178=1),1,0)</f>
        <v>#N/A</v>
      </c>
      <c r="G178" s="1" t="e">
        <f aca="false">TEXT(H178,"DDD")</f>
        <v>#N/A</v>
      </c>
      <c r="H178" s="150" t="e">
        <f aca="false">IF(H177&gt;='Tallerdata.com'!$X$4,NA(),H177+1)</f>
        <v>#N/A</v>
      </c>
      <c r="I178" s="2" t="n">
        <f aca="false">IFERROR(IF(VLOOKUP(H178,$A$4:$A$33,1,0),1,0),0)</f>
        <v>0</v>
      </c>
      <c r="J178" s="2" t="e">
        <f aca="false">IF(AND($D$4=TRUE(),G178="Sáb"),1,IF(AND($D$5=TRUE(),G178="Dom"),1,0))</f>
        <v>#N/A</v>
      </c>
      <c r="K178" s="2" t="e">
        <f aca="false">IF(L178="No",K177,K177+1)</f>
        <v>#N/A</v>
      </c>
      <c r="L178" s="152" t="e">
        <f aca="false">IF(AND(I178=0,J178=0),H178,"NO")</f>
        <v>#N/A</v>
      </c>
      <c r="N178" s="1" t="n">
        <f aca="false">N177+1</f>
        <v>175</v>
      </c>
      <c r="O178" s="150" t="str">
        <f aca="false">IFERROR(VLOOKUP(N178,$K$4:$L$509,2,0),"")</f>
        <v/>
      </c>
    </row>
    <row r="179" customFormat="false" ht="14.25" hidden="false" customHeight="false" outlineLevel="0" collapsed="false">
      <c r="F179" s="1" t="e">
        <f aca="false">IF(OR(I179=1,J179=1),1,0)</f>
        <v>#N/A</v>
      </c>
      <c r="G179" s="1" t="e">
        <f aca="false">TEXT(H179,"DDD")</f>
        <v>#N/A</v>
      </c>
      <c r="H179" s="150" t="e">
        <f aca="false">IF(H178&gt;='Tallerdata.com'!$X$4,NA(),H178+1)</f>
        <v>#N/A</v>
      </c>
      <c r="I179" s="2" t="n">
        <f aca="false">IFERROR(IF(VLOOKUP(H179,$A$4:$A$33,1,0),1,0),0)</f>
        <v>0</v>
      </c>
      <c r="J179" s="2" t="e">
        <f aca="false">IF(AND($D$4=TRUE(),G179="Sáb"),1,IF(AND($D$5=TRUE(),G179="Dom"),1,0))</f>
        <v>#N/A</v>
      </c>
      <c r="K179" s="2" t="e">
        <f aca="false">IF(L179="No",K178,K178+1)</f>
        <v>#N/A</v>
      </c>
      <c r="L179" s="152" t="e">
        <f aca="false">IF(AND(I179=0,J179=0),H179,"NO")</f>
        <v>#N/A</v>
      </c>
      <c r="N179" s="1" t="n">
        <f aca="false">N178+1</f>
        <v>176</v>
      </c>
      <c r="O179" s="150" t="str">
        <f aca="false">IFERROR(VLOOKUP(N179,$K$4:$L$509,2,0),"")</f>
        <v/>
      </c>
    </row>
    <row r="180" customFormat="false" ht="14.25" hidden="false" customHeight="false" outlineLevel="0" collapsed="false">
      <c r="F180" s="1" t="e">
        <f aca="false">IF(OR(I180=1,J180=1),1,0)</f>
        <v>#N/A</v>
      </c>
      <c r="G180" s="1" t="e">
        <f aca="false">TEXT(H180,"DDD")</f>
        <v>#N/A</v>
      </c>
      <c r="H180" s="150" t="e">
        <f aca="false">IF(H179&gt;='Tallerdata.com'!$X$4,NA(),H179+1)</f>
        <v>#N/A</v>
      </c>
      <c r="I180" s="2" t="n">
        <f aca="false">IFERROR(IF(VLOOKUP(H180,$A$4:$A$33,1,0),1,0),0)</f>
        <v>0</v>
      </c>
      <c r="J180" s="2" t="e">
        <f aca="false">IF(AND($D$4=TRUE(),G180="Sáb"),1,IF(AND($D$5=TRUE(),G180="Dom"),1,0))</f>
        <v>#N/A</v>
      </c>
      <c r="K180" s="2" t="e">
        <f aca="false">IF(L180="No",K179,K179+1)</f>
        <v>#N/A</v>
      </c>
      <c r="L180" s="152" t="e">
        <f aca="false">IF(AND(I180=0,J180=0),H180,"NO")</f>
        <v>#N/A</v>
      </c>
      <c r="N180" s="1" t="n">
        <f aca="false">N179+1</f>
        <v>177</v>
      </c>
      <c r="O180" s="150" t="str">
        <f aca="false">IFERROR(VLOOKUP(N180,$K$4:$L$509,2,0),"")</f>
        <v/>
      </c>
    </row>
    <row r="181" customFormat="false" ht="14.25" hidden="false" customHeight="false" outlineLevel="0" collapsed="false">
      <c r="F181" s="1" t="e">
        <f aca="false">IF(OR(I181=1,J181=1),1,0)</f>
        <v>#N/A</v>
      </c>
      <c r="G181" s="1" t="e">
        <f aca="false">TEXT(H181,"DDD")</f>
        <v>#N/A</v>
      </c>
      <c r="H181" s="150" t="e">
        <f aca="false">IF(H180&gt;='Tallerdata.com'!$X$4,NA(),H180+1)</f>
        <v>#N/A</v>
      </c>
      <c r="I181" s="2" t="n">
        <f aca="false">IFERROR(IF(VLOOKUP(H181,$A$4:$A$33,1,0),1,0),0)</f>
        <v>0</v>
      </c>
      <c r="J181" s="2" t="e">
        <f aca="false">IF(AND($D$4=TRUE(),G181="Sáb"),1,IF(AND($D$5=TRUE(),G181="Dom"),1,0))</f>
        <v>#N/A</v>
      </c>
      <c r="K181" s="2" t="e">
        <f aca="false">IF(L181="No",K180,K180+1)</f>
        <v>#N/A</v>
      </c>
      <c r="L181" s="152" t="e">
        <f aca="false">IF(AND(I181=0,J181=0),H181,"NO")</f>
        <v>#N/A</v>
      </c>
      <c r="N181" s="1" t="n">
        <f aca="false">N180+1</f>
        <v>178</v>
      </c>
      <c r="O181" s="150" t="str">
        <f aca="false">IFERROR(VLOOKUP(N181,$K$4:$L$509,2,0),"")</f>
        <v/>
      </c>
    </row>
    <row r="182" customFormat="false" ht="14.25" hidden="false" customHeight="false" outlineLevel="0" collapsed="false">
      <c r="F182" s="1" t="e">
        <f aca="false">IF(OR(I182=1,J182=1),1,0)</f>
        <v>#N/A</v>
      </c>
      <c r="G182" s="1" t="e">
        <f aca="false">TEXT(H182,"DDD")</f>
        <v>#N/A</v>
      </c>
      <c r="H182" s="150" t="e">
        <f aca="false">IF(H181&gt;='Tallerdata.com'!$X$4,NA(),H181+1)</f>
        <v>#N/A</v>
      </c>
      <c r="I182" s="2" t="n">
        <f aca="false">IFERROR(IF(VLOOKUP(H182,$A$4:$A$33,1,0),1,0),0)</f>
        <v>0</v>
      </c>
      <c r="J182" s="2" t="e">
        <f aca="false">IF(AND($D$4=TRUE(),G182="Sáb"),1,IF(AND($D$5=TRUE(),G182="Dom"),1,0))</f>
        <v>#N/A</v>
      </c>
      <c r="K182" s="2" t="e">
        <f aca="false">IF(L182="No",K181,K181+1)</f>
        <v>#N/A</v>
      </c>
      <c r="L182" s="152" t="e">
        <f aca="false">IF(AND(I182=0,J182=0),H182,"NO")</f>
        <v>#N/A</v>
      </c>
      <c r="N182" s="1" t="n">
        <f aca="false">N181+1</f>
        <v>179</v>
      </c>
      <c r="O182" s="150" t="str">
        <f aca="false">IFERROR(VLOOKUP(N182,$K$4:$L$509,2,0),"")</f>
        <v/>
      </c>
    </row>
    <row r="183" customFormat="false" ht="14.25" hidden="false" customHeight="false" outlineLevel="0" collapsed="false">
      <c r="F183" s="1" t="e">
        <f aca="false">IF(OR(I183=1,J183=1),1,0)</f>
        <v>#N/A</v>
      </c>
      <c r="G183" s="1" t="e">
        <f aca="false">TEXT(H183,"DDD")</f>
        <v>#N/A</v>
      </c>
      <c r="H183" s="150" t="e">
        <f aca="false">IF(H182&gt;='Tallerdata.com'!$X$4,NA(),H182+1)</f>
        <v>#N/A</v>
      </c>
      <c r="I183" s="2" t="n">
        <f aca="false">IFERROR(IF(VLOOKUP(H183,$A$4:$A$33,1,0),1,0),0)</f>
        <v>0</v>
      </c>
      <c r="J183" s="2" t="e">
        <f aca="false">IF(AND($D$4=TRUE(),G183="Sáb"),1,IF(AND($D$5=TRUE(),G183="Dom"),1,0))</f>
        <v>#N/A</v>
      </c>
      <c r="K183" s="2" t="e">
        <f aca="false">IF(L183="No",K182,K182+1)</f>
        <v>#N/A</v>
      </c>
      <c r="L183" s="152" t="e">
        <f aca="false">IF(AND(I183=0,J183=0),H183,"NO")</f>
        <v>#N/A</v>
      </c>
      <c r="N183" s="1" t="n">
        <f aca="false">N182+1</f>
        <v>180</v>
      </c>
      <c r="O183" s="150" t="str">
        <f aca="false">IFERROR(VLOOKUP(N183,$K$4:$L$509,2,0),"")</f>
        <v/>
      </c>
    </row>
    <row r="184" customFormat="false" ht="14.25" hidden="false" customHeight="false" outlineLevel="0" collapsed="false">
      <c r="F184" s="1" t="e">
        <f aca="false">IF(OR(I184=1,J184=1),1,0)</f>
        <v>#N/A</v>
      </c>
      <c r="G184" s="1" t="e">
        <f aca="false">TEXT(H184,"DDD")</f>
        <v>#N/A</v>
      </c>
      <c r="H184" s="150" t="e">
        <f aca="false">IF(H183&gt;='Tallerdata.com'!$X$4,NA(),H183+1)</f>
        <v>#N/A</v>
      </c>
      <c r="I184" s="2" t="n">
        <f aca="false">IFERROR(IF(VLOOKUP(H184,$A$4:$A$33,1,0),1,0),0)</f>
        <v>0</v>
      </c>
      <c r="J184" s="2" t="e">
        <f aca="false">IF(AND($D$4=TRUE(),G184="Sáb"),1,IF(AND($D$5=TRUE(),G184="Dom"),1,0))</f>
        <v>#N/A</v>
      </c>
      <c r="K184" s="2" t="e">
        <f aca="false">IF(L184="No",K183,K183+1)</f>
        <v>#N/A</v>
      </c>
      <c r="L184" s="152" t="e">
        <f aca="false">IF(AND(I184=0,J184=0),H184,"NO")</f>
        <v>#N/A</v>
      </c>
      <c r="N184" s="1" t="n">
        <f aca="false">N183+1</f>
        <v>181</v>
      </c>
      <c r="O184" s="150" t="str">
        <f aca="false">IFERROR(VLOOKUP(N184,$K$4:$L$509,2,0),"")</f>
        <v/>
      </c>
    </row>
    <row r="185" customFormat="false" ht="14.25" hidden="false" customHeight="false" outlineLevel="0" collapsed="false">
      <c r="F185" s="1" t="e">
        <f aca="false">IF(OR(I185=1,J185=1),1,0)</f>
        <v>#N/A</v>
      </c>
      <c r="G185" s="1" t="e">
        <f aca="false">TEXT(H185,"DDD")</f>
        <v>#N/A</v>
      </c>
      <c r="H185" s="150" t="e">
        <f aca="false">IF(H184&gt;='Tallerdata.com'!$X$4,NA(),H184+1)</f>
        <v>#N/A</v>
      </c>
      <c r="I185" s="2" t="n">
        <f aca="false">IFERROR(IF(VLOOKUP(H185,$A$4:$A$33,1,0),1,0),0)</f>
        <v>0</v>
      </c>
      <c r="J185" s="2" t="e">
        <f aca="false">IF(AND($D$4=TRUE(),G185="Sáb"),1,IF(AND($D$5=TRUE(),G185="Dom"),1,0))</f>
        <v>#N/A</v>
      </c>
      <c r="K185" s="2" t="e">
        <f aca="false">IF(L185="No",K184,K184+1)</f>
        <v>#N/A</v>
      </c>
      <c r="L185" s="152" t="e">
        <f aca="false">IF(AND(I185=0,J185=0),H185,"NO")</f>
        <v>#N/A</v>
      </c>
      <c r="N185" s="1" t="n">
        <f aca="false">N184+1</f>
        <v>182</v>
      </c>
      <c r="O185" s="150" t="str">
        <f aca="false">IFERROR(VLOOKUP(N185,$K$4:$L$509,2,0),"")</f>
        <v/>
      </c>
    </row>
    <row r="186" customFormat="false" ht="14.25" hidden="false" customHeight="false" outlineLevel="0" collapsed="false">
      <c r="F186" s="1" t="e">
        <f aca="false">IF(OR(I186=1,J186=1),1,0)</f>
        <v>#N/A</v>
      </c>
      <c r="G186" s="1" t="e">
        <f aca="false">TEXT(H186,"DDD")</f>
        <v>#N/A</v>
      </c>
      <c r="H186" s="150" t="e">
        <f aca="false">IF(H185&gt;='Tallerdata.com'!$X$4,NA(),H185+1)</f>
        <v>#N/A</v>
      </c>
      <c r="I186" s="2" t="n">
        <f aca="false">IFERROR(IF(VLOOKUP(H186,$A$4:$A$33,1,0),1,0),0)</f>
        <v>0</v>
      </c>
      <c r="J186" s="2" t="e">
        <f aca="false">IF(AND($D$4=TRUE(),G186="Sáb"),1,IF(AND($D$5=TRUE(),G186="Dom"),1,0))</f>
        <v>#N/A</v>
      </c>
      <c r="K186" s="2" t="e">
        <f aca="false">IF(L186="No",K185,K185+1)</f>
        <v>#N/A</v>
      </c>
      <c r="L186" s="152" t="e">
        <f aca="false">IF(AND(I186=0,J186=0),H186,"NO")</f>
        <v>#N/A</v>
      </c>
      <c r="N186" s="1" t="n">
        <f aca="false">N185+1</f>
        <v>183</v>
      </c>
      <c r="O186" s="150" t="str">
        <f aca="false">IFERROR(VLOOKUP(N186,$K$4:$L$509,2,0),"")</f>
        <v/>
      </c>
    </row>
    <row r="187" customFormat="false" ht="14.25" hidden="false" customHeight="false" outlineLevel="0" collapsed="false">
      <c r="F187" s="1" t="e">
        <f aca="false">IF(OR(I187=1,J187=1),1,0)</f>
        <v>#N/A</v>
      </c>
      <c r="G187" s="1" t="e">
        <f aca="false">TEXT(H187,"DDD")</f>
        <v>#N/A</v>
      </c>
      <c r="H187" s="150" t="e">
        <f aca="false">IF(H186&gt;='Tallerdata.com'!$X$4,NA(),H186+1)</f>
        <v>#N/A</v>
      </c>
      <c r="I187" s="2" t="n">
        <f aca="false">IFERROR(IF(VLOOKUP(H187,$A$4:$A$33,1,0),1,0),0)</f>
        <v>0</v>
      </c>
      <c r="J187" s="2" t="e">
        <f aca="false">IF(AND($D$4=TRUE(),G187="Sáb"),1,IF(AND($D$5=TRUE(),G187="Dom"),1,0))</f>
        <v>#N/A</v>
      </c>
      <c r="K187" s="2" t="e">
        <f aca="false">IF(L187="No",K186,K186+1)</f>
        <v>#N/A</v>
      </c>
      <c r="L187" s="152" t="e">
        <f aca="false">IF(AND(I187=0,J187=0),H187,"NO")</f>
        <v>#N/A</v>
      </c>
      <c r="N187" s="1" t="n">
        <f aca="false">N186+1</f>
        <v>184</v>
      </c>
      <c r="O187" s="150" t="str">
        <f aca="false">IFERROR(VLOOKUP(N187,$K$4:$L$509,2,0),"")</f>
        <v/>
      </c>
    </row>
    <row r="188" customFormat="false" ht="14.25" hidden="false" customHeight="false" outlineLevel="0" collapsed="false">
      <c r="F188" s="1" t="e">
        <f aca="false">IF(OR(I188=1,J188=1),1,0)</f>
        <v>#N/A</v>
      </c>
      <c r="G188" s="1" t="e">
        <f aca="false">TEXT(H188,"DDD")</f>
        <v>#N/A</v>
      </c>
      <c r="H188" s="150" t="e">
        <f aca="false">IF(H187&gt;='Tallerdata.com'!$X$4,NA(),H187+1)</f>
        <v>#N/A</v>
      </c>
      <c r="I188" s="2" t="n">
        <f aca="false">IFERROR(IF(VLOOKUP(H188,$A$4:$A$33,1,0),1,0),0)</f>
        <v>0</v>
      </c>
      <c r="J188" s="2" t="e">
        <f aca="false">IF(AND($D$4=TRUE(),G188="Sáb"),1,IF(AND($D$5=TRUE(),G188="Dom"),1,0))</f>
        <v>#N/A</v>
      </c>
      <c r="K188" s="2" t="e">
        <f aca="false">IF(L188="No",K187,K187+1)</f>
        <v>#N/A</v>
      </c>
      <c r="L188" s="152" t="e">
        <f aca="false">IF(AND(I188=0,J188=0),H188,"NO")</f>
        <v>#N/A</v>
      </c>
      <c r="N188" s="1" t="n">
        <f aca="false">N187+1</f>
        <v>185</v>
      </c>
      <c r="O188" s="150" t="str">
        <f aca="false">IFERROR(VLOOKUP(N188,$K$4:$L$509,2,0),"")</f>
        <v/>
      </c>
    </row>
    <row r="189" customFormat="false" ht="14.25" hidden="false" customHeight="false" outlineLevel="0" collapsed="false">
      <c r="F189" s="1" t="e">
        <f aca="false">IF(OR(I189=1,J189=1),1,0)</f>
        <v>#N/A</v>
      </c>
      <c r="G189" s="1" t="e">
        <f aca="false">TEXT(H189,"DDD")</f>
        <v>#N/A</v>
      </c>
      <c r="H189" s="150" t="e">
        <f aca="false">IF(H188&gt;='Tallerdata.com'!$X$4,NA(),H188+1)</f>
        <v>#N/A</v>
      </c>
      <c r="I189" s="2" t="n">
        <f aca="false">IFERROR(IF(VLOOKUP(H189,$A$4:$A$33,1,0),1,0),0)</f>
        <v>0</v>
      </c>
      <c r="J189" s="2" t="e">
        <f aca="false">IF(AND($D$4=TRUE(),G189="Sáb"),1,IF(AND($D$5=TRUE(),G189="Dom"),1,0))</f>
        <v>#N/A</v>
      </c>
      <c r="K189" s="2" t="e">
        <f aca="false">IF(L189="No",K188,K188+1)</f>
        <v>#N/A</v>
      </c>
      <c r="L189" s="152" t="e">
        <f aca="false">IF(AND(I189=0,J189=0),H189,"NO")</f>
        <v>#N/A</v>
      </c>
      <c r="N189" s="1" t="n">
        <f aca="false">N188+1</f>
        <v>186</v>
      </c>
      <c r="O189" s="150" t="str">
        <f aca="false">IFERROR(VLOOKUP(N189,$K$4:$L$509,2,0),"")</f>
        <v/>
      </c>
    </row>
    <row r="190" customFormat="false" ht="14.25" hidden="false" customHeight="false" outlineLevel="0" collapsed="false">
      <c r="F190" s="1" t="e">
        <f aca="false">IF(OR(I190=1,J190=1),1,0)</f>
        <v>#N/A</v>
      </c>
      <c r="G190" s="1" t="e">
        <f aca="false">TEXT(H190,"DDD")</f>
        <v>#N/A</v>
      </c>
      <c r="H190" s="150" t="e">
        <f aca="false">IF(H189&gt;='Tallerdata.com'!$X$4,NA(),H189+1)</f>
        <v>#N/A</v>
      </c>
      <c r="I190" s="2" t="n">
        <f aca="false">IFERROR(IF(VLOOKUP(H190,$A$4:$A$33,1,0),1,0),0)</f>
        <v>0</v>
      </c>
      <c r="J190" s="2" t="e">
        <f aca="false">IF(AND($D$4=TRUE(),G190="Sáb"),1,IF(AND($D$5=TRUE(),G190="Dom"),1,0))</f>
        <v>#N/A</v>
      </c>
      <c r="K190" s="2" t="e">
        <f aca="false">IF(L190="No",K189,K189+1)</f>
        <v>#N/A</v>
      </c>
      <c r="L190" s="152" t="e">
        <f aca="false">IF(AND(I190=0,J190=0),H190,"NO")</f>
        <v>#N/A</v>
      </c>
      <c r="N190" s="1" t="n">
        <f aca="false">N189+1</f>
        <v>187</v>
      </c>
      <c r="O190" s="150" t="str">
        <f aca="false">IFERROR(VLOOKUP(N190,$K$4:$L$509,2,0),"")</f>
        <v/>
      </c>
    </row>
    <row r="191" customFormat="false" ht="14.25" hidden="false" customHeight="false" outlineLevel="0" collapsed="false">
      <c r="F191" s="1" t="e">
        <f aca="false">IF(OR(I191=1,J191=1),1,0)</f>
        <v>#N/A</v>
      </c>
      <c r="G191" s="1" t="e">
        <f aca="false">TEXT(H191,"DDD")</f>
        <v>#N/A</v>
      </c>
      <c r="H191" s="150" t="e">
        <f aca="false">IF(H190&gt;='Tallerdata.com'!$X$4,NA(),H190+1)</f>
        <v>#N/A</v>
      </c>
      <c r="I191" s="2" t="n">
        <f aca="false">IFERROR(IF(VLOOKUP(H191,$A$4:$A$33,1,0),1,0),0)</f>
        <v>0</v>
      </c>
      <c r="J191" s="2" t="e">
        <f aca="false">IF(AND($D$4=TRUE(),G191="Sáb"),1,IF(AND($D$5=TRUE(),G191="Dom"),1,0))</f>
        <v>#N/A</v>
      </c>
      <c r="K191" s="2" t="e">
        <f aca="false">IF(L191="No",K190,K190+1)</f>
        <v>#N/A</v>
      </c>
      <c r="L191" s="152" t="e">
        <f aca="false">IF(AND(I191=0,J191=0),H191,"NO")</f>
        <v>#N/A</v>
      </c>
      <c r="N191" s="1" t="n">
        <f aca="false">N190+1</f>
        <v>188</v>
      </c>
      <c r="O191" s="150" t="str">
        <f aca="false">IFERROR(VLOOKUP(N191,$K$4:$L$509,2,0),"")</f>
        <v/>
      </c>
    </row>
    <row r="192" customFormat="false" ht="14.25" hidden="false" customHeight="false" outlineLevel="0" collapsed="false">
      <c r="F192" s="1" t="e">
        <f aca="false">IF(OR(I192=1,J192=1),1,0)</f>
        <v>#N/A</v>
      </c>
      <c r="G192" s="1" t="e">
        <f aca="false">TEXT(H192,"DDD")</f>
        <v>#N/A</v>
      </c>
      <c r="H192" s="150" t="e">
        <f aca="false">IF(H191&gt;='Tallerdata.com'!$X$4,NA(),H191+1)</f>
        <v>#N/A</v>
      </c>
      <c r="I192" s="2" t="n">
        <f aca="false">IFERROR(IF(VLOOKUP(H192,$A$4:$A$33,1,0),1,0),0)</f>
        <v>0</v>
      </c>
      <c r="J192" s="2" t="e">
        <f aca="false">IF(AND($D$4=TRUE(),G192="Sáb"),1,IF(AND($D$5=TRUE(),G192="Dom"),1,0))</f>
        <v>#N/A</v>
      </c>
      <c r="K192" s="2" t="e">
        <f aca="false">IF(L192="No",K191,K191+1)</f>
        <v>#N/A</v>
      </c>
      <c r="L192" s="152" t="e">
        <f aca="false">IF(AND(I192=0,J192=0),H192,"NO")</f>
        <v>#N/A</v>
      </c>
      <c r="N192" s="1" t="n">
        <f aca="false">N191+1</f>
        <v>189</v>
      </c>
      <c r="O192" s="150" t="str">
        <f aca="false">IFERROR(VLOOKUP(N192,$K$4:$L$509,2,0),"")</f>
        <v/>
      </c>
    </row>
    <row r="193" customFormat="false" ht="14.25" hidden="false" customHeight="false" outlineLevel="0" collapsed="false">
      <c r="F193" s="1" t="e">
        <f aca="false">IF(OR(I193=1,J193=1),1,0)</f>
        <v>#N/A</v>
      </c>
      <c r="G193" s="1" t="e">
        <f aca="false">TEXT(H193,"DDD")</f>
        <v>#N/A</v>
      </c>
      <c r="H193" s="150" t="e">
        <f aca="false">IF(H192&gt;='Tallerdata.com'!$X$4,NA(),H192+1)</f>
        <v>#N/A</v>
      </c>
      <c r="I193" s="2" t="n">
        <f aca="false">IFERROR(IF(VLOOKUP(H193,$A$4:$A$33,1,0),1,0),0)</f>
        <v>0</v>
      </c>
      <c r="J193" s="2" t="e">
        <f aca="false">IF(AND($D$4=TRUE(),G193="Sáb"),1,IF(AND($D$5=TRUE(),G193="Dom"),1,0))</f>
        <v>#N/A</v>
      </c>
      <c r="K193" s="2" t="e">
        <f aca="false">IF(L193="No",K192,K192+1)</f>
        <v>#N/A</v>
      </c>
      <c r="L193" s="152" t="e">
        <f aca="false">IF(AND(I193=0,J193=0),H193,"NO")</f>
        <v>#N/A</v>
      </c>
      <c r="N193" s="1" t="n">
        <f aca="false">N192+1</f>
        <v>190</v>
      </c>
      <c r="O193" s="150" t="str">
        <f aca="false">IFERROR(VLOOKUP(N193,$K$4:$L$509,2,0),"")</f>
        <v/>
      </c>
    </row>
    <row r="194" customFormat="false" ht="14.25" hidden="false" customHeight="false" outlineLevel="0" collapsed="false">
      <c r="F194" s="1" t="e">
        <f aca="false">IF(OR(I194=1,J194=1),1,0)</f>
        <v>#N/A</v>
      </c>
      <c r="G194" s="1" t="e">
        <f aca="false">TEXT(H194,"DDD")</f>
        <v>#N/A</v>
      </c>
      <c r="H194" s="150" t="e">
        <f aca="false">IF(H193&gt;='Tallerdata.com'!$X$4,NA(),H193+1)</f>
        <v>#N/A</v>
      </c>
      <c r="I194" s="2" t="n">
        <f aca="false">IFERROR(IF(VLOOKUP(H194,$A$4:$A$33,1,0),1,0),0)</f>
        <v>0</v>
      </c>
      <c r="J194" s="2" t="e">
        <f aca="false">IF(AND($D$4=TRUE(),G194="Sáb"),1,IF(AND($D$5=TRUE(),G194="Dom"),1,0))</f>
        <v>#N/A</v>
      </c>
      <c r="K194" s="2" t="e">
        <f aca="false">IF(L194="No",K193,K193+1)</f>
        <v>#N/A</v>
      </c>
      <c r="L194" s="152" t="e">
        <f aca="false">IF(AND(I194=0,J194=0),H194,"NO")</f>
        <v>#N/A</v>
      </c>
      <c r="N194" s="1" t="n">
        <f aca="false">N193+1</f>
        <v>191</v>
      </c>
      <c r="O194" s="150" t="str">
        <f aca="false">IFERROR(VLOOKUP(N194,$K$4:$L$509,2,0),"")</f>
        <v/>
      </c>
    </row>
    <row r="195" customFormat="false" ht="14.25" hidden="false" customHeight="false" outlineLevel="0" collapsed="false">
      <c r="F195" s="1" t="e">
        <f aca="false">IF(OR(I195=1,J195=1),1,0)</f>
        <v>#N/A</v>
      </c>
      <c r="G195" s="1" t="e">
        <f aca="false">TEXT(H195,"DDD")</f>
        <v>#N/A</v>
      </c>
      <c r="H195" s="150" t="e">
        <f aca="false">IF(H194&gt;='Tallerdata.com'!$X$4,NA(),H194+1)</f>
        <v>#N/A</v>
      </c>
      <c r="I195" s="2" t="n">
        <f aca="false">IFERROR(IF(VLOOKUP(H195,$A$4:$A$33,1,0),1,0),0)</f>
        <v>0</v>
      </c>
      <c r="J195" s="2" t="e">
        <f aca="false">IF(AND($D$4=TRUE(),G195="Sáb"),1,IF(AND($D$5=TRUE(),G195="Dom"),1,0))</f>
        <v>#N/A</v>
      </c>
      <c r="K195" s="2" t="e">
        <f aca="false">IF(L195="No",K194,K194+1)</f>
        <v>#N/A</v>
      </c>
      <c r="L195" s="152" t="e">
        <f aca="false">IF(AND(I195=0,J195=0),H195,"NO")</f>
        <v>#N/A</v>
      </c>
      <c r="N195" s="1" t="n">
        <f aca="false">N194+1</f>
        <v>192</v>
      </c>
      <c r="O195" s="150" t="str">
        <f aca="false">IFERROR(VLOOKUP(N195,$K$4:$L$509,2,0),"")</f>
        <v/>
      </c>
    </row>
    <row r="196" customFormat="false" ht="14.25" hidden="false" customHeight="false" outlineLevel="0" collapsed="false">
      <c r="F196" s="1" t="e">
        <f aca="false">IF(OR(I196=1,J196=1),1,0)</f>
        <v>#N/A</v>
      </c>
      <c r="G196" s="1" t="e">
        <f aca="false">TEXT(H196,"DDD")</f>
        <v>#N/A</v>
      </c>
      <c r="H196" s="150" t="e">
        <f aca="false">IF(H195&gt;='Tallerdata.com'!$X$4,NA(),H195+1)</f>
        <v>#N/A</v>
      </c>
      <c r="I196" s="2" t="n">
        <f aca="false">IFERROR(IF(VLOOKUP(H196,$A$4:$A$33,1,0),1,0),0)</f>
        <v>0</v>
      </c>
      <c r="J196" s="2" t="e">
        <f aca="false">IF(AND($D$4=TRUE(),G196="Sáb"),1,IF(AND($D$5=TRUE(),G196="Dom"),1,0))</f>
        <v>#N/A</v>
      </c>
      <c r="K196" s="2" t="e">
        <f aca="false">IF(L196="No",K195,K195+1)</f>
        <v>#N/A</v>
      </c>
      <c r="L196" s="152" t="e">
        <f aca="false">IF(AND(I196=0,J196=0),H196,"NO")</f>
        <v>#N/A</v>
      </c>
      <c r="N196" s="1" t="n">
        <f aca="false">N195+1</f>
        <v>193</v>
      </c>
      <c r="O196" s="150" t="str">
        <f aca="false">IFERROR(VLOOKUP(N196,$K$4:$L$509,2,0),"")</f>
        <v/>
      </c>
    </row>
    <row r="197" customFormat="false" ht="14.25" hidden="false" customHeight="false" outlineLevel="0" collapsed="false">
      <c r="F197" s="1" t="e">
        <f aca="false">IF(OR(I197=1,J197=1),1,0)</f>
        <v>#N/A</v>
      </c>
      <c r="G197" s="1" t="e">
        <f aca="false">TEXT(H197,"DDD")</f>
        <v>#N/A</v>
      </c>
      <c r="H197" s="150" t="e">
        <f aca="false">IF(H196&gt;='Tallerdata.com'!$X$4,NA(),H196+1)</f>
        <v>#N/A</v>
      </c>
      <c r="I197" s="2" t="n">
        <f aca="false">IFERROR(IF(VLOOKUP(H197,$A$4:$A$33,1,0),1,0),0)</f>
        <v>0</v>
      </c>
      <c r="J197" s="2" t="e">
        <f aca="false">IF(AND($D$4=TRUE(),G197="Sáb"),1,IF(AND($D$5=TRUE(),G197="Dom"),1,0))</f>
        <v>#N/A</v>
      </c>
      <c r="K197" s="2" t="e">
        <f aca="false">IF(L197="No",K196,K196+1)</f>
        <v>#N/A</v>
      </c>
      <c r="L197" s="152" t="e">
        <f aca="false">IF(AND(I197=0,J197=0),H197,"NO")</f>
        <v>#N/A</v>
      </c>
      <c r="N197" s="1" t="n">
        <f aca="false">N196+1</f>
        <v>194</v>
      </c>
      <c r="O197" s="150" t="str">
        <f aca="false">IFERROR(VLOOKUP(N197,$K$4:$L$509,2,0),"")</f>
        <v/>
      </c>
    </row>
    <row r="198" customFormat="false" ht="14.25" hidden="false" customHeight="false" outlineLevel="0" collapsed="false">
      <c r="F198" s="1" t="e">
        <f aca="false">IF(OR(I198=1,J198=1),1,0)</f>
        <v>#N/A</v>
      </c>
      <c r="G198" s="1" t="e">
        <f aca="false">TEXT(H198,"DDD")</f>
        <v>#N/A</v>
      </c>
      <c r="H198" s="150" t="e">
        <f aca="false">IF(H197&gt;='Tallerdata.com'!$X$4,NA(),H197+1)</f>
        <v>#N/A</v>
      </c>
      <c r="I198" s="2" t="n">
        <f aca="false">IFERROR(IF(VLOOKUP(H198,$A$4:$A$33,1,0),1,0),0)</f>
        <v>0</v>
      </c>
      <c r="J198" s="2" t="e">
        <f aca="false">IF(AND($D$4=TRUE(),G198="Sáb"),1,IF(AND($D$5=TRUE(),G198="Dom"),1,0))</f>
        <v>#N/A</v>
      </c>
      <c r="K198" s="2" t="e">
        <f aca="false">IF(L198="No",K197,K197+1)</f>
        <v>#N/A</v>
      </c>
      <c r="L198" s="152" t="e">
        <f aca="false">IF(AND(I198=0,J198=0),H198,"NO")</f>
        <v>#N/A</v>
      </c>
      <c r="N198" s="1" t="n">
        <f aca="false">N197+1</f>
        <v>195</v>
      </c>
      <c r="O198" s="150" t="str">
        <f aca="false">IFERROR(VLOOKUP(N198,$K$4:$L$509,2,0),"")</f>
        <v/>
      </c>
    </row>
    <row r="199" customFormat="false" ht="14.25" hidden="false" customHeight="false" outlineLevel="0" collapsed="false">
      <c r="F199" s="1" t="e">
        <f aca="false">IF(OR(I199=1,J199=1),1,0)</f>
        <v>#N/A</v>
      </c>
      <c r="G199" s="1" t="e">
        <f aca="false">TEXT(H199,"DDD")</f>
        <v>#N/A</v>
      </c>
      <c r="H199" s="150" t="e">
        <f aca="false">IF(H198&gt;='Tallerdata.com'!$X$4,NA(),H198+1)</f>
        <v>#N/A</v>
      </c>
      <c r="I199" s="2" t="n">
        <f aca="false">IFERROR(IF(VLOOKUP(H199,$A$4:$A$33,1,0),1,0),0)</f>
        <v>0</v>
      </c>
      <c r="J199" s="2" t="e">
        <f aca="false">IF(AND($D$4=TRUE(),G199="Sáb"),1,IF(AND($D$5=TRUE(),G199="Dom"),1,0))</f>
        <v>#N/A</v>
      </c>
      <c r="K199" s="2" t="e">
        <f aca="false">IF(L199="No",K198,K198+1)</f>
        <v>#N/A</v>
      </c>
      <c r="L199" s="152" t="e">
        <f aca="false">IF(AND(I199=0,J199=0),H199,"NO")</f>
        <v>#N/A</v>
      </c>
      <c r="N199" s="1" t="n">
        <f aca="false">N198+1</f>
        <v>196</v>
      </c>
      <c r="O199" s="150" t="str">
        <f aca="false">IFERROR(VLOOKUP(N199,$K$4:$L$509,2,0),"")</f>
        <v/>
      </c>
    </row>
    <row r="200" customFormat="false" ht="14.25" hidden="false" customHeight="false" outlineLevel="0" collapsed="false">
      <c r="F200" s="1" t="e">
        <f aca="false">IF(OR(I200=1,J200=1),1,0)</f>
        <v>#N/A</v>
      </c>
      <c r="G200" s="1" t="e">
        <f aca="false">TEXT(H200,"DDD")</f>
        <v>#N/A</v>
      </c>
      <c r="H200" s="150" t="e">
        <f aca="false">IF(H199&gt;='Tallerdata.com'!$X$4,NA(),H199+1)</f>
        <v>#N/A</v>
      </c>
      <c r="I200" s="2" t="n">
        <f aca="false">IFERROR(IF(VLOOKUP(H200,$A$4:$A$33,1,0),1,0),0)</f>
        <v>0</v>
      </c>
      <c r="J200" s="2" t="e">
        <f aca="false">IF(AND($D$4=TRUE(),G200="Sáb"),1,IF(AND($D$5=TRUE(),G200="Dom"),1,0))</f>
        <v>#N/A</v>
      </c>
      <c r="K200" s="2" t="e">
        <f aca="false">IF(L200="No",K199,K199+1)</f>
        <v>#N/A</v>
      </c>
      <c r="L200" s="152" t="e">
        <f aca="false">IF(AND(I200=0,J200=0),H200,"NO")</f>
        <v>#N/A</v>
      </c>
      <c r="N200" s="1" t="n">
        <f aca="false">N199+1</f>
        <v>197</v>
      </c>
      <c r="O200" s="150" t="str">
        <f aca="false">IFERROR(VLOOKUP(N200,$K$4:$L$509,2,0),"")</f>
        <v/>
      </c>
    </row>
    <row r="201" customFormat="false" ht="14.25" hidden="false" customHeight="false" outlineLevel="0" collapsed="false">
      <c r="F201" s="1" t="e">
        <f aca="false">IF(OR(I201=1,J201=1),1,0)</f>
        <v>#N/A</v>
      </c>
      <c r="G201" s="1" t="e">
        <f aca="false">TEXT(H201,"DDD")</f>
        <v>#N/A</v>
      </c>
      <c r="H201" s="150" t="e">
        <f aca="false">IF(H200&gt;='Tallerdata.com'!$X$4,NA(),H200+1)</f>
        <v>#N/A</v>
      </c>
      <c r="I201" s="2" t="n">
        <f aca="false">IFERROR(IF(VLOOKUP(H201,$A$4:$A$33,1,0),1,0),0)</f>
        <v>0</v>
      </c>
      <c r="J201" s="2" t="e">
        <f aca="false">IF(AND($D$4=TRUE(),G201="Sáb"),1,IF(AND($D$5=TRUE(),G201="Dom"),1,0))</f>
        <v>#N/A</v>
      </c>
      <c r="K201" s="2" t="e">
        <f aca="false">IF(L201="No",K200,K200+1)</f>
        <v>#N/A</v>
      </c>
      <c r="L201" s="152" t="e">
        <f aca="false">IF(AND(I201=0,J201=0),H201,"NO")</f>
        <v>#N/A</v>
      </c>
      <c r="N201" s="1" t="n">
        <f aca="false">N200+1</f>
        <v>198</v>
      </c>
      <c r="O201" s="150" t="str">
        <f aca="false">IFERROR(VLOOKUP(N201,$K$4:$L$509,2,0),"")</f>
        <v/>
      </c>
    </row>
    <row r="202" customFormat="false" ht="14.25" hidden="false" customHeight="false" outlineLevel="0" collapsed="false">
      <c r="F202" s="1" t="e">
        <f aca="false">IF(OR(I202=1,J202=1),1,0)</f>
        <v>#N/A</v>
      </c>
      <c r="G202" s="1" t="e">
        <f aca="false">TEXT(H202,"DDD")</f>
        <v>#N/A</v>
      </c>
      <c r="H202" s="150" t="e">
        <f aca="false">IF(H201&gt;='Tallerdata.com'!$X$4,NA(),H201+1)</f>
        <v>#N/A</v>
      </c>
      <c r="I202" s="2" t="n">
        <f aca="false">IFERROR(IF(VLOOKUP(H202,$A$4:$A$33,1,0),1,0),0)</f>
        <v>0</v>
      </c>
      <c r="J202" s="2" t="e">
        <f aca="false">IF(AND($D$4=TRUE(),G202="Sáb"),1,IF(AND($D$5=TRUE(),G202="Dom"),1,0))</f>
        <v>#N/A</v>
      </c>
      <c r="K202" s="2" t="e">
        <f aca="false">IF(L202="No",K201,K201+1)</f>
        <v>#N/A</v>
      </c>
      <c r="L202" s="152" t="e">
        <f aca="false">IF(AND(I202=0,J202=0),H202,"NO")</f>
        <v>#N/A</v>
      </c>
      <c r="N202" s="1" t="n">
        <f aca="false">N201+1</f>
        <v>199</v>
      </c>
      <c r="O202" s="150" t="str">
        <f aca="false">IFERROR(VLOOKUP(N202,$K$4:$L$509,2,0),"")</f>
        <v/>
      </c>
    </row>
    <row r="203" customFormat="false" ht="14.25" hidden="false" customHeight="false" outlineLevel="0" collapsed="false">
      <c r="F203" s="1" t="e">
        <f aca="false">IF(OR(I203=1,J203=1),1,0)</f>
        <v>#N/A</v>
      </c>
      <c r="G203" s="1" t="e">
        <f aca="false">TEXT(H203,"DDD")</f>
        <v>#N/A</v>
      </c>
      <c r="H203" s="150" t="e">
        <f aca="false">IF(H202&gt;='Tallerdata.com'!$X$4,NA(),H202+1)</f>
        <v>#N/A</v>
      </c>
      <c r="I203" s="2" t="n">
        <f aca="false">IFERROR(IF(VLOOKUP(H203,$A$4:$A$33,1,0),1,0),0)</f>
        <v>0</v>
      </c>
      <c r="J203" s="2" t="e">
        <f aca="false">IF(AND($D$4=TRUE(),G203="Sáb"),1,IF(AND($D$5=TRUE(),G203="Dom"),1,0))</f>
        <v>#N/A</v>
      </c>
      <c r="K203" s="2" t="e">
        <f aca="false">IF(L203="No",K202,K202+1)</f>
        <v>#N/A</v>
      </c>
      <c r="L203" s="152" t="e">
        <f aca="false">IF(AND(I203=0,J203=0),H203,"NO")</f>
        <v>#N/A</v>
      </c>
      <c r="N203" s="1" t="n">
        <f aca="false">N202+1</f>
        <v>200</v>
      </c>
      <c r="O203" s="150" t="str">
        <f aca="false">IFERROR(VLOOKUP(N203,$K$4:$L$509,2,0),"")</f>
        <v/>
      </c>
    </row>
    <row r="204" customFormat="false" ht="14.25" hidden="false" customHeight="false" outlineLevel="0" collapsed="false">
      <c r="F204" s="1" t="e">
        <f aca="false">IF(OR(I204=1,J204=1),1,0)</f>
        <v>#N/A</v>
      </c>
      <c r="G204" s="1" t="e">
        <f aca="false">TEXT(H204,"DDD")</f>
        <v>#N/A</v>
      </c>
      <c r="H204" s="150" t="e">
        <f aca="false">IF(H203&gt;='Tallerdata.com'!$X$4,NA(),H203+1)</f>
        <v>#N/A</v>
      </c>
      <c r="I204" s="2" t="n">
        <f aca="false">IFERROR(IF(VLOOKUP(H204,$A$4:$A$33,1,0),1,0),0)</f>
        <v>0</v>
      </c>
      <c r="J204" s="2" t="e">
        <f aca="false">IF(AND($D$4=TRUE(),G204="Sáb"),1,IF(AND($D$5=TRUE(),G204="Dom"),1,0))</f>
        <v>#N/A</v>
      </c>
      <c r="K204" s="2" t="e">
        <f aca="false">IF(L204="No",K203,K203+1)</f>
        <v>#N/A</v>
      </c>
      <c r="L204" s="152" t="e">
        <f aca="false">IF(AND(I204=0,J204=0),H204,"NO")</f>
        <v>#N/A</v>
      </c>
      <c r="N204" s="1" t="n">
        <f aca="false">N203+1</f>
        <v>201</v>
      </c>
      <c r="O204" s="150" t="str">
        <f aca="false">IFERROR(VLOOKUP(N204,$K$4:$L$509,2,0),"")</f>
        <v/>
      </c>
    </row>
    <row r="205" customFormat="false" ht="14.25" hidden="false" customHeight="false" outlineLevel="0" collapsed="false">
      <c r="F205" s="1" t="e">
        <f aca="false">IF(OR(I205=1,J205=1),1,0)</f>
        <v>#N/A</v>
      </c>
      <c r="G205" s="1" t="e">
        <f aca="false">TEXT(H205,"DDD")</f>
        <v>#N/A</v>
      </c>
      <c r="H205" s="150" t="e">
        <f aca="false">IF(H204&gt;='Tallerdata.com'!$X$4,NA(),H204+1)</f>
        <v>#N/A</v>
      </c>
      <c r="I205" s="2" t="n">
        <f aca="false">IFERROR(IF(VLOOKUP(H205,$A$4:$A$33,1,0),1,0),0)</f>
        <v>0</v>
      </c>
      <c r="J205" s="2" t="e">
        <f aca="false">IF(AND($D$4=TRUE(),G205="Sáb"),1,IF(AND($D$5=TRUE(),G205="Dom"),1,0))</f>
        <v>#N/A</v>
      </c>
      <c r="K205" s="2" t="e">
        <f aca="false">IF(L205="No",K204,K204+1)</f>
        <v>#N/A</v>
      </c>
      <c r="L205" s="152" t="e">
        <f aca="false">IF(AND(I205=0,J205=0),H205,"NO")</f>
        <v>#N/A</v>
      </c>
      <c r="N205" s="1" t="n">
        <f aca="false">N204+1</f>
        <v>202</v>
      </c>
      <c r="O205" s="150" t="str">
        <f aca="false">IFERROR(VLOOKUP(N205,$K$4:$L$509,2,0),"")</f>
        <v/>
      </c>
    </row>
    <row r="206" customFormat="false" ht="14.25" hidden="false" customHeight="false" outlineLevel="0" collapsed="false">
      <c r="F206" s="1" t="e">
        <f aca="false">IF(OR(I206=1,J206=1),1,0)</f>
        <v>#N/A</v>
      </c>
      <c r="G206" s="1" t="e">
        <f aca="false">TEXT(H206,"DDD")</f>
        <v>#N/A</v>
      </c>
      <c r="H206" s="150" t="e">
        <f aca="false">IF(H205&gt;='Tallerdata.com'!$X$4,NA(),H205+1)</f>
        <v>#N/A</v>
      </c>
      <c r="I206" s="2" t="n">
        <f aca="false">IFERROR(IF(VLOOKUP(H206,$A$4:$A$33,1,0),1,0),0)</f>
        <v>0</v>
      </c>
      <c r="J206" s="2" t="e">
        <f aca="false">IF(AND($D$4=TRUE(),G206="Sáb"),1,IF(AND($D$5=TRUE(),G206="Dom"),1,0))</f>
        <v>#N/A</v>
      </c>
      <c r="K206" s="2" t="e">
        <f aca="false">IF(L206="No",K205,K205+1)</f>
        <v>#N/A</v>
      </c>
      <c r="L206" s="152" t="e">
        <f aca="false">IF(AND(I206=0,J206=0),H206,"NO")</f>
        <v>#N/A</v>
      </c>
      <c r="N206" s="1" t="n">
        <f aca="false">N205+1</f>
        <v>203</v>
      </c>
      <c r="O206" s="150" t="str">
        <f aca="false">IFERROR(VLOOKUP(N206,$K$4:$L$509,2,0),"")</f>
        <v/>
      </c>
    </row>
    <row r="207" customFormat="false" ht="14.25" hidden="false" customHeight="false" outlineLevel="0" collapsed="false">
      <c r="F207" s="1" t="e">
        <f aca="false">IF(OR(I207=1,J207=1),1,0)</f>
        <v>#N/A</v>
      </c>
      <c r="G207" s="1" t="e">
        <f aca="false">TEXT(H207,"DDD")</f>
        <v>#N/A</v>
      </c>
      <c r="H207" s="150" t="e">
        <f aca="false">IF(H206&gt;='Tallerdata.com'!$X$4,NA(),H206+1)</f>
        <v>#N/A</v>
      </c>
      <c r="I207" s="2" t="n">
        <f aca="false">IFERROR(IF(VLOOKUP(H207,$A$4:$A$33,1,0),1,0),0)</f>
        <v>0</v>
      </c>
      <c r="J207" s="2" t="e">
        <f aca="false">IF(AND($D$4=TRUE(),G207="Sáb"),1,IF(AND($D$5=TRUE(),G207="Dom"),1,0))</f>
        <v>#N/A</v>
      </c>
      <c r="K207" s="2" t="e">
        <f aca="false">IF(L207="No",K206,K206+1)</f>
        <v>#N/A</v>
      </c>
      <c r="L207" s="152" t="e">
        <f aca="false">IF(AND(I207=0,J207=0),H207,"NO")</f>
        <v>#N/A</v>
      </c>
      <c r="N207" s="1" t="n">
        <f aca="false">N206+1</f>
        <v>204</v>
      </c>
      <c r="O207" s="150" t="str">
        <f aca="false">IFERROR(VLOOKUP(N207,$K$4:$L$509,2,0),"")</f>
        <v/>
      </c>
    </row>
    <row r="208" customFormat="false" ht="14.25" hidden="false" customHeight="false" outlineLevel="0" collapsed="false">
      <c r="F208" s="1" t="e">
        <f aca="false">IF(OR(I208=1,J208=1),1,0)</f>
        <v>#N/A</v>
      </c>
      <c r="G208" s="1" t="e">
        <f aca="false">TEXT(H208,"DDD")</f>
        <v>#N/A</v>
      </c>
      <c r="H208" s="150" t="e">
        <f aca="false">IF(H207&gt;='Tallerdata.com'!$X$4,NA(),H207+1)</f>
        <v>#N/A</v>
      </c>
      <c r="I208" s="2" t="n">
        <f aca="false">IFERROR(IF(VLOOKUP(H208,$A$4:$A$33,1,0),1,0),0)</f>
        <v>0</v>
      </c>
      <c r="J208" s="2" t="e">
        <f aca="false">IF(AND($D$4=TRUE(),G208="Sáb"),1,IF(AND($D$5=TRUE(),G208="Dom"),1,0))</f>
        <v>#N/A</v>
      </c>
      <c r="K208" s="2" t="e">
        <f aca="false">IF(L208="No",K207,K207+1)</f>
        <v>#N/A</v>
      </c>
      <c r="L208" s="152" t="e">
        <f aca="false">IF(AND(I208=0,J208=0),H208,"NO")</f>
        <v>#N/A</v>
      </c>
      <c r="N208" s="1" t="n">
        <f aca="false">N207+1</f>
        <v>205</v>
      </c>
      <c r="O208" s="150" t="str">
        <f aca="false">IFERROR(VLOOKUP(N208,$K$4:$L$509,2,0),"")</f>
        <v/>
      </c>
    </row>
    <row r="209" customFormat="false" ht="14.25" hidden="false" customHeight="false" outlineLevel="0" collapsed="false">
      <c r="F209" s="1" t="e">
        <f aca="false">IF(OR(I209=1,J209=1),1,0)</f>
        <v>#N/A</v>
      </c>
      <c r="G209" s="1" t="e">
        <f aca="false">TEXT(H209,"DDD")</f>
        <v>#N/A</v>
      </c>
      <c r="H209" s="150" t="e">
        <f aca="false">IF(H208&gt;='Tallerdata.com'!$X$4,NA(),H208+1)</f>
        <v>#N/A</v>
      </c>
      <c r="I209" s="2" t="n">
        <f aca="false">IFERROR(IF(VLOOKUP(H209,$A$4:$A$33,1,0),1,0),0)</f>
        <v>0</v>
      </c>
      <c r="J209" s="2" t="e">
        <f aca="false">IF(AND($D$4=TRUE(),G209="Sáb"),1,IF(AND($D$5=TRUE(),G209="Dom"),1,0))</f>
        <v>#N/A</v>
      </c>
      <c r="K209" s="2" t="e">
        <f aca="false">IF(L209="No",K208,K208+1)</f>
        <v>#N/A</v>
      </c>
      <c r="L209" s="152" t="e">
        <f aca="false">IF(AND(I209=0,J209=0),H209,"NO")</f>
        <v>#N/A</v>
      </c>
      <c r="N209" s="1" t="n">
        <f aca="false">N208+1</f>
        <v>206</v>
      </c>
      <c r="O209" s="150" t="str">
        <f aca="false">IFERROR(VLOOKUP(N209,$K$4:$L$509,2,0),"")</f>
        <v/>
      </c>
    </row>
    <row r="210" customFormat="false" ht="14.25" hidden="false" customHeight="false" outlineLevel="0" collapsed="false">
      <c r="F210" s="1" t="e">
        <f aca="false">IF(OR(I210=1,J210=1),1,0)</f>
        <v>#N/A</v>
      </c>
      <c r="G210" s="1" t="e">
        <f aca="false">TEXT(H210,"DDD")</f>
        <v>#N/A</v>
      </c>
      <c r="H210" s="150" t="e">
        <f aca="false">IF(H209&gt;='Tallerdata.com'!$X$4,NA(),H209+1)</f>
        <v>#N/A</v>
      </c>
      <c r="I210" s="2" t="n">
        <f aca="false">IFERROR(IF(VLOOKUP(H210,$A$4:$A$33,1,0),1,0),0)</f>
        <v>0</v>
      </c>
      <c r="J210" s="2" t="e">
        <f aca="false">IF(AND($D$4=TRUE(),G210="Sáb"),1,IF(AND($D$5=TRUE(),G210="Dom"),1,0))</f>
        <v>#N/A</v>
      </c>
      <c r="K210" s="2" t="e">
        <f aca="false">IF(L210="No",K209,K209+1)</f>
        <v>#N/A</v>
      </c>
      <c r="L210" s="152" t="e">
        <f aca="false">IF(AND(I210=0,J210=0),H210,"NO")</f>
        <v>#N/A</v>
      </c>
      <c r="N210" s="1" t="n">
        <f aca="false">N209+1</f>
        <v>207</v>
      </c>
      <c r="O210" s="150" t="str">
        <f aca="false">IFERROR(VLOOKUP(N210,$K$4:$L$509,2,0),"")</f>
        <v/>
      </c>
    </row>
    <row r="211" customFormat="false" ht="14.25" hidden="false" customHeight="false" outlineLevel="0" collapsed="false">
      <c r="F211" s="1" t="e">
        <f aca="false">IF(OR(I211=1,J211=1),1,0)</f>
        <v>#N/A</v>
      </c>
      <c r="G211" s="1" t="e">
        <f aca="false">TEXT(H211,"DDD")</f>
        <v>#N/A</v>
      </c>
      <c r="H211" s="150" t="e">
        <f aca="false">IF(H210&gt;='Tallerdata.com'!$X$4,NA(),H210+1)</f>
        <v>#N/A</v>
      </c>
      <c r="I211" s="2" t="n">
        <f aca="false">IFERROR(IF(VLOOKUP(H211,$A$4:$A$33,1,0),1,0),0)</f>
        <v>0</v>
      </c>
      <c r="J211" s="2" t="e">
        <f aca="false">IF(AND($D$4=TRUE(),G211="Sáb"),1,IF(AND($D$5=TRUE(),G211="Dom"),1,0))</f>
        <v>#N/A</v>
      </c>
      <c r="K211" s="2" t="e">
        <f aca="false">IF(L211="No",K210,K210+1)</f>
        <v>#N/A</v>
      </c>
      <c r="L211" s="152" t="e">
        <f aca="false">IF(AND(I211=0,J211=0),H211,"NO")</f>
        <v>#N/A</v>
      </c>
      <c r="N211" s="1" t="n">
        <f aca="false">N210+1</f>
        <v>208</v>
      </c>
      <c r="O211" s="150" t="str">
        <f aca="false">IFERROR(VLOOKUP(N211,$K$4:$L$509,2,0),"")</f>
        <v/>
      </c>
    </row>
    <row r="212" customFormat="false" ht="14.25" hidden="false" customHeight="false" outlineLevel="0" collapsed="false">
      <c r="F212" s="1" t="e">
        <f aca="false">IF(OR(I212=1,J212=1),1,0)</f>
        <v>#N/A</v>
      </c>
      <c r="G212" s="1" t="e">
        <f aca="false">TEXT(H212,"DDD")</f>
        <v>#N/A</v>
      </c>
      <c r="H212" s="150" t="e">
        <f aca="false">IF(H211&gt;='Tallerdata.com'!$X$4,NA(),H211+1)</f>
        <v>#N/A</v>
      </c>
      <c r="I212" s="2" t="n">
        <f aca="false">IFERROR(IF(VLOOKUP(H212,$A$4:$A$33,1,0),1,0),0)</f>
        <v>0</v>
      </c>
      <c r="J212" s="2" t="e">
        <f aca="false">IF(AND($D$4=TRUE(),G212="Sáb"),1,IF(AND($D$5=TRUE(),G212="Dom"),1,0))</f>
        <v>#N/A</v>
      </c>
      <c r="K212" s="2" t="e">
        <f aca="false">IF(L212="No",K211,K211+1)</f>
        <v>#N/A</v>
      </c>
      <c r="L212" s="152" t="e">
        <f aca="false">IF(AND(I212=0,J212=0),H212,"NO")</f>
        <v>#N/A</v>
      </c>
      <c r="N212" s="1" t="n">
        <f aca="false">N211+1</f>
        <v>209</v>
      </c>
      <c r="O212" s="150" t="str">
        <f aca="false">IFERROR(VLOOKUP(N212,$K$4:$L$509,2,0),"")</f>
        <v/>
      </c>
    </row>
    <row r="213" customFormat="false" ht="14.25" hidden="false" customHeight="false" outlineLevel="0" collapsed="false">
      <c r="F213" s="1" t="e">
        <f aca="false">IF(OR(I213=1,J213=1),1,0)</f>
        <v>#N/A</v>
      </c>
      <c r="G213" s="1" t="e">
        <f aca="false">TEXT(H213,"DDD")</f>
        <v>#N/A</v>
      </c>
      <c r="H213" s="150" t="e">
        <f aca="false">IF(H212&gt;='Tallerdata.com'!$X$4,NA(),H212+1)</f>
        <v>#N/A</v>
      </c>
      <c r="I213" s="2" t="n">
        <f aca="false">IFERROR(IF(VLOOKUP(H213,$A$4:$A$33,1,0),1,0),0)</f>
        <v>0</v>
      </c>
      <c r="J213" s="2" t="e">
        <f aca="false">IF(AND($D$4=TRUE(),G213="Sáb"),1,IF(AND($D$5=TRUE(),G213="Dom"),1,0))</f>
        <v>#N/A</v>
      </c>
      <c r="K213" s="2" t="e">
        <f aca="false">IF(L213="No",K212,K212+1)</f>
        <v>#N/A</v>
      </c>
      <c r="L213" s="152" t="e">
        <f aca="false">IF(AND(I213=0,J213=0),H213,"NO")</f>
        <v>#N/A</v>
      </c>
      <c r="N213" s="1" t="n">
        <f aca="false">N212+1</f>
        <v>210</v>
      </c>
      <c r="O213" s="150" t="str">
        <f aca="false">IFERROR(VLOOKUP(N213,$K$4:$L$509,2,0),"")</f>
        <v/>
      </c>
    </row>
    <row r="214" customFormat="false" ht="14.25" hidden="false" customHeight="false" outlineLevel="0" collapsed="false">
      <c r="F214" s="1" t="e">
        <f aca="false">IF(OR(I214=1,J214=1),1,0)</f>
        <v>#N/A</v>
      </c>
      <c r="G214" s="1" t="e">
        <f aca="false">TEXT(H214,"DDD")</f>
        <v>#N/A</v>
      </c>
      <c r="H214" s="150" t="e">
        <f aca="false">IF(H213&gt;='Tallerdata.com'!$X$4,NA(),H213+1)</f>
        <v>#N/A</v>
      </c>
      <c r="I214" s="2" t="n">
        <f aca="false">IFERROR(IF(VLOOKUP(H214,$A$4:$A$33,1,0),1,0),0)</f>
        <v>0</v>
      </c>
      <c r="J214" s="2" t="e">
        <f aca="false">IF(AND($D$4=TRUE(),G214="Sáb"),1,IF(AND($D$5=TRUE(),G214="Dom"),1,0))</f>
        <v>#N/A</v>
      </c>
      <c r="K214" s="2" t="e">
        <f aca="false">IF(L214="No",K213,K213+1)</f>
        <v>#N/A</v>
      </c>
      <c r="L214" s="152" t="e">
        <f aca="false">IF(AND(I214=0,J214=0),H214,"NO")</f>
        <v>#N/A</v>
      </c>
      <c r="N214" s="1" t="n">
        <f aca="false">N213+1</f>
        <v>211</v>
      </c>
      <c r="O214" s="150" t="str">
        <f aca="false">IFERROR(VLOOKUP(N214,$K$4:$L$509,2,0),"")</f>
        <v/>
      </c>
    </row>
    <row r="215" customFormat="false" ht="14.25" hidden="false" customHeight="false" outlineLevel="0" collapsed="false">
      <c r="F215" s="1" t="e">
        <f aca="false">IF(OR(I215=1,J215=1),1,0)</f>
        <v>#N/A</v>
      </c>
      <c r="G215" s="1" t="e">
        <f aca="false">TEXT(H215,"DDD")</f>
        <v>#N/A</v>
      </c>
      <c r="H215" s="150" t="e">
        <f aca="false">IF(H214&gt;='Tallerdata.com'!$X$4,NA(),H214+1)</f>
        <v>#N/A</v>
      </c>
      <c r="I215" s="2" t="n">
        <f aca="false">IFERROR(IF(VLOOKUP(H215,$A$4:$A$33,1,0),1,0),0)</f>
        <v>0</v>
      </c>
      <c r="J215" s="2" t="e">
        <f aca="false">IF(AND($D$4=TRUE(),G215="Sáb"),1,IF(AND($D$5=TRUE(),G215="Dom"),1,0))</f>
        <v>#N/A</v>
      </c>
      <c r="K215" s="2" t="e">
        <f aca="false">IF(L215="No",K214,K214+1)</f>
        <v>#N/A</v>
      </c>
      <c r="L215" s="152" t="e">
        <f aca="false">IF(AND(I215=0,J215=0),H215,"NO")</f>
        <v>#N/A</v>
      </c>
      <c r="N215" s="1" t="n">
        <f aca="false">N214+1</f>
        <v>212</v>
      </c>
      <c r="O215" s="150" t="str">
        <f aca="false">IFERROR(VLOOKUP(N215,$K$4:$L$509,2,0),"")</f>
        <v/>
      </c>
    </row>
    <row r="216" customFormat="false" ht="14.25" hidden="false" customHeight="false" outlineLevel="0" collapsed="false">
      <c r="F216" s="1" t="e">
        <f aca="false">IF(OR(I216=1,J216=1),1,0)</f>
        <v>#N/A</v>
      </c>
      <c r="G216" s="1" t="e">
        <f aca="false">TEXT(H216,"DDD")</f>
        <v>#N/A</v>
      </c>
      <c r="H216" s="150" t="e">
        <f aca="false">IF(H215&gt;='Tallerdata.com'!$X$4,NA(),H215+1)</f>
        <v>#N/A</v>
      </c>
      <c r="I216" s="2" t="n">
        <f aca="false">IFERROR(IF(VLOOKUP(H216,$A$4:$A$33,1,0),1,0),0)</f>
        <v>0</v>
      </c>
      <c r="J216" s="2" t="e">
        <f aca="false">IF(AND($D$4=TRUE(),G216="Sáb"),1,IF(AND($D$5=TRUE(),G216="Dom"),1,0))</f>
        <v>#N/A</v>
      </c>
      <c r="K216" s="2" t="e">
        <f aca="false">IF(L216="No",K215,K215+1)</f>
        <v>#N/A</v>
      </c>
      <c r="L216" s="152" t="e">
        <f aca="false">IF(AND(I216=0,J216=0),H216,"NO")</f>
        <v>#N/A</v>
      </c>
      <c r="N216" s="1" t="n">
        <f aca="false">N215+1</f>
        <v>213</v>
      </c>
      <c r="O216" s="150" t="str">
        <f aca="false">IFERROR(VLOOKUP(N216,$K$4:$L$509,2,0),"")</f>
        <v/>
      </c>
    </row>
    <row r="217" customFormat="false" ht="14.25" hidden="false" customHeight="false" outlineLevel="0" collapsed="false">
      <c r="F217" s="1" t="e">
        <f aca="false">IF(OR(I217=1,J217=1),1,0)</f>
        <v>#N/A</v>
      </c>
      <c r="G217" s="1" t="e">
        <f aca="false">TEXT(H217,"DDD")</f>
        <v>#N/A</v>
      </c>
      <c r="H217" s="150" t="e">
        <f aca="false">IF(H216&gt;='Tallerdata.com'!$X$4,NA(),H216+1)</f>
        <v>#N/A</v>
      </c>
      <c r="I217" s="2" t="n">
        <f aca="false">IFERROR(IF(VLOOKUP(H217,$A$4:$A$33,1,0),1,0),0)</f>
        <v>0</v>
      </c>
      <c r="J217" s="2" t="e">
        <f aca="false">IF(AND($D$4=TRUE(),G217="Sáb"),1,IF(AND($D$5=TRUE(),G217="Dom"),1,0))</f>
        <v>#N/A</v>
      </c>
      <c r="K217" s="2" t="e">
        <f aca="false">IF(L217="No",K216,K216+1)</f>
        <v>#N/A</v>
      </c>
      <c r="L217" s="152" t="e">
        <f aca="false">IF(AND(I217=0,J217=0),H217,"NO")</f>
        <v>#N/A</v>
      </c>
      <c r="N217" s="1" t="n">
        <f aca="false">N216+1</f>
        <v>214</v>
      </c>
      <c r="O217" s="150" t="str">
        <f aca="false">IFERROR(VLOOKUP(N217,$K$4:$L$509,2,0),"")</f>
        <v/>
      </c>
    </row>
    <row r="218" customFormat="false" ht="14.25" hidden="false" customHeight="false" outlineLevel="0" collapsed="false">
      <c r="F218" s="1" t="e">
        <f aca="false">IF(OR(I218=1,J218=1),1,0)</f>
        <v>#N/A</v>
      </c>
      <c r="G218" s="1" t="e">
        <f aca="false">TEXT(H218,"DDD")</f>
        <v>#N/A</v>
      </c>
      <c r="H218" s="150" t="e">
        <f aca="false">IF(H217&gt;='Tallerdata.com'!$X$4,NA(),H217+1)</f>
        <v>#N/A</v>
      </c>
      <c r="I218" s="2" t="n">
        <f aca="false">IFERROR(IF(VLOOKUP(H218,$A$4:$A$33,1,0),1,0),0)</f>
        <v>0</v>
      </c>
      <c r="J218" s="2" t="e">
        <f aca="false">IF(AND($D$4=TRUE(),G218="Sáb"),1,IF(AND($D$5=TRUE(),G218="Dom"),1,0))</f>
        <v>#N/A</v>
      </c>
      <c r="K218" s="2" t="e">
        <f aca="false">IF(L218="No",K217,K217+1)</f>
        <v>#N/A</v>
      </c>
      <c r="L218" s="152" t="e">
        <f aca="false">IF(AND(I218=0,J218=0),H218,"NO")</f>
        <v>#N/A</v>
      </c>
      <c r="N218" s="1" t="n">
        <f aca="false">N217+1</f>
        <v>215</v>
      </c>
      <c r="O218" s="150" t="str">
        <f aca="false">IFERROR(VLOOKUP(N218,$K$4:$L$509,2,0),"")</f>
        <v/>
      </c>
    </row>
    <row r="219" customFormat="false" ht="14.25" hidden="false" customHeight="false" outlineLevel="0" collapsed="false">
      <c r="F219" s="1" t="e">
        <f aca="false">IF(OR(I219=1,J219=1),1,0)</f>
        <v>#N/A</v>
      </c>
      <c r="G219" s="1" t="e">
        <f aca="false">TEXT(H219,"DDD")</f>
        <v>#N/A</v>
      </c>
      <c r="H219" s="150" t="e">
        <f aca="false">IF(H218&gt;='Tallerdata.com'!$X$4,NA(),H218+1)</f>
        <v>#N/A</v>
      </c>
      <c r="I219" s="2" t="n">
        <f aca="false">IFERROR(IF(VLOOKUP(H219,$A$4:$A$33,1,0),1,0),0)</f>
        <v>0</v>
      </c>
      <c r="J219" s="2" t="e">
        <f aca="false">IF(AND($D$4=TRUE(),G219="Sáb"),1,IF(AND($D$5=TRUE(),G219="Dom"),1,0))</f>
        <v>#N/A</v>
      </c>
      <c r="K219" s="2" t="e">
        <f aca="false">IF(L219="No",K218,K218+1)</f>
        <v>#N/A</v>
      </c>
      <c r="L219" s="152" t="e">
        <f aca="false">IF(AND(I219=0,J219=0),H219,"NO")</f>
        <v>#N/A</v>
      </c>
      <c r="N219" s="1" t="n">
        <f aca="false">N218+1</f>
        <v>216</v>
      </c>
      <c r="O219" s="150" t="str">
        <f aca="false">IFERROR(VLOOKUP(N219,$K$4:$L$509,2,0),"")</f>
        <v/>
      </c>
    </row>
    <row r="220" customFormat="false" ht="14.25" hidden="false" customHeight="false" outlineLevel="0" collapsed="false">
      <c r="F220" s="1" t="e">
        <f aca="false">IF(OR(I220=1,J220=1),1,0)</f>
        <v>#N/A</v>
      </c>
      <c r="G220" s="1" t="e">
        <f aca="false">TEXT(H220,"DDD")</f>
        <v>#N/A</v>
      </c>
      <c r="H220" s="150" t="e">
        <f aca="false">IF(H219&gt;='Tallerdata.com'!$X$4,NA(),H219+1)</f>
        <v>#N/A</v>
      </c>
      <c r="I220" s="2" t="n">
        <f aca="false">IFERROR(IF(VLOOKUP(H220,$A$4:$A$33,1,0),1,0),0)</f>
        <v>0</v>
      </c>
      <c r="J220" s="2" t="e">
        <f aca="false">IF(AND($D$4=TRUE(),G220="Sáb"),1,IF(AND($D$5=TRUE(),G220="Dom"),1,0))</f>
        <v>#N/A</v>
      </c>
      <c r="K220" s="2" t="e">
        <f aca="false">IF(L220="No",K219,K219+1)</f>
        <v>#N/A</v>
      </c>
      <c r="L220" s="152" t="e">
        <f aca="false">IF(AND(I220=0,J220=0),H220,"NO")</f>
        <v>#N/A</v>
      </c>
      <c r="N220" s="1" t="n">
        <f aca="false">N219+1</f>
        <v>217</v>
      </c>
      <c r="O220" s="150" t="str">
        <f aca="false">IFERROR(VLOOKUP(N220,$K$4:$L$509,2,0),"")</f>
        <v/>
      </c>
    </row>
    <row r="221" customFormat="false" ht="14.25" hidden="false" customHeight="false" outlineLevel="0" collapsed="false">
      <c r="F221" s="1" t="e">
        <f aca="false">IF(OR(I221=1,J221=1),1,0)</f>
        <v>#N/A</v>
      </c>
      <c r="G221" s="1" t="e">
        <f aca="false">TEXT(H221,"DDD")</f>
        <v>#N/A</v>
      </c>
      <c r="H221" s="150" t="e">
        <f aca="false">IF(H220&gt;='Tallerdata.com'!$X$4,NA(),H220+1)</f>
        <v>#N/A</v>
      </c>
      <c r="I221" s="2" t="n">
        <f aca="false">IFERROR(IF(VLOOKUP(H221,$A$4:$A$33,1,0),1,0),0)</f>
        <v>0</v>
      </c>
      <c r="J221" s="2" t="e">
        <f aca="false">IF(AND($D$4=TRUE(),G221="Sáb"),1,IF(AND($D$5=TRUE(),G221="Dom"),1,0))</f>
        <v>#N/A</v>
      </c>
      <c r="K221" s="2" t="e">
        <f aca="false">IF(L221="No",K220,K220+1)</f>
        <v>#N/A</v>
      </c>
      <c r="L221" s="152" t="e">
        <f aca="false">IF(AND(I221=0,J221=0),H221,"NO")</f>
        <v>#N/A</v>
      </c>
      <c r="N221" s="1" t="n">
        <f aca="false">N220+1</f>
        <v>218</v>
      </c>
      <c r="O221" s="150" t="str">
        <f aca="false">IFERROR(VLOOKUP(N221,$K$4:$L$509,2,0),"")</f>
        <v/>
      </c>
    </row>
    <row r="222" customFormat="false" ht="14.25" hidden="false" customHeight="false" outlineLevel="0" collapsed="false">
      <c r="F222" s="1" t="e">
        <f aca="false">IF(OR(I222=1,J222=1),1,0)</f>
        <v>#N/A</v>
      </c>
      <c r="G222" s="1" t="e">
        <f aca="false">TEXT(H222,"DDD")</f>
        <v>#N/A</v>
      </c>
      <c r="H222" s="150" t="e">
        <f aca="false">IF(H221&gt;='Tallerdata.com'!$X$4,NA(),H221+1)</f>
        <v>#N/A</v>
      </c>
      <c r="I222" s="2" t="n">
        <f aca="false">IFERROR(IF(VLOOKUP(H222,$A$4:$A$33,1,0),1,0),0)</f>
        <v>0</v>
      </c>
      <c r="J222" s="2" t="e">
        <f aca="false">IF(AND($D$4=TRUE(),G222="Sáb"),1,IF(AND($D$5=TRUE(),G222="Dom"),1,0))</f>
        <v>#N/A</v>
      </c>
      <c r="K222" s="2" t="e">
        <f aca="false">IF(L222="No",K221,K221+1)</f>
        <v>#N/A</v>
      </c>
      <c r="L222" s="152" t="e">
        <f aca="false">IF(AND(I222=0,J222=0),H222,"NO")</f>
        <v>#N/A</v>
      </c>
      <c r="N222" s="1" t="n">
        <f aca="false">N221+1</f>
        <v>219</v>
      </c>
      <c r="O222" s="150" t="str">
        <f aca="false">IFERROR(VLOOKUP(N222,$K$4:$L$509,2,0),"")</f>
        <v/>
      </c>
    </row>
    <row r="223" customFormat="false" ht="14.25" hidden="false" customHeight="false" outlineLevel="0" collapsed="false">
      <c r="F223" s="1" t="e">
        <f aca="false">IF(OR(I223=1,J223=1),1,0)</f>
        <v>#N/A</v>
      </c>
      <c r="G223" s="1" t="e">
        <f aca="false">TEXT(H223,"DDD")</f>
        <v>#N/A</v>
      </c>
      <c r="H223" s="150" t="e">
        <f aca="false">IF(H222&gt;='Tallerdata.com'!$X$4,NA(),H222+1)</f>
        <v>#N/A</v>
      </c>
      <c r="I223" s="2" t="n">
        <f aca="false">IFERROR(IF(VLOOKUP(H223,$A$4:$A$33,1,0),1,0),0)</f>
        <v>0</v>
      </c>
      <c r="J223" s="2" t="e">
        <f aca="false">IF(AND($D$4=TRUE(),G223="Sáb"),1,IF(AND($D$5=TRUE(),G223="Dom"),1,0))</f>
        <v>#N/A</v>
      </c>
      <c r="K223" s="2" t="e">
        <f aca="false">IF(L223="No",K222,K222+1)</f>
        <v>#N/A</v>
      </c>
      <c r="L223" s="152" t="e">
        <f aca="false">IF(AND(I223=0,J223=0),H223,"NO")</f>
        <v>#N/A</v>
      </c>
      <c r="N223" s="1" t="n">
        <f aca="false">N222+1</f>
        <v>220</v>
      </c>
      <c r="O223" s="150" t="str">
        <f aca="false">IFERROR(VLOOKUP(N223,$K$4:$L$509,2,0),"")</f>
        <v/>
      </c>
    </row>
    <row r="224" customFormat="false" ht="14.25" hidden="false" customHeight="false" outlineLevel="0" collapsed="false">
      <c r="F224" s="1" t="e">
        <f aca="false">IF(OR(I224=1,J224=1),1,0)</f>
        <v>#N/A</v>
      </c>
      <c r="G224" s="1" t="e">
        <f aca="false">TEXT(H224,"DDD")</f>
        <v>#N/A</v>
      </c>
      <c r="H224" s="150" t="e">
        <f aca="false">IF(H223&gt;='Tallerdata.com'!$X$4,NA(),H223+1)</f>
        <v>#N/A</v>
      </c>
      <c r="I224" s="2" t="n">
        <f aca="false">IFERROR(IF(VLOOKUP(H224,$A$4:$A$33,1,0),1,0),0)</f>
        <v>0</v>
      </c>
      <c r="J224" s="2" t="e">
        <f aca="false">IF(AND($D$4=TRUE(),G224="Sáb"),1,IF(AND($D$5=TRUE(),G224="Dom"),1,0))</f>
        <v>#N/A</v>
      </c>
      <c r="K224" s="2" t="e">
        <f aca="false">IF(L224="No",K223,K223+1)</f>
        <v>#N/A</v>
      </c>
      <c r="L224" s="152" t="e">
        <f aca="false">IF(AND(I224=0,J224=0),H224,"NO")</f>
        <v>#N/A</v>
      </c>
      <c r="N224" s="1" t="n">
        <f aca="false">N223+1</f>
        <v>221</v>
      </c>
      <c r="O224" s="150" t="str">
        <f aca="false">IFERROR(VLOOKUP(N224,$K$4:$L$509,2,0),"")</f>
        <v/>
      </c>
    </row>
    <row r="225" customFormat="false" ht="14.25" hidden="false" customHeight="false" outlineLevel="0" collapsed="false">
      <c r="F225" s="1" t="e">
        <f aca="false">IF(OR(I225=1,J225=1),1,0)</f>
        <v>#N/A</v>
      </c>
      <c r="G225" s="1" t="e">
        <f aca="false">TEXT(H225,"DDD")</f>
        <v>#N/A</v>
      </c>
      <c r="H225" s="150" t="e">
        <f aca="false">IF(H224&gt;='Tallerdata.com'!$X$4,NA(),H224+1)</f>
        <v>#N/A</v>
      </c>
      <c r="I225" s="2" t="n">
        <f aca="false">IFERROR(IF(VLOOKUP(H225,$A$4:$A$33,1,0),1,0),0)</f>
        <v>0</v>
      </c>
      <c r="J225" s="2" t="e">
        <f aca="false">IF(AND($D$4=TRUE(),G225="Sáb"),1,IF(AND($D$5=TRUE(),G225="Dom"),1,0))</f>
        <v>#N/A</v>
      </c>
      <c r="K225" s="2" t="e">
        <f aca="false">IF(L225="No",K224,K224+1)</f>
        <v>#N/A</v>
      </c>
      <c r="L225" s="152" t="e">
        <f aca="false">IF(AND(I225=0,J225=0),H225,"NO")</f>
        <v>#N/A</v>
      </c>
      <c r="N225" s="1" t="n">
        <f aca="false">N224+1</f>
        <v>222</v>
      </c>
      <c r="O225" s="150" t="str">
        <f aca="false">IFERROR(VLOOKUP(N225,$K$4:$L$509,2,0),"")</f>
        <v/>
      </c>
    </row>
    <row r="226" customFormat="false" ht="14.25" hidden="false" customHeight="false" outlineLevel="0" collapsed="false">
      <c r="F226" s="1" t="e">
        <f aca="false">IF(OR(I226=1,J226=1),1,0)</f>
        <v>#N/A</v>
      </c>
      <c r="G226" s="1" t="e">
        <f aca="false">TEXT(H226,"DDD")</f>
        <v>#N/A</v>
      </c>
      <c r="H226" s="150" t="e">
        <f aca="false">IF(H225&gt;='Tallerdata.com'!$X$4,NA(),H225+1)</f>
        <v>#N/A</v>
      </c>
      <c r="I226" s="2" t="n">
        <f aca="false">IFERROR(IF(VLOOKUP(H226,$A$4:$A$33,1,0),1,0),0)</f>
        <v>0</v>
      </c>
      <c r="J226" s="2" t="e">
        <f aca="false">IF(AND($D$4=TRUE(),G226="Sáb"),1,IF(AND($D$5=TRUE(),G226="Dom"),1,0))</f>
        <v>#N/A</v>
      </c>
      <c r="K226" s="2" t="e">
        <f aca="false">IF(L226="No",K225,K225+1)</f>
        <v>#N/A</v>
      </c>
      <c r="L226" s="152" t="e">
        <f aca="false">IF(AND(I226=0,J226=0),H226,"NO")</f>
        <v>#N/A</v>
      </c>
      <c r="N226" s="1" t="n">
        <f aca="false">N225+1</f>
        <v>223</v>
      </c>
      <c r="O226" s="150" t="str">
        <f aca="false">IFERROR(VLOOKUP(N226,$K$4:$L$509,2,0),"")</f>
        <v/>
      </c>
    </row>
    <row r="227" customFormat="false" ht="14.25" hidden="false" customHeight="false" outlineLevel="0" collapsed="false">
      <c r="F227" s="1" t="e">
        <f aca="false">IF(OR(I227=1,J227=1),1,0)</f>
        <v>#N/A</v>
      </c>
      <c r="G227" s="1" t="e">
        <f aca="false">TEXT(H227,"DDD")</f>
        <v>#N/A</v>
      </c>
      <c r="H227" s="150" t="e">
        <f aca="false">IF(H226&gt;='Tallerdata.com'!$X$4,NA(),H226+1)</f>
        <v>#N/A</v>
      </c>
      <c r="I227" s="2" t="n">
        <f aca="false">IFERROR(IF(VLOOKUP(H227,$A$4:$A$33,1,0),1,0),0)</f>
        <v>0</v>
      </c>
      <c r="J227" s="2" t="e">
        <f aca="false">IF(AND($D$4=TRUE(),G227="Sáb"),1,IF(AND($D$5=TRUE(),G227="Dom"),1,0))</f>
        <v>#N/A</v>
      </c>
      <c r="K227" s="2" t="e">
        <f aca="false">IF(L227="No",K226,K226+1)</f>
        <v>#N/A</v>
      </c>
      <c r="L227" s="152" t="e">
        <f aca="false">IF(AND(I227=0,J227=0),H227,"NO")</f>
        <v>#N/A</v>
      </c>
      <c r="N227" s="1" t="n">
        <f aca="false">N226+1</f>
        <v>224</v>
      </c>
      <c r="O227" s="150" t="str">
        <f aca="false">IFERROR(VLOOKUP(N227,$K$4:$L$509,2,0),"")</f>
        <v/>
      </c>
    </row>
    <row r="228" customFormat="false" ht="14.25" hidden="false" customHeight="false" outlineLevel="0" collapsed="false">
      <c r="F228" s="1" t="e">
        <f aca="false">IF(OR(I228=1,J228=1),1,0)</f>
        <v>#N/A</v>
      </c>
      <c r="G228" s="1" t="e">
        <f aca="false">TEXT(H228,"DDD")</f>
        <v>#N/A</v>
      </c>
      <c r="H228" s="150" t="e">
        <f aca="false">IF(H227&gt;='Tallerdata.com'!$X$4,NA(),H227+1)</f>
        <v>#N/A</v>
      </c>
      <c r="I228" s="2" t="n">
        <f aca="false">IFERROR(IF(VLOOKUP(H228,$A$4:$A$33,1,0),1,0),0)</f>
        <v>0</v>
      </c>
      <c r="J228" s="2" t="e">
        <f aca="false">IF(AND($D$4=TRUE(),G228="Sáb"),1,IF(AND($D$5=TRUE(),G228="Dom"),1,0))</f>
        <v>#N/A</v>
      </c>
      <c r="K228" s="2" t="e">
        <f aca="false">IF(L228="No",K227,K227+1)</f>
        <v>#N/A</v>
      </c>
      <c r="L228" s="152" t="e">
        <f aca="false">IF(AND(I228=0,J228=0),H228,"NO")</f>
        <v>#N/A</v>
      </c>
      <c r="N228" s="1" t="n">
        <f aca="false">N227+1</f>
        <v>225</v>
      </c>
      <c r="O228" s="150" t="str">
        <f aca="false">IFERROR(VLOOKUP(N228,$K$4:$L$509,2,0),"")</f>
        <v/>
      </c>
    </row>
    <row r="229" customFormat="false" ht="14.25" hidden="false" customHeight="false" outlineLevel="0" collapsed="false">
      <c r="F229" s="1" t="e">
        <f aca="false">IF(OR(I229=1,J229=1),1,0)</f>
        <v>#N/A</v>
      </c>
      <c r="G229" s="1" t="e">
        <f aca="false">TEXT(H229,"DDD")</f>
        <v>#N/A</v>
      </c>
      <c r="H229" s="150" t="e">
        <f aca="false">IF(H228&gt;='Tallerdata.com'!$X$4,NA(),H228+1)</f>
        <v>#N/A</v>
      </c>
      <c r="I229" s="2" t="n">
        <f aca="false">IFERROR(IF(VLOOKUP(H229,$A$4:$A$33,1,0),1,0),0)</f>
        <v>0</v>
      </c>
      <c r="J229" s="2" t="e">
        <f aca="false">IF(AND($D$4=TRUE(),G229="Sáb"),1,IF(AND($D$5=TRUE(),G229="Dom"),1,0))</f>
        <v>#N/A</v>
      </c>
      <c r="K229" s="2" t="e">
        <f aca="false">IF(L229="No",K228,K228+1)</f>
        <v>#N/A</v>
      </c>
      <c r="L229" s="152" t="e">
        <f aca="false">IF(AND(I229=0,J229=0),H229,"NO")</f>
        <v>#N/A</v>
      </c>
      <c r="N229" s="1" t="n">
        <f aca="false">N228+1</f>
        <v>226</v>
      </c>
      <c r="O229" s="150" t="str">
        <f aca="false">IFERROR(VLOOKUP(N229,$K$4:$L$509,2,0),"")</f>
        <v/>
      </c>
    </row>
    <row r="230" customFormat="false" ht="14.25" hidden="false" customHeight="false" outlineLevel="0" collapsed="false">
      <c r="F230" s="1" t="e">
        <f aca="false">IF(OR(I230=1,J230=1),1,0)</f>
        <v>#N/A</v>
      </c>
      <c r="G230" s="1" t="e">
        <f aca="false">TEXT(H230,"DDD")</f>
        <v>#N/A</v>
      </c>
      <c r="H230" s="150" t="e">
        <f aca="false">IF(H229&gt;='Tallerdata.com'!$X$4,NA(),H229+1)</f>
        <v>#N/A</v>
      </c>
      <c r="I230" s="2" t="n">
        <f aca="false">IFERROR(IF(VLOOKUP(H230,$A$4:$A$33,1,0),1,0),0)</f>
        <v>0</v>
      </c>
      <c r="J230" s="2" t="e">
        <f aca="false">IF(AND($D$4=TRUE(),G230="Sáb"),1,IF(AND($D$5=TRUE(),G230="Dom"),1,0))</f>
        <v>#N/A</v>
      </c>
      <c r="K230" s="2" t="e">
        <f aca="false">IF(L230="No",K229,K229+1)</f>
        <v>#N/A</v>
      </c>
      <c r="L230" s="152" t="e">
        <f aca="false">IF(AND(I230=0,J230=0),H230,"NO")</f>
        <v>#N/A</v>
      </c>
      <c r="N230" s="1" t="n">
        <f aca="false">N229+1</f>
        <v>227</v>
      </c>
      <c r="O230" s="150" t="str">
        <f aca="false">IFERROR(VLOOKUP(N230,$K$4:$L$509,2,0),"")</f>
        <v/>
      </c>
    </row>
    <row r="231" customFormat="false" ht="14.25" hidden="false" customHeight="false" outlineLevel="0" collapsed="false">
      <c r="F231" s="1" t="e">
        <f aca="false">IF(OR(I231=1,J231=1),1,0)</f>
        <v>#N/A</v>
      </c>
      <c r="G231" s="1" t="e">
        <f aca="false">TEXT(H231,"DDD")</f>
        <v>#N/A</v>
      </c>
      <c r="H231" s="150" t="e">
        <f aca="false">IF(H230&gt;='Tallerdata.com'!$X$4,NA(),H230+1)</f>
        <v>#N/A</v>
      </c>
      <c r="I231" s="2" t="n">
        <f aca="false">IFERROR(IF(VLOOKUP(H231,$A$4:$A$33,1,0),1,0),0)</f>
        <v>0</v>
      </c>
      <c r="J231" s="2" t="e">
        <f aca="false">IF(AND($D$4=TRUE(),G231="Sáb"),1,IF(AND($D$5=TRUE(),G231="Dom"),1,0))</f>
        <v>#N/A</v>
      </c>
      <c r="K231" s="2" t="e">
        <f aca="false">IF(L231="No",K230,K230+1)</f>
        <v>#N/A</v>
      </c>
      <c r="L231" s="152" t="e">
        <f aca="false">IF(AND(I231=0,J231=0),H231,"NO")</f>
        <v>#N/A</v>
      </c>
      <c r="N231" s="1" t="n">
        <f aca="false">N230+1</f>
        <v>228</v>
      </c>
      <c r="O231" s="150" t="str">
        <f aca="false">IFERROR(VLOOKUP(N231,$K$4:$L$509,2,0),"")</f>
        <v/>
      </c>
    </row>
    <row r="232" customFormat="false" ht="14.25" hidden="false" customHeight="false" outlineLevel="0" collapsed="false">
      <c r="F232" s="1" t="e">
        <f aca="false">IF(OR(I232=1,J232=1),1,0)</f>
        <v>#N/A</v>
      </c>
      <c r="G232" s="1" t="e">
        <f aca="false">TEXT(H232,"DDD")</f>
        <v>#N/A</v>
      </c>
      <c r="H232" s="150" t="e">
        <f aca="false">IF(H231&gt;='Tallerdata.com'!$X$4,NA(),H231+1)</f>
        <v>#N/A</v>
      </c>
      <c r="I232" s="2" t="n">
        <f aca="false">IFERROR(IF(VLOOKUP(H232,$A$4:$A$33,1,0),1,0),0)</f>
        <v>0</v>
      </c>
      <c r="J232" s="2" t="e">
        <f aca="false">IF(AND($D$4=TRUE(),G232="Sáb"),1,IF(AND($D$5=TRUE(),G232="Dom"),1,0))</f>
        <v>#N/A</v>
      </c>
      <c r="K232" s="2" t="e">
        <f aca="false">IF(L232="No",K231,K231+1)</f>
        <v>#N/A</v>
      </c>
      <c r="L232" s="152" t="e">
        <f aca="false">IF(AND(I232=0,J232=0),H232,"NO")</f>
        <v>#N/A</v>
      </c>
      <c r="N232" s="1" t="n">
        <f aca="false">N231+1</f>
        <v>229</v>
      </c>
      <c r="O232" s="150" t="str">
        <f aca="false">IFERROR(VLOOKUP(N232,$K$4:$L$509,2,0),"")</f>
        <v/>
      </c>
    </row>
    <row r="233" customFormat="false" ht="14.25" hidden="false" customHeight="false" outlineLevel="0" collapsed="false">
      <c r="F233" s="1" t="e">
        <f aca="false">IF(OR(I233=1,J233=1),1,0)</f>
        <v>#N/A</v>
      </c>
      <c r="G233" s="1" t="e">
        <f aca="false">TEXT(H233,"DDD")</f>
        <v>#N/A</v>
      </c>
      <c r="H233" s="150" t="e">
        <f aca="false">IF(H232&gt;='Tallerdata.com'!$X$4,NA(),H232+1)</f>
        <v>#N/A</v>
      </c>
      <c r="I233" s="2" t="n">
        <f aca="false">IFERROR(IF(VLOOKUP(H233,$A$4:$A$33,1,0),1,0),0)</f>
        <v>0</v>
      </c>
      <c r="J233" s="2" t="e">
        <f aca="false">IF(AND($D$4=TRUE(),G233="Sáb"),1,IF(AND($D$5=TRUE(),G233="Dom"),1,0))</f>
        <v>#N/A</v>
      </c>
      <c r="K233" s="2" t="e">
        <f aca="false">IF(L233="No",K232,K232+1)</f>
        <v>#N/A</v>
      </c>
      <c r="L233" s="152" t="e">
        <f aca="false">IF(AND(I233=0,J233=0),H233,"NO")</f>
        <v>#N/A</v>
      </c>
      <c r="N233" s="1" t="n">
        <f aca="false">N232+1</f>
        <v>230</v>
      </c>
      <c r="O233" s="150" t="str">
        <f aca="false">IFERROR(VLOOKUP(N233,$K$4:$L$509,2,0),"")</f>
        <v/>
      </c>
    </row>
    <row r="234" customFormat="false" ht="14.25" hidden="false" customHeight="false" outlineLevel="0" collapsed="false">
      <c r="F234" s="1" t="e">
        <f aca="false">IF(OR(I234=1,J234=1),1,0)</f>
        <v>#N/A</v>
      </c>
      <c r="G234" s="1" t="e">
        <f aca="false">TEXT(H234,"DDD")</f>
        <v>#N/A</v>
      </c>
      <c r="H234" s="150" t="e">
        <f aca="false">IF(H233&gt;='Tallerdata.com'!$X$4,NA(),H233+1)</f>
        <v>#N/A</v>
      </c>
      <c r="I234" s="2" t="n">
        <f aca="false">IFERROR(IF(VLOOKUP(H234,$A$4:$A$33,1,0),1,0),0)</f>
        <v>0</v>
      </c>
      <c r="J234" s="2" t="e">
        <f aca="false">IF(AND($D$4=TRUE(),G234="Sáb"),1,IF(AND($D$5=TRUE(),G234="Dom"),1,0))</f>
        <v>#N/A</v>
      </c>
      <c r="K234" s="2" t="e">
        <f aca="false">IF(L234="No",K233,K233+1)</f>
        <v>#N/A</v>
      </c>
      <c r="L234" s="152" t="e">
        <f aca="false">IF(AND(I234=0,J234=0),H234,"NO")</f>
        <v>#N/A</v>
      </c>
      <c r="N234" s="1" t="n">
        <f aca="false">N233+1</f>
        <v>231</v>
      </c>
      <c r="O234" s="150" t="str">
        <f aca="false">IFERROR(VLOOKUP(N234,$K$4:$L$509,2,0),"")</f>
        <v/>
      </c>
    </row>
    <row r="235" customFormat="false" ht="14.25" hidden="false" customHeight="false" outlineLevel="0" collapsed="false">
      <c r="F235" s="1" t="e">
        <f aca="false">IF(OR(I235=1,J235=1),1,0)</f>
        <v>#N/A</v>
      </c>
      <c r="G235" s="1" t="e">
        <f aca="false">TEXT(H235,"DDD")</f>
        <v>#N/A</v>
      </c>
      <c r="H235" s="150" t="e">
        <f aca="false">IF(H234&gt;='Tallerdata.com'!$X$4,NA(),H234+1)</f>
        <v>#N/A</v>
      </c>
      <c r="I235" s="2" t="n">
        <f aca="false">IFERROR(IF(VLOOKUP(H235,$A$4:$A$33,1,0),1,0),0)</f>
        <v>0</v>
      </c>
      <c r="J235" s="2" t="e">
        <f aca="false">IF(AND($D$4=TRUE(),G235="Sáb"),1,IF(AND($D$5=TRUE(),G235="Dom"),1,0))</f>
        <v>#N/A</v>
      </c>
      <c r="K235" s="2" t="e">
        <f aca="false">IF(L235="No",K234,K234+1)</f>
        <v>#N/A</v>
      </c>
      <c r="L235" s="152" t="e">
        <f aca="false">IF(AND(I235=0,J235=0),H235,"NO")</f>
        <v>#N/A</v>
      </c>
      <c r="N235" s="1" t="n">
        <f aca="false">N234+1</f>
        <v>232</v>
      </c>
      <c r="O235" s="150" t="str">
        <f aca="false">IFERROR(VLOOKUP(N235,$K$4:$L$509,2,0),"")</f>
        <v/>
      </c>
    </row>
    <row r="236" customFormat="false" ht="14.25" hidden="false" customHeight="false" outlineLevel="0" collapsed="false">
      <c r="F236" s="1" t="e">
        <f aca="false">IF(OR(I236=1,J236=1),1,0)</f>
        <v>#N/A</v>
      </c>
      <c r="G236" s="1" t="e">
        <f aca="false">TEXT(H236,"DDD")</f>
        <v>#N/A</v>
      </c>
      <c r="H236" s="150" t="e">
        <f aca="false">IF(H235&gt;='Tallerdata.com'!$X$4,NA(),H235+1)</f>
        <v>#N/A</v>
      </c>
      <c r="I236" s="2" t="n">
        <f aca="false">IFERROR(IF(VLOOKUP(H236,$A$4:$A$33,1,0),1,0),0)</f>
        <v>0</v>
      </c>
      <c r="J236" s="2" t="e">
        <f aca="false">IF(AND($D$4=TRUE(),G236="Sáb"),1,IF(AND($D$5=TRUE(),G236="Dom"),1,0))</f>
        <v>#N/A</v>
      </c>
      <c r="K236" s="2" t="e">
        <f aca="false">IF(L236="No",K235,K235+1)</f>
        <v>#N/A</v>
      </c>
      <c r="L236" s="152" t="e">
        <f aca="false">IF(AND(I236=0,J236=0),H236,"NO")</f>
        <v>#N/A</v>
      </c>
      <c r="N236" s="1" t="n">
        <f aca="false">N235+1</f>
        <v>233</v>
      </c>
      <c r="O236" s="150" t="str">
        <f aca="false">IFERROR(VLOOKUP(N236,$K$4:$L$509,2,0),"")</f>
        <v/>
      </c>
    </row>
    <row r="237" customFormat="false" ht="14.25" hidden="false" customHeight="false" outlineLevel="0" collapsed="false">
      <c r="F237" s="1" t="e">
        <f aca="false">IF(OR(I237=1,J237=1),1,0)</f>
        <v>#N/A</v>
      </c>
      <c r="G237" s="1" t="e">
        <f aca="false">TEXT(H237,"DDD")</f>
        <v>#N/A</v>
      </c>
      <c r="H237" s="150" t="e">
        <f aca="false">IF(H236&gt;='Tallerdata.com'!$X$4,NA(),H236+1)</f>
        <v>#N/A</v>
      </c>
      <c r="I237" s="2" t="n">
        <f aca="false">IFERROR(IF(VLOOKUP(H237,$A$4:$A$33,1,0),1,0),0)</f>
        <v>0</v>
      </c>
      <c r="J237" s="2" t="e">
        <f aca="false">IF(AND($D$4=TRUE(),G237="Sáb"),1,IF(AND($D$5=TRUE(),G237="Dom"),1,0))</f>
        <v>#N/A</v>
      </c>
      <c r="K237" s="2" t="e">
        <f aca="false">IF(L237="No",K236,K236+1)</f>
        <v>#N/A</v>
      </c>
      <c r="L237" s="152" t="e">
        <f aca="false">IF(AND(I237=0,J237=0),H237,"NO")</f>
        <v>#N/A</v>
      </c>
      <c r="N237" s="1" t="n">
        <f aca="false">N236+1</f>
        <v>234</v>
      </c>
      <c r="O237" s="150" t="str">
        <f aca="false">IFERROR(VLOOKUP(N237,$K$4:$L$509,2,0),"")</f>
        <v/>
      </c>
    </row>
    <row r="238" customFormat="false" ht="14.25" hidden="false" customHeight="false" outlineLevel="0" collapsed="false">
      <c r="F238" s="1" t="e">
        <f aca="false">IF(OR(I238=1,J238=1),1,0)</f>
        <v>#N/A</v>
      </c>
      <c r="G238" s="1" t="e">
        <f aca="false">TEXT(H238,"DDD")</f>
        <v>#N/A</v>
      </c>
      <c r="H238" s="150" t="e">
        <f aca="false">IF(H237&gt;='Tallerdata.com'!$X$4,NA(),H237+1)</f>
        <v>#N/A</v>
      </c>
      <c r="I238" s="2" t="n">
        <f aca="false">IFERROR(IF(VLOOKUP(H238,$A$4:$A$33,1,0),1,0),0)</f>
        <v>0</v>
      </c>
      <c r="J238" s="2" t="e">
        <f aca="false">IF(AND($D$4=TRUE(),G238="Sáb"),1,IF(AND($D$5=TRUE(),G238="Dom"),1,0))</f>
        <v>#N/A</v>
      </c>
      <c r="K238" s="2" t="e">
        <f aca="false">IF(L238="No",K237,K237+1)</f>
        <v>#N/A</v>
      </c>
      <c r="L238" s="152" t="e">
        <f aca="false">IF(AND(I238=0,J238=0),H238,"NO")</f>
        <v>#N/A</v>
      </c>
      <c r="N238" s="1" t="n">
        <f aca="false">N237+1</f>
        <v>235</v>
      </c>
      <c r="O238" s="150" t="str">
        <f aca="false">IFERROR(VLOOKUP(N238,$K$4:$L$509,2,0),"")</f>
        <v/>
      </c>
    </row>
    <row r="239" customFormat="false" ht="14.25" hidden="false" customHeight="false" outlineLevel="0" collapsed="false">
      <c r="F239" s="1" t="e">
        <f aca="false">IF(OR(I239=1,J239=1),1,0)</f>
        <v>#N/A</v>
      </c>
      <c r="G239" s="1" t="e">
        <f aca="false">TEXT(H239,"DDD")</f>
        <v>#N/A</v>
      </c>
      <c r="H239" s="150" t="e">
        <f aca="false">IF(H238&gt;='Tallerdata.com'!$X$4,NA(),H238+1)</f>
        <v>#N/A</v>
      </c>
      <c r="I239" s="2" t="n">
        <f aca="false">IFERROR(IF(VLOOKUP(H239,$A$4:$A$33,1,0),1,0),0)</f>
        <v>0</v>
      </c>
      <c r="J239" s="2" t="e">
        <f aca="false">IF(AND($D$4=TRUE(),G239="Sáb"),1,IF(AND($D$5=TRUE(),G239="Dom"),1,0))</f>
        <v>#N/A</v>
      </c>
      <c r="K239" s="2" t="e">
        <f aca="false">IF(L239="No",K238,K238+1)</f>
        <v>#N/A</v>
      </c>
      <c r="L239" s="152" t="e">
        <f aca="false">IF(AND(I239=0,J239=0),H239,"NO")</f>
        <v>#N/A</v>
      </c>
      <c r="N239" s="1" t="n">
        <f aca="false">N238+1</f>
        <v>236</v>
      </c>
      <c r="O239" s="150" t="str">
        <f aca="false">IFERROR(VLOOKUP(N239,$K$4:$L$509,2,0),"")</f>
        <v/>
      </c>
    </row>
    <row r="240" customFormat="false" ht="14.25" hidden="false" customHeight="false" outlineLevel="0" collapsed="false">
      <c r="F240" s="1" t="e">
        <f aca="false">IF(OR(I240=1,J240=1),1,0)</f>
        <v>#N/A</v>
      </c>
      <c r="G240" s="1" t="e">
        <f aca="false">TEXT(H240,"DDD")</f>
        <v>#N/A</v>
      </c>
      <c r="H240" s="150" t="e">
        <f aca="false">IF(H239&gt;='Tallerdata.com'!$X$4,NA(),H239+1)</f>
        <v>#N/A</v>
      </c>
      <c r="I240" s="2" t="n">
        <f aca="false">IFERROR(IF(VLOOKUP(H240,$A$4:$A$33,1,0),1,0),0)</f>
        <v>0</v>
      </c>
      <c r="J240" s="2" t="e">
        <f aca="false">IF(AND($D$4=TRUE(),G240="Sáb"),1,IF(AND($D$5=TRUE(),G240="Dom"),1,0))</f>
        <v>#N/A</v>
      </c>
      <c r="K240" s="2" t="e">
        <f aca="false">IF(L240="No",K239,K239+1)</f>
        <v>#N/A</v>
      </c>
      <c r="L240" s="152" t="e">
        <f aca="false">IF(AND(I240=0,J240=0),H240,"NO")</f>
        <v>#N/A</v>
      </c>
      <c r="N240" s="1" t="n">
        <f aca="false">N239+1</f>
        <v>237</v>
      </c>
      <c r="O240" s="150" t="str">
        <f aca="false">IFERROR(VLOOKUP(N240,$K$4:$L$509,2,0),"")</f>
        <v/>
      </c>
    </row>
    <row r="241" customFormat="false" ht="14.25" hidden="false" customHeight="false" outlineLevel="0" collapsed="false">
      <c r="F241" s="1" t="e">
        <f aca="false">IF(OR(I241=1,J241=1),1,0)</f>
        <v>#N/A</v>
      </c>
      <c r="G241" s="1" t="e">
        <f aca="false">TEXT(H241,"DDD")</f>
        <v>#N/A</v>
      </c>
      <c r="H241" s="150" t="e">
        <f aca="false">IF(H240&gt;='Tallerdata.com'!$X$4,NA(),H240+1)</f>
        <v>#N/A</v>
      </c>
      <c r="I241" s="2" t="n">
        <f aca="false">IFERROR(IF(VLOOKUP(H241,$A$4:$A$33,1,0),1,0),0)</f>
        <v>0</v>
      </c>
      <c r="J241" s="2" t="e">
        <f aca="false">IF(AND($D$4=TRUE(),G241="Sáb"),1,IF(AND($D$5=TRUE(),G241="Dom"),1,0))</f>
        <v>#N/A</v>
      </c>
      <c r="K241" s="2" t="e">
        <f aca="false">IF(L241="No",K240,K240+1)</f>
        <v>#N/A</v>
      </c>
      <c r="L241" s="152" t="e">
        <f aca="false">IF(AND(I241=0,J241=0),H241,"NO")</f>
        <v>#N/A</v>
      </c>
      <c r="N241" s="1" t="n">
        <f aca="false">N240+1</f>
        <v>238</v>
      </c>
      <c r="O241" s="150" t="str">
        <f aca="false">IFERROR(VLOOKUP(N241,$K$4:$L$509,2,0),"")</f>
        <v/>
      </c>
    </row>
    <row r="242" customFormat="false" ht="14.25" hidden="false" customHeight="false" outlineLevel="0" collapsed="false">
      <c r="F242" s="1" t="e">
        <f aca="false">IF(OR(I242=1,J242=1),1,0)</f>
        <v>#N/A</v>
      </c>
      <c r="G242" s="1" t="e">
        <f aca="false">TEXT(H242,"DDD")</f>
        <v>#N/A</v>
      </c>
      <c r="H242" s="150" t="e">
        <f aca="false">IF(H241&gt;='Tallerdata.com'!$X$4,NA(),H241+1)</f>
        <v>#N/A</v>
      </c>
      <c r="I242" s="2" t="n">
        <f aca="false">IFERROR(IF(VLOOKUP(H242,$A$4:$A$33,1,0),1,0),0)</f>
        <v>0</v>
      </c>
      <c r="J242" s="2" t="e">
        <f aca="false">IF(AND($D$4=TRUE(),G242="Sáb"),1,IF(AND($D$5=TRUE(),G242="Dom"),1,0))</f>
        <v>#N/A</v>
      </c>
      <c r="K242" s="2" t="e">
        <f aca="false">IF(L242="No",K241,K241+1)</f>
        <v>#N/A</v>
      </c>
      <c r="L242" s="152" t="e">
        <f aca="false">IF(AND(I242=0,J242=0),H242,"NO")</f>
        <v>#N/A</v>
      </c>
      <c r="N242" s="1" t="n">
        <f aca="false">N241+1</f>
        <v>239</v>
      </c>
      <c r="O242" s="150" t="str">
        <f aca="false">IFERROR(VLOOKUP(N242,$K$4:$L$509,2,0),"")</f>
        <v/>
      </c>
    </row>
    <row r="243" customFormat="false" ht="14.25" hidden="false" customHeight="false" outlineLevel="0" collapsed="false">
      <c r="F243" s="1" t="e">
        <f aca="false">IF(OR(I243=1,J243=1),1,0)</f>
        <v>#N/A</v>
      </c>
      <c r="G243" s="1" t="e">
        <f aca="false">TEXT(H243,"DDD")</f>
        <v>#N/A</v>
      </c>
      <c r="H243" s="150" t="e">
        <f aca="false">IF(H242&gt;='Tallerdata.com'!$X$4,NA(),H242+1)</f>
        <v>#N/A</v>
      </c>
      <c r="I243" s="2" t="n">
        <f aca="false">IFERROR(IF(VLOOKUP(H243,$A$4:$A$33,1,0),1,0),0)</f>
        <v>0</v>
      </c>
      <c r="J243" s="2" t="e">
        <f aca="false">IF(AND($D$4=TRUE(),G243="Sáb"),1,IF(AND($D$5=TRUE(),G243="Dom"),1,0))</f>
        <v>#N/A</v>
      </c>
      <c r="K243" s="2" t="e">
        <f aca="false">IF(L243="No",K242,K242+1)</f>
        <v>#N/A</v>
      </c>
      <c r="L243" s="152" t="e">
        <f aca="false">IF(AND(I243=0,J243=0),H243,"NO")</f>
        <v>#N/A</v>
      </c>
      <c r="N243" s="1" t="n">
        <f aca="false">N242+1</f>
        <v>240</v>
      </c>
      <c r="O243" s="150" t="str">
        <f aca="false">IFERROR(VLOOKUP(N243,$K$4:$L$509,2,0),"")</f>
        <v/>
      </c>
    </row>
    <row r="244" customFormat="false" ht="14.25" hidden="false" customHeight="false" outlineLevel="0" collapsed="false">
      <c r="F244" s="1" t="e">
        <f aca="false">IF(OR(I244=1,J244=1),1,0)</f>
        <v>#N/A</v>
      </c>
      <c r="G244" s="1" t="e">
        <f aca="false">TEXT(H244,"DDD")</f>
        <v>#N/A</v>
      </c>
      <c r="H244" s="150" t="e">
        <f aca="false">IF(H243&gt;='Tallerdata.com'!$X$4,NA(),H243+1)</f>
        <v>#N/A</v>
      </c>
      <c r="I244" s="2" t="n">
        <f aca="false">IFERROR(IF(VLOOKUP(H244,$A$4:$A$33,1,0),1,0),0)</f>
        <v>0</v>
      </c>
      <c r="J244" s="2" t="e">
        <f aca="false">IF(AND($D$4=TRUE(),G244="Sáb"),1,IF(AND($D$5=TRUE(),G244="Dom"),1,0))</f>
        <v>#N/A</v>
      </c>
      <c r="K244" s="2" t="e">
        <f aca="false">IF(L244="No",K243,K243+1)</f>
        <v>#N/A</v>
      </c>
      <c r="L244" s="152" t="e">
        <f aca="false">IF(AND(I244=0,J244=0),H244,"NO")</f>
        <v>#N/A</v>
      </c>
      <c r="N244" s="1" t="n">
        <f aca="false">N243+1</f>
        <v>241</v>
      </c>
      <c r="O244" s="150" t="str">
        <f aca="false">IFERROR(VLOOKUP(N244,$K$4:$L$509,2,0),"")</f>
        <v/>
      </c>
    </row>
    <row r="245" customFormat="false" ht="14.25" hidden="false" customHeight="false" outlineLevel="0" collapsed="false">
      <c r="F245" s="1" t="e">
        <f aca="false">IF(OR(I245=1,J245=1),1,0)</f>
        <v>#N/A</v>
      </c>
      <c r="G245" s="1" t="e">
        <f aca="false">TEXT(H245,"DDD")</f>
        <v>#N/A</v>
      </c>
      <c r="H245" s="150" t="e">
        <f aca="false">IF(H244&gt;='Tallerdata.com'!$X$4,NA(),H244+1)</f>
        <v>#N/A</v>
      </c>
      <c r="I245" s="2" t="n">
        <f aca="false">IFERROR(IF(VLOOKUP(H245,$A$4:$A$33,1,0),1,0),0)</f>
        <v>0</v>
      </c>
      <c r="J245" s="2" t="e">
        <f aca="false">IF(AND($D$4=TRUE(),G245="Sáb"),1,IF(AND($D$5=TRUE(),G245="Dom"),1,0))</f>
        <v>#N/A</v>
      </c>
      <c r="K245" s="2" t="e">
        <f aca="false">IF(L245="No",K244,K244+1)</f>
        <v>#N/A</v>
      </c>
      <c r="L245" s="152" t="e">
        <f aca="false">IF(AND(I245=0,J245=0),H245,"NO")</f>
        <v>#N/A</v>
      </c>
      <c r="N245" s="1" t="n">
        <f aca="false">N244+1</f>
        <v>242</v>
      </c>
      <c r="O245" s="150" t="str">
        <f aca="false">IFERROR(VLOOKUP(N245,$K$4:$L$509,2,0),"")</f>
        <v/>
      </c>
    </row>
    <row r="246" customFormat="false" ht="14.25" hidden="false" customHeight="false" outlineLevel="0" collapsed="false">
      <c r="F246" s="1" t="e">
        <f aca="false">IF(OR(I246=1,J246=1),1,0)</f>
        <v>#N/A</v>
      </c>
      <c r="G246" s="1" t="e">
        <f aca="false">TEXT(H246,"DDD")</f>
        <v>#N/A</v>
      </c>
      <c r="H246" s="150" t="e">
        <f aca="false">IF(H245&gt;='Tallerdata.com'!$X$4,NA(),H245+1)</f>
        <v>#N/A</v>
      </c>
      <c r="I246" s="2" t="n">
        <f aca="false">IFERROR(IF(VLOOKUP(H246,$A$4:$A$33,1,0),1,0),0)</f>
        <v>0</v>
      </c>
      <c r="J246" s="2" t="e">
        <f aca="false">IF(AND($D$4=TRUE(),G246="Sáb"),1,IF(AND($D$5=TRUE(),G246="Dom"),1,0))</f>
        <v>#N/A</v>
      </c>
      <c r="K246" s="2" t="e">
        <f aca="false">IF(L246="No",K245,K245+1)</f>
        <v>#N/A</v>
      </c>
      <c r="L246" s="152" t="e">
        <f aca="false">IF(AND(I246=0,J246=0),H246,"NO")</f>
        <v>#N/A</v>
      </c>
      <c r="N246" s="1" t="n">
        <f aca="false">N245+1</f>
        <v>243</v>
      </c>
      <c r="O246" s="150" t="str">
        <f aca="false">IFERROR(VLOOKUP(N246,$K$4:$L$509,2,0),"")</f>
        <v/>
      </c>
    </row>
    <row r="247" customFormat="false" ht="14.25" hidden="false" customHeight="false" outlineLevel="0" collapsed="false">
      <c r="F247" s="1" t="e">
        <f aca="false">IF(OR(I247=1,J247=1),1,0)</f>
        <v>#N/A</v>
      </c>
      <c r="G247" s="1" t="e">
        <f aca="false">TEXT(H247,"DDD")</f>
        <v>#N/A</v>
      </c>
      <c r="H247" s="150" t="e">
        <f aca="false">IF(H246&gt;='Tallerdata.com'!$X$4,NA(),H246+1)</f>
        <v>#N/A</v>
      </c>
      <c r="I247" s="2" t="n">
        <f aca="false">IFERROR(IF(VLOOKUP(H247,$A$4:$A$33,1,0),1,0),0)</f>
        <v>0</v>
      </c>
      <c r="J247" s="2" t="e">
        <f aca="false">IF(AND($D$4=TRUE(),G247="Sáb"),1,IF(AND($D$5=TRUE(),G247="Dom"),1,0))</f>
        <v>#N/A</v>
      </c>
      <c r="K247" s="2" t="e">
        <f aca="false">IF(L247="No",K246,K246+1)</f>
        <v>#N/A</v>
      </c>
      <c r="L247" s="152" t="e">
        <f aca="false">IF(AND(I247=0,J247=0),H247,"NO")</f>
        <v>#N/A</v>
      </c>
      <c r="N247" s="1" t="n">
        <f aca="false">N246+1</f>
        <v>244</v>
      </c>
      <c r="O247" s="150" t="str">
        <f aca="false">IFERROR(VLOOKUP(N247,$K$4:$L$509,2,0),"")</f>
        <v/>
      </c>
    </row>
    <row r="248" customFormat="false" ht="14.25" hidden="false" customHeight="false" outlineLevel="0" collapsed="false">
      <c r="F248" s="1" t="e">
        <f aca="false">IF(OR(I248=1,J248=1),1,0)</f>
        <v>#N/A</v>
      </c>
      <c r="G248" s="1" t="e">
        <f aca="false">TEXT(H248,"DDD")</f>
        <v>#N/A</v>
      </c>
      <c r="H248" s="150" t="e">
        <f aca="false">IF(H247&gt;='Tallerdata.com'!$X$4,NA(),H247+1)</f>
        <v>#N/A</v>
      </c>
      <c r="I248" s="2" t="n">
        <f aca="false">IFERROR(IF(VLOOKUP(H248,$A$4:$A$33,1,0),1,0),0)</f>
        <v>0</v>
      </c>
      <c r="J248" s="2" t="e">
        <f aca="false">IF(AND($D$4=TRUE(),G248="Sáb"),1,IF(AND($D$5=TRUE(),G248="Dom"),1,0))</f>
        <v>#N/A</v>
      </c>
      <c r="K248" s="2" t="e">
        <f aca="false">IF(L248="No",K247,K247+1)</f>
        <v>#N/A</v>
      </c>
      <c r="L248" s="152" t="e">
        <f aca="false">IF(AND(I248=0,J248=0),H248,"NO")</f>
        <v>#N/A</v>
      </c>
      <c r="N248" s="1" t="n">
        <f aca="false">N247+1</f>
        <v>245</v>
      </c>
      <c r="O248" s="150" t="str">
        <f aca="false">IFERROR(VLOOKUP(N248,$K$4:$L$509,2,0),"")</f>
        <v/>
      </c>
    </row>
    <row r="249" customFormat="false" ht="14.25" hidden="false" customHeight="false" outlineLevel="0" collapsed="false">
      <c r="F249" s="1" t="e">
        <f aca="false">IF(OR(I249=1,J249=1),1,0)</f>
        <v>#N/A</v>
      </c>
      <c r="G249" s="1" t="e">
        <f aca="false">TEXT(H249,"DDD")</f>
        <v>#N/A</v>
      </c>
      <c r="H249" s="150" t="e">
        <f aca="false">IF(H248&gt;='Tallerdata.com'!$X$4,NA(),H248+1)</f>
        <v>#N/A</v>
      </c>
      <c r="I249" s="2" t="n">
        <f aca="false">IFERROR(IF(VLOOKUP(H249,$A$4:$A$33,1,0),1,0),0)</f>
        <v>0</v>
      </c>
      <c r="J249" s="2" t="e">
        <f aca="false">IF(AND($D$4=TRUE(),G249="Sáb"),1,IF(AND($D$5=TRUE(),G249="Dom"),1,0))</f>
        <v>#N/A</v>
      </c>
      <c r="K249" s="2" t="e">
        <f aca="false">IF(L249="No",K248,K248+1)</f>
        <v>#N/A</v>
      </c>
      <c r="L249" s="152" t="e">
        <f aca="false">IF(AND(I249=0,J249=0),H249,"NO")</f>
        <v>#N/A</v>
      </c>
      <c r="N249" s="1" t="n">
        <f aca="false">N248+1</f>
        <v>246</v>
      </c>
      <c r="O249" s="150" t="str">
        <f aca="false">IFERROR(VLOOKUP(N249,$K$4:$L$509,2,0),"")</f>
        <v/>
      </c>
    </row>
    <row r="250" customFormat="false" ht="14.25" hidden="false" customHeight="false" outlineLevel="0" collapsed="false">
      <c r="F250" s="1" t="e">
        <f aca="false">IF(OR(I250=1,J250=1),1,0)</f>
        <v>#N/A</v>
      </c>
      <c r="G250" s="1" t="e">
        <f aca="false">TEXT(H250,"DDD")</f>
        <v>#N/A</v>
      </c>
      <c r="H250" s="150" t="e">
        <f aca="false">IF(H249&gt;='Tallerdata.com'!$X$4,NA(),H249+1)</f>
        <v>#N/A</v>
      </c>
      <c r="I250" s="2" t="n">
        <f aca="false">IFERROR(IF(VLOOKUP(H250,$A$4:$A$33,1,0),1,0),0)</f>
        <v>0</v>
      </c>
      <c r="J250" s="2" t="e">
        <f aca="false">IF(AND($D$4=TRUE(),G250="Sáb"),1,IF(AND($D$5=TRUE(),G250="Dom"),1,0))</f>
        <v>#N/A</v>
      </c>
      <c r="K250" s="2" t="e">
        <f aca="false">IF(L250="No",K249,K249+1)</f>
        <v>#N/A</v>
      </c>
      <c r="L250" s="152" t="e">
        <f aca="false">IF(AND(I250=0,J250=0),H250,"NO")</f>
        <v>#N/A</v>
      </c>
      <c r="N250" s="1" t="n">
        <f aca="false">N249+1</f>
        <v>247</v>
      </c>
      <c r="O250" s="150" t="str">
        <f aca="false">IFERROR(VLOOKUP(N250,$K$4:$L$509,2,0),"")</f>
        <v/>
      </c>
    </row>
    <row r="251" customFormat="false" ht="14.25" hidden="false" customHeight="false" outlineLevel="0" collapsed="false">
      <c r="F251" s="1" t="e">
        <f aca="false">IF(OR(I251=1,J251=1),1,0)</f>
        <v>#N/A</v>
      </c>
      <c r="G251" s="1" t="e">
        <f aca="false">TEXT(H251,"DDD")</f>
        <v>#N/A</v>
      </c>
      <c r="H251" s="150" t="e">
        <f aca="false">IF(H250&gt;='Tallerdata.com'!$X$4,NA(),H250+1)</f>
        <v>#N/A</v>
      </c>
      <c r="I251" s="2" t="n">
        <f aca="false">IFERROR(IF(VLOOKUP(H251,$A$4:$A$33,1,0),1,0),0)</f>
        <v>0</v>
      </c>
      <c r="J251" s="2" t="e">
        <f aca="false">IF(AND($D$4=TRUE(),G251="Sáb"),1,IF(AND($D$5=TRUE(),G251="Dom"),1,0))</f>
        <v>#N/A</v>
      </c>
      <c r="K251" s="2" t="e">
        <f aca="false">IF(L251="No",K250,K250+1)</f>
        <v>#N/A</v>
      </c>
      <c r="L251" s="152" t="e">
        <f aca="false">IF(AND(I251=0,J251=0),H251,"NO")</f>
        <v>#N/A</v>
      </c>
      <c r="N251" s="1" t="n">
        <f aca="false">N250+1</f>
        <v>248</v>
      </c>
      <c r="O251" s="150" t="str">
        <f aca="false">IFERROR(VLOOKUP(N251,$K$4:$L$509,2,0),"")</f>
        <v/>
      </c>
    </row>
    <row r="252" customFormat="false" ht="14.25" hidden="false" customHeight="false" outlineLevel="0" collapsed="false">
      <c r="F252" s="1" t="e">
        <f aca="false">IF(OR(I252=1,J252=1),1,0)</f>
        <v>#N/A</v>
      </c>
      <c r="G252" s="1" t="e">
        <f aca="false">TEXT(H252,"DDD")</f>
        <v>#N/A</v>
      </c>
      <c r="H252" s="150" t="e">
        <f aca="false">IF(H251&gt;='Tallerdata.com'!$X$4,NA(),H251+1)</f>
        <v>#N/A</v>
      </c>
      <c r="I252" s="2" t="n">
        <f aca="false">IFERROR(IF(VLOOKUP(H252,$A$4:$A$33,1,0),1,0),0)</f>
        <v>0</v>
      </c>
      <c r="J252" s="2" t="e">
        <f aca="false">IF(AND($D$4=TRUE(),G252="Sáb"),1,IF(AND($D$5=TRUE(),G252="Dom"),1,0))</f>
        <v>#N/A</v>
      </c>
      <c r="K252" s="2" t="e">
        <f aca="false">IF(L252="No",K251,K251+1)</f>
        <v>#N/A</v>
      </c>
      <c r="L252" s="152" t="e">
        <f aca="false">IF(AND(I252=0,J252=0),H252,"NO")</f>
        <v>#N/A</v>
      </c>
      <c r="N252" s="1" t="n">
        <f aca="false">N251+1</f>
        <v>249</v>
      </c>
      <c r="O252" s="150" t="str">
        <f aca="false">IFERROR(VLOOKUP(N252,$K$4:$L$509,2,0),"")</f>
        <v/>
      </c>
    </row>
    <row r="253" customFormat="false" ht="14.25" hidden="false" customHeight="false" outlineLevel="0" collapsed="false">
      <c r="F253" s="1" t="e">
        <f aca="false">IF(OR(I253=1,J253=1),1,0)</f>
        <v>#N/A</v>
      </c>
      <c r="G253" s="1" t="e">
        <f aca="false">TEXT(H253,"DDD")</f>
        <v>#N/A</v>
      </c>
      <c r="H253" s="150" t="e">
        <f aca="false">IF(H252&gt;='Tallerdata.com'!$X$4,NA(),H252+1)</f>
        <v>#N/A</v>
      </c>
      <c r="I253" s="2" t="n">
        <f aca="false">IFERROR(IF(VLOOKUP(H253,$A$4:$A$33,1,0),1,0),0)</f>
        <v>0</v>
      </c>
      <c r="J253" s="2" t="e">
        <f aca="false">IF(AND($D$4=TRUE(),G253="Sáb"),1,IF(AND($D$5=TRUE(),G253="Dom"),1,0))</f>
        <v>#N/A</v>
      </c>
      <c r="K253" s="2" t="e">
        <f aca="false">IF(L253="No",K252,K252+1)</f>
        <v>#N/A</v>
      </c>
      <c r="L253" s="152" t="e">
        <f aca="false">IF(AND(I253=0,J253=0),H253,"NO")</f>
        <v>#N/A</v>
      </c>
      <c r="N253" s="1" t="n">
        <f aca="false">N252+1</f>
        <v>250</v>
      </c>
      <c r="O253" s="150" t="str">
        <f aca="false">IFERROR(VLOOKUP(N253,$K$4:$L$509,2,0),"")</f>
        <v/>
      </c>
    </row>
    <row r="254" customFormat="false" ht="14.25" hidden="false" customHeight="false" outlineLevel="0" collapsed="false">
      <c r="F254" s="1" t="e">
        <f aca="false">IF(OR(I254=1,J254=1),1,0)</f>
        <v>#N/A</v>
      </c>
      <c r="G254" s="1" t="e">
        <f aca="false">TEXT(H254,"DDD")</f>
        <v>#N/A</v>
      </c>
      <c r="H254" s="150" t="e">
        <f aca="false">IF(H253&gt;='Tallerdata.com'!$X$4,NA(),H253+1)</f>
        <v>#N/A</v>
      </c>
      <c r="I254" s="2" t="n">
        <f aca="false">IFERROR(IF(VLOOKUP(H254,$A$4:$A$33,1,0),1,0),0)</f>
        <v>0</v>
      </c>
      <c r="J254" s="2" t="e">
        <f aca="false">IF(AND($D$4=TRUE(),G254="Sáb"),1,IF(AND($D$5=TRUE(),G254="Dom"),1,0))</f>
        <v>#N/A</v>
      </c>
      <c r="K254" s="2" t="e">
        <f aca="false">IF(L254="No",K253,K253+1)</f>
        <v>#N/A</v>
      </c>
      <c r="L254" s="152" t="e">
        <f aca="false">IF(AND(I254=0,J254=0),H254,"NO")</f>
        <v>#N/A</v>
      </c>
      <c r="N254" s="1" t="n">
        <f aca="false">N253+1</f>
        <v>251</v>
      </c>
      <c r="O254" s="150" t="str">
        <f aca="false">IFERROR(VLOOKUP(N254,$K$4:$L$509,2,0),"")</f>
        <v/>
      </c>
    </row>
    <row r="255" customFormat="false" ht="14.25" hidden="false" customHeight="false" outlineLevel="0" collapsed="false">
      <c r="F255" s="1" t="e">
        <f aca="false">IF(OR(I255=1,J255=1),1,0)</f>
        <v>#N/A</v>
      </c>
      <c r="G255" s="1" t="e">
        <f aca="false">TEXT(H255,"DDD")</f>
        <v>#N/A</v>
      </c>
      <c r="H255" s="150" t="e">
        <f aca="false">IF(H254&gt;='Tallerdata.com'!$X$4,NA(),H254+1)</f>
        <v>#N/A</v>
      </c>
      <c r="I255" s="2" t="n">
        <f aca="false">IFERROR(IF(VLOOKUP(H255,$A$4:$A$33,1,0),1,0),0)</f>
        <v>0</v>
      </c>
      <c r="J255" s="2" t="e">
        <f aca="false">IF(AND($D$4=TRUE(),G255="Sáb"),1,IF(AND($D$5=TRUE(),G255="Dom"),1,0))</f>
        <v>#N/A</v>
      </c>
      <c r="K255" s="2" t="e">
        <f aca="false">IF(L255="No",K254,K254+1)</f>
        <v>#N/A</v>
      </c>
      <c r="L255" s="152" t="e">
        <f aca="false">IF(AND(I255=0,J255=0),H255,"NO")</f>
        <v>#N/A</v>
      </c>
      <c r="N255" s="1" t="n">
        <f aca="false">N254+1</f>
        <v>252</v>
      </c>
      <c r="O255" s="150" t="str">
        <f aca="false">IFERROR(VLOOKUP(N255,$K$4:$L$509,2,0),"")</f>
        <v/>
      </c>
    </row>
    <row r="256" customFormat="false" ht="14.25" hidden="false" customHeight="false" outlineLevel="0" collapsed="false">
      <c r="F256" s="1" t="e">
        <f aca="false">IF(OR(I256=1,J256=1),1,0)</f>
        <v>#N/A</v>
      </c>
      <c r="G256" s="1" t="e">
        <f aca="false">TEXT(H256,"DDD")</f>
        <v>#N/A</v>
      </c>
      <c r="H256" s="150" t="e">
        <f aca="false">IF(H255&gt;='Tallerdata.com'!$X$4,NA(),H255+1)</f>
        <v>#N/A</v>
      </c>
      <c r="I256" s="2" t="n">
        <f aca="false">IFERROR(IF(VLOOKUP(H256,$A$4:$A$33,1,0),1,0),0)</f>
        <v>0</v>
      </c>
      <c r="J256" s="2" t="e">
        <f aca="false">IF(AND($D$4=TRUE(),G256="Sáb"),1,IF(AND($D$5=TRUE(),G256="Dom"),1,0))</f>
        <v>#N/A</v>
      </c>
      <c r="K256" s="2" t="e">
        <f aca="false">IF(L256="No",K255,K255+1)</f>
        <v>#N/A</v>
      </c>
      <c r="L256" s="152" t="e">
        <f aca="false">IF(AND(I256=0,J256=0),H256,"NO")</f>
        <v>#N/A</v>
      </c>
      <c r="N256" s="1" t="n">
        <f aca="false">N255+1</f>
        <v>253</v>
      </c>
      <c r="O256" s="150" t="str">
        <f aca="false">IFERROR(VLOOKUP(N256,$K$4:$L$509,2,0),"")</f>
        <v/>
      </c>
    </row>
    <row r="257" customFormat="false" ht="14.25" hidden="false" customHeight="false" outlineLevel="0" collapsed="false">
      <c r="F257" s="1" t="e">
        <f aca="false">IF(OR(I257=1,J257=1),1,0)</f>
        <v>#N/A</v>
      </c>
      <c r="G257" s="1" t="e">
        <f aca="false">TEXT(H257,"DDD")</f>
        <v>#N/A</v>
      </c>
      <c r="H257" s="150" t="e">
        <f aca="false">IF(H256&gt;='Tallerdata.com'!$X$4,NA(),H256+1)</f>
        <v>#N/A</v>
      </c>
      <c r="I257" s="2" t="n">
        <f aca="false">IFERROR(IF(VLOOKUP(H257,$A$4:$A$33,1,0),1,0),0)</f>
        <v>0</v>
      </c>
      <c r="J257" s="2" t="e">
        <f aca="false">IF(AND($D$4=TRUE(),G257="Sáb"),1,IF(AND($D$5=TRUE(),G257="Dom"),1,0))</f>
        <v>#N/A</v>
      </c>
      <c r="K257" s="2" t="e">
        <f aca="false">IF(L257="No",K256,K256+1)</f>
        <v>#N/A</v>
      </c>
      <c r="L257" s="152" t="e">
        <f aca="false">IF(AND(I257=0,J257=0),H257,"NO")</f>
        <v>#N/A</v>
      </c>
      <c r="N257" s="1" t="n">
        <f aca="false">N256+1</f>
        <v>254</v>
      </c>
      <c r="O257" s="150" t="str">
        <f aca="false">IFERROR(VLOOKUP(N257,$K$4:$L$509,2,0),"")</f>
        <v/>
      </c>
    </row>
    <row r="258" customFormat="false" ht="14.25" hidden="false" customHeight="false" outlineLevel="0" collapsed="false">
      <c r="F258" s="1" t="e">
        <f aca="false">IF(OR(I258=1,J258=1),1,0)</f>
        <v>#N/A</v>
      </c>
      <c r="G258" s="1" t="e">
        <f aca="false">TEXT(H258,"DDD")</f>
        <v>#N/A</v>
      </c>
      <c r="H258" s="150" t="e">
        <f aca="false">IF(H257&gt;='Tallerdata.com'!$X$4,NA(),H257+1)</f>
        <v>#N/A</v>
      </c>
      <c r="I258" s="2" t="n">
        <f aca="false">IFERROR(IF(VLOOKUP(H258,$A$4:$A$33,1,0),1,0),0)</f>
        <v>0</v>
      </c>
      <c r="J258" s="2" t="e">
        <f aca="false">IF(AND($D$4=TRUE(),G258="Sáb"),1,IF(AND($D$5=TRUE(),G258="Dom"),1,0))</f>
        <v>#N/A</v>
      </c>
      <c r="K258" s="2" t="e">
        <f aca="false">IF(L258="No",K257,K257+1)</f>
        <v>#N/A</v>
      </c>
      <c r="L258" s="152" t="e">
        <f aca="false">IF(AND(I258=0,J258=0),H258,"NO")</f>
        <v>#N/A</v>
      </c>
      <c r="N258" s="1" t="n">
        <f aca="false">N257+1</f>
        <v>255</v>
      </c>
      <c r="O258" s="150" t="str">
        <f aca="false">IFERROR(VLOOKUP(N258,$K$4:$L$509,2,0),"")</f>
        <v/>
      </c>
    </row>
    <row r="259" customFormat="false" ht="14.25" hidden="false" customHeight="false" outlineLevel="0" collapsed="false">
      <c r="F259" s="1" t="e">
        <f aca="false">IF(OR(I259=1,J259=1),1,0)</f>
        <v>#N/A</v>
      </c>
      <c r="G259" s="1" t="e">
        <f aca="false">TEXT(H259,"DDD")</f>
        <v>#N/A</v>
      </c>
      <c r="H259" s="150" t="e">
        <f aca="false">IF(H258&gt;='Tallerdata.com'!$X$4,NA(),H258+1)</f>
        <v>#N/A</v>
      </c>
      <c r="I259" s="2" t="n">
        <f aca="false">IFERROR(IF(VLOOKUP(H259,$A$4:$A$33,1,0),1,0),0)</f>
        <v>0</v>
      </c>
      <c r="J259" s="2" t="e">
        <f aca="false">IF(AND($D$4=TRUE(),G259="Sáb"),1,IF(AND($D$5=TRUE(),G259="Dom"),1,0))</f>
        <v>#N/A</v>
      </c>
      <c r="K259" s="2" t="e">
        <f aca="false">IF(L259="No",K258,K258+1)</f>
        <v>#N/A</v>
      </c>
      <c r="L259" s="152" t="e">
        <f aca="false">IF(AND(I259=0,J259=0),H259,"NO")</f>
        <v>#N/A</v>
      </c>
      <c r="N259" s="1" t="n">
        <f aca="false">N258+1</f>
        <v>256</v>
      </c>
      <c r="O259" s="150" t="str">
        <f aca="false">IFERROR(VLOOKUP(N259,$K$4:$L$509,2,0),"")</f>
        <v/>
      </c>
    </row>
    <row r="260" customFormat="false" ht="14.25" hidden="false" customHeight="false" outlineLevel="0" collapsed="false">
      <c r="F260" s="1" t="e">
        <f aca="false">IF(OR(I260=1,J260=1),1,0)</f>
        <v>#N/A</v>
      </c>
      <c r="G260" s="1" t="e">
        <f aca="false">TEXT(H260,"DDD")</f>
        <v>#N/A</v>
      </c>
      <c r="H260" s="150" t="e">
        <f aca="false">IF(H259&gt;='Tallerdata.com'!$X$4,NA(),H259+1)</f>
        <v>#N/A</v>
      </c>
      <c r="I260" s="2" t="n">
        <f aca="false">IFERROR(IF(VLOOKUP(H260,$A$4:$A$33,1,0),1,0),0)</f>
        <v>0</v>
      </c>
      <c r="J260" s="2" t="e">
        <f aca="false">IF(AND($D$4=TRUE(),G260="Sáb"),1,IF(AND($D$5=TRUE(),G260="Dom"),1,0))</f>
        <v>#N/A</v>
      </c>
      <c r="K260" s="2" t="e">
        <f aca="false">IF(L260="No",K259,K259+1)</f>
        <v>#N/A</v>
      </c>
      <c r="L260" s="152" t="e">
        <f aca="false">IF(AND(I260=0,J260=0),H260,"NO")</f>
        <v>#N/A</v>
      </c>
      <c r="N260" s="1" t="n">
        <f aca="false">N259+1</f>
        <v>257</v>
      </c>
      <c r="O260" s="150" t="str">
        <f aca="false">IFERROR(VLOOKUP(N260,$K$4:$L$509,2,0),"")</f>
        <v/>
      </c>
    </row>
    <row r="261" customFormat="false" ht="14.25" hidden="false" customHeight="false" outlineLevel="0" collapsed="false">
      <c r="F261" s="1" t="e">
        <f aca="false">IF(OR(I261=1,J261=1),1,0)</f>
        <v>#N/A</v>
      </c>
      <c r="G261" s="1" t="e">
        <f aca="false">TEXT(H261,"DDD")</f>
        <v>#N/A</v>
      </c>
      <c r="H261" s="150" t="e">
        <f aca="false">IF(H260&gt;='Tallerdata.com'!$X$4,NA(),H260+1)</f>
        <v>#N/A</v>
      </c>
      <c r="I261" s="2" t="n">
        <f aca="false">IFERROR(IF(VLOOKUP(H261,$A$4:$A$33,1,0),1,0),0)</f>
        <v>0</v>
      </c>
      <c r="J261" s="2" t="e">
        <f aca="false">IF(AND($D$4=TRUE(),G261="Sáb"),1,IF(AND($D$5=TRUE(),G261="Dom"),1,0))</f>
        <v>#N/A</v>
      </c>
      <c r="K261" s="2" t="e">
        <f aca="false">IF(L261="No",K260,K260+1)</f>
        <v>#N/A</v>
      </c>
      <c r="L261" s="152" t="e">
        <f aca="false">IF(AND(I261=0,J261=0),H261,"NO")</f>
        <v>#N/A</v>
      </c>
      <c r="N261" s="1" t="n">
        <f aca="false">N260+1</f>
        <v>258</v>
      </c>
      <c r="O261" s="150" t="str">
        <f aca="false">IFERROR(VLOOKUP(N261,$K$4:$L$509,2,0),"")</f>
        <v/>
      </c>
    </row>
    <row r="262" customFormat="false" ht="14.25" hidden="false" customHeight="false" outlineLevel="0" collapsed="false">
      <c r="F262" s="1" t="e">
        <f aca="false">IF(OR(I262=1,J262=1),1,0)</f>
        <v>#N/A</v>
      </c>
      <c r="G262" s="1" t="e">
        <f aca="false">TEXT(H262,"DDD")</f>
        <v>#N/A</v>
      </c>
      <c r="H262" s="150" t="e">
        <f aca="false">IF(H261&gt;='Tallerdata.com'!$X$4,NA(),H261+1)</f>
        <v>#N/A</v>
      </c>
      <c r="I262" s="2" t="n">
        <f aca="false">IFERROR(IF(VLOOKUP(H262,$A$4:$A$33,1,0),1,0),0)</f>
        <v>0</v>
      </c>
      <c r="J262" s="2" t="e">
        <f aca="false">IF(AND($D$4=TRUE(),G262="Sáb"),1,IF(AND($D$5=TRUE(),G262="Dom"),1,0))</f>
        <v>#N/A</v>
      </c>
      <c r="K262" s="2" t="e">
        <f aca="false">IF(L262="No",K261,K261+1)</f>
        <v>#N/A</v>
      </c>
      <c r="L262" s="152" t="e">
        <f aca="false">IF(AND(I262=0,J262=0),H262,"NO")</f>
        <v>#N/A</v>
      </c>
      <c r="N262" s="1" t="n">
        <f aca="false">N261+1</f>
        <v>259</v>
      </c>
      <c r="O262" s="150" t="str">
        <f aca="false">IFERROR(VLOOKUP(N262,$K$4:$L$509,2,0),"")</f>
        <v/>
      </c>
    </row>
    <row r="263" customFormat="false" ht="14.25" hidden="false" customHeight="false" outlineLevel="0" collapsed="false">
      <c r="F263" s="1" t="e">
        <f aca="false">IF(OR(I263=1,J263=1),1,0)</f>
        <v>#N/A</v>
      </c>
      <c r="G263" s="1" t="e">
        <f aca="false">TEXT(H263,"DDD")</f>
        <v>#N/A</v>
      </c>
      <c r="H263" s="150" t="e">
        <f aca="false">IF(H262&gt;='Tallerdata.com'!$X$4,NA(),H262+1)</f>
        <v>#N/A</v>
      </c>
      <c r="I263" s="2" t="n">
        <f aca="false">IFERROR(IF(VLOOKUP(H263,$A$4:$A$33,1,0),1,0),0)</f>
        <v>0</v>
      </c>
      <c r="J263" s="2" t="e">
        <f aca="false">IF(AND($D$4=TRUE(),G263="Sáb"),1,IF(AND($D$5=TRUE(),G263="Dom"),1,0))</f>
        <v>#N/A</v>
      </c>
      <c r="K263" s="2" t="e">
        <f aca="false">IF(L263="No",K262,K262+1)</f>
        <v>#N/A</v>
      </c>
      <c r="L263" s="152" t="e">
        <f aca="false">IF(AND(I263=0,J263=0),H263,"NO")</f>
        <v>#N/A</v>
      </c>
      <c r="N263" s="1" t="n">
        <f aca="false">N262+1</f>
        <v>260</v>
      </c>
      <c r="O263" s="150" t="str">
        <f aca="false">IFERROR(VLOOKUP(N263,$K$4:$L$509,2,0),"")</f>
        <v/>
      </c>
    </row>
    <row r="264" customFormat="false" ht="14.25" hidden="false" customHeight="false" outlineLevel="0" collapsed="false">
      <c r="F264" s="1" t="e">
        <f aca="false">IF(OR(I264=1,J264=1),1,0)</f>
        <v>#N/A</v>
      </c>
      <c r="G264" s="1" t="e">
        <f aca="false">TEXT(H264,"DDD")</f>
        <v>#N/A</v>
      </c>
      <c r="H264" s="150" t="e">
        <f aca="false">IF(H263&gt;='Tallerdata.com'!$X$4,NA(),H263+1)</f>
        <v>#N/A</v>
      </c>
      <c r="I264" s="2" t="n">
        <f aca="false">IFERROR(IF(VLOOKUP(H264,$A$4:$A$33,1,0),1,0),0)</f>
        <v>0</v>
      </c>
      <c r="J264" s="2" t="e">
        <f aca="false">IF(AND($D$4=TRUE(),G264="Sáb"),1,IF(AND($D$5=TRUE(),G264="Dom"),1,0))</f>
        <v>#N/A</v>
      </c>
      <c r="K264" s="2" t="e">
        <f aca="false">IF(L264="No",K263,K263+1)</f>
        <v>#N/A</v>
      </c>
      <c r="L264" s="152" t="e">
        <f aca="false">IF(AND(I264=0,J264=0),H264,"NO")</f>
        <v>#N/A</v>
      </c>
      <c r="N264" s="1" t="n">
        <f aca="false">N263+1</f>
        <v>261</v>
      </c>
      <c r="O264" s="150" t="str">
        <f aca="false">IFERROR(VLOOKUP(N264,$K$4:$L$509,2,0),"")</f>
        <v/>
      </c>
    </row>
    <row r="265" customFormat="false" ht="14.25" hidden="false" customHeight="false" outlineLevel="0" collapsed="false">
      <c r="F265" s="1" t="e">
        <f aca="false">IF(OR(I265=1,J265=1),1,0)</f>
        <v>#N/A</v>
      </c>
      <c r="G265" s="1" t="e">
        <f aca="false">TEXT(H265,"DDD")</f>
        <v>#N/A</v>
      </c>
      <c r="H265" s="150" t="e">
        <f aca="false">IF(H264&gt;='Tallerdata.com'!$X$4,NA(),H264+1)</f>
        <v>#N/A</v>
      </c>
      <c r="I265" s="2" t="n">
        <f aca="false">IFERROR(IF(VLOOKUP(H265,$A$4:$A$33,1,0),1,0),0)</f>
        <v>0</v>
      </c>
      <c r="J265" s="2" t="e">
        <f aca="false">IF(AND($D$4=TRUE(),G265="Sáb"),1,IF(AND($D$5=TRUE(),G265="Dom"),1,0))</f>
        <v>#N/A</v>
      </c>
      <c r="K265" s="2" t="e">
        <f aca="false">IF(L265="No",K264,K264+1)</f>
        <v>#N/A</v>
      </c>
      <c r="L265" s="152" t="e">
        <f aca="false">IF(AND(I265=0,J265=0),H265,"NO")</f>
        <v>#N/A</v>
      </c>
      <c r="N265" s="1" t="n">
        <f aca="false">N264+1</f>
        <v>262</v>
      </c>
      <c r="O265" s="150" t="str">
        <f aca="false">IFERROR(VLOOKUP(N265,$K$4:$L$509,2,0),"")</f>
        <v/>
      </c>
    </row>
    <row r="266" customFormat="false" ht="14.25" hidden="false" customHeight="false" outlineLevel="0" collapsed="false">
      <c r="F266" s="1" t="e">
        <f aca="false">IF(OR(I266=1,J266=1),1,0)</f>
        <v>#N/A</v>
      </c>
      <c r="G266" s="1" t="e">
        <f aca="false">TEXT(H266,"DDD")</f>
        <v>#N/A</v>
      </c>
      <c r="H266" s="150" t="e">
        <f aca="false">IF(H265&gt;='Tallerdata.com'!$X$4,NA(),H265+1)</f>
        <v>#N/A</v>
      </c>
      <c r="I266" s="2" t="n">
        <f aca="false">IFERROR(IF(VLOOKUP(H266,$A$4:$A$33,1,0),1,0),0)</f>
        <v>0</v>
      </c>
      <c r="J266" s="2" t="e">
        <f aca="false">IF(AND($D$4=TRUE(),G266="Sáb"),1,IF(AND($D$5=TRUE(),G266="Dom"),1,0))</f>
        <v>#N/A</v>
      </c>
      <c r="K266" s="2" t="e">
        <f aca="false">IF(L266="No",K265,K265+1)</f>
        <v>#N/A</v>
      </c>
      <c r="L266" s="152" t="e">
        <f aca="false">IF(AND(I266=0,J266=0),H266,"NO")</f>
        <v>#N/A</v>
      </c>
      <c r="N266" s="1" t="n">
        <f aca="false">N265+1</f>
        <v>263</v>
      </c>
      <c r="O266" s="150" t="str">
        <f aca="false">IFERROR(VLOOKUP(N266,$K$4:$L$509,2,0),"")</f>
        <v/>
      </c>
    </row>
    <row r="267" customFormat="false" ht="14.25" hidden="false" customHeight="false" outlineLevel="0" collapsed="false">
      <c r="F267" s="1" t="e">
        <f aca="false">IF(OR(I267=1,J267=1),1,0)</f>
        <v>#N/A</v>
      </c>
      <c r="G267" s="1" t="e">
        <f aca="false">TEXT(H267,"DDD")</f>
        <v>#N/A</v>
      </c>
      <c r="H267" s="150" t="e">
        <f aca="false">IF(H266&gt;='Tallerdata.com'!$X$4,NA(),H266+1)</f>
        <v>#N/A</v>
      </c>
      <c r="I267" s="2" t="n">
        <f aca="false">IFERROR(IF(VLOOKUP(H267,$A$4:$A$33,1,0),1,0),0)</f>
        <v>0</v>
      </c>
      <c r="J267" s="2" t="e">
        <f aca="false">IF(AND($D$4=TRUE(),G267="Sáb"),1,IF(AND($D$5=TRUE(),G267="Dom"),1,0))</f>
        <v>#N/A</v>
      </c>
      <c r="K267" s="2" t="e">
        <f aca="false">IF(L267="No",K266,K266+1)</f>
        <v>#N/A</v>
      </c>
      <c r="L267" s="152" t="e">
        <f aca="false">IF(AND(I267=0,J267=0),H267,"NO")</f>
        <v>#N/A</v>
      </c>
      <c r="N267" s="1" t="n">
        <f aca="false">N266+1</f>
        <v>264</v>
      </c>
      <c r="O267" s="150" t="str">
        <f aca="false">IFERROR(VLOOKUP(N267,$K$4:$L$509,2,0),"")</f>
        <v/>
      </c>
    </row>
    <row r="268" customFormat="false" ht="14.25" hidden="false" customHeight="false" outlineLevel="0" collapsed="false">
      <c r="F268" s="1" t="e">
        <f aca="false">IF(OR(I268=1,J268=1),1,0)</f>
        <v>#N/A</v>
      </c>
      <c r="G268" s="1" t="e">
        <f aca="false">TEXT(H268,"DDD")</f>
        <v>#N/A</v>
      </c>
      <c r="H268" s="150" t="e">
        <f aca="false">IF(H267&gt;='Tallerdata.com'!$X$4,NA(),H267+1)</f>
        <v>#N/A</v>
      </c>
      <c r="I268" s="2" t="n">
        <f aca="false">IFERROR(IF(VLOOKUP(H268,$A$4:$A$33,1,0),1,0),0)</f>
        <v>0</v>
      </c>
      <c r="J268" s="2" t="e">
        <f aca="false">IF(AND($D$4=TRUE(),G268="Sáb"),1,IF(AND($D$5=TRUE(),G268="Dom"),1,0))</f>
        <v>#N/A</v>
      </c>
      <c r="K268" s="2" t="e">
        <f aca="false">IF(L268="No",K267,K267+1)</f>
        <v>#N/A</v>
      </c>
      <c r="L268" s="152" t="e">
        <f aca="false">IF(AND(I268=0,J268=0),H268,"NO")</f>
        <v>#N/A</v>
      </c>
      <c r="N268" s="1" t="n">
        <f aca="false">N267+1</f>
        <v>265</v>
      </c>
      <c r="O268" s="150" t="str">
        <f aca="false">IFERROR(VLOOKUP(N268,$K$4:$L$509,2,0),"")</f>
        <v/>
      </c>
    </row>
    <row r="269" customFormat="false" ht="14.25" hidden="false" customHeight="false" outlineLevel="0" collapsed="false">
      <c r="F269" s="1" t="e">
        <f aca="false">IF(OR(I269=1,J269=1),1,0)</f>
        <v>#N/A</v>
      </c>
      <c r="G269" s="1" t="e">
        <f aca="false">TEXT(H269,"DDD")</f>
        <v>#N/A</v>
      </c>
      <c r="H269" s="150" t="e">
        <f aca="false">IF(H268&gt;='Tallerdata.com'!$X$4,NA(),H268+1)</f>
        <v>#N/A</v>
      </c>
      <c r="I269" s="2" t="n">
        <f aca="false">IFERROR(IF(VLOOKUP(H269,$A$4:$A$33,1,0),1,0),0)</f>
        <v>0</v>
      </c>
      <c r="J269" s="2" t="e">
        <f aca="false">IF(AND($D$4=TRUE(),G269="Sáb"),1,IF(AND($D$5=TRUE(),G269="Dom"),1,0))</f>
        <v>#N/A</v>
      </c>
      <c r="K269" s="2" t="e">
        <f aca="false">IF(L269="No",K268,K268+1)</f>
        <v>#N/A</v>
      </c>
      <c r="L269" s="152" t="e">
        <f aca="false">IF(AND(I269=0,J269=0),H269,"NO")</f>
        <v>#N/A</v>
      </c>
      <c r="N269" s="1" t="n">
        <f aca="false">N268+1</f>
        <v>266</v>
      </c>
      <c r="O269" s="150" t="str">
        <f aca="false">IFERROR(VLOOKUP(N269,$K$4:$L$509,2,0),"")</f>
        <v/>
      </c>
    </row>
    <row r="270" customFormat="false" ht="14.25" hidden="false" customHeight="false" outlineLevel="0" collapsed="false">
      <c r="F270" s="1" t="e">
        <f aca="false">IF(OR(I270=1,J270=1),1,0)</f>
        <v>#N/A</v>
      </c>
      <c r="G270" s="1" t="e">
        <f aca="false">TEXT(H270,"DDD")</f>
        <v>#N/A</v>
      </c>
      <c r="H270" s="150" t="e">
        <f aca="false">IF(H269&gt;='Tallerdata.com'!$X$4,NA(),H269+1)</f>
        <v>#N/A</v>
      </c>
      <c r="I270" s="2" t="n">
        <f aca="false">IFERROR(IF(VLOOKUP(H270,$A$4:$A$33,1,0),1,0),0)</f>
        <v>0</v>
      </c>
      <c r="J270" s="2" t="e">
        <f aca="false">IF(AND($D$4=TRUE(),G270="Sáb"),1,IF(AND($D$5=TRUE(),G270="Dom"),1,0))</f>
        <v>#N/A</v>
      </c>
      <c r="K270" s="2" t="e">
        <f aca="false">IF(L270="No",K269,K269+1)</f>
        <v>#N/A</v>
      </c>
      <c r="L270" s="152" t="e">
        <f aca="false">IF(AND(I270=0,J270=0),H270,"NO")</f>
        <v>#N/A</v>
      </c>
      <c r="N270" s="1" t="n">
        <f aca="false">N269+1</f>
        <v>267</v>
      </c>
      <c r="O270" s="150" t="str">
        <f aca="false">IFERROR(VLOOKUP(N270,$K$4:$L$509,2,0),"")</f>
        <v/>
      </c>
    </row>
    <row r="271" customFormat="false" ht="14.25" hidden="false" customHeight="false" outlineLevel="0" collapsed="false">
      <c r="F271" s="1" t="e">
        <f aca="false">IF(OR(I271=1,J271=1),1,0)</f>
        <v>#N/A</v>
      </c>
      <c r="G271" s="1" t="e">
        <f aca="false">TEXT(H271,"DDD")</f>
        <v>#N/A</v>
      </c>
      <c r="H271" s="150" t="e">
        <f aca="false">IF(H270&gt;='Tallerdata.com'!$X$4,NA(),H270+1)</f>
        <v>#N/A</v>
      </c>
      <c r="I271" s="2" t="n">
        <f aca="false">IFERROR(IF(VLOOKUP(H271,$A$4:$A$33,1,0),1,0),0)</f>
        <v>0</v>
      </c>
      <c r="J271" s="2" t="e">
        <f aca="false">IF(AND($D$4=TRUE(),G271="Sáb"),1,IF(AND($D$5=TRUE(),G271="Dom"),1,0))</f>
        <v>#N/A</v>
      </c>
      <c r="K271" s="2" t="e">
        <f aca="false">IF(L271="No",K270,K270+1)</f>
        <v>#N/A</v>
      </c>
      <c r="L271" s="152" t="e">
        <f aca="false">IF(AND(I271=0,J271=0),H271,"NO")</f>
        <v>#N/A</v>
      </c>
      <c r="N271" s="1" t="n">
        <f aca="false">N270+1</f>
        <v>268</v>
      </c>
      <c r="O271" s="150" t="str">
        <f aca="false">IFERROR(VLOOKUP(N271,$K$4:$L$509,2,0),"")</f>
        <v/>
      </c>
    </row>
    <row r="272" customFormat="false" ht="14.25" hidden="false" customHeight="false" outlineLevel="0" collapsed="false">
      <c r="F272" s="1" t="e">
        <f aca="false">IF(OR(I272=1,J272=1),1,0)</f>
        <v>#N/A</v>
      </c>
      <c r="G272" s="1" t="e">
        <f aca="false">TEXT(H272,"DDD")</f>
        <v>#N/A</v>
      </c>
      <c r="H272" s="150" t="e">
        <f aca="false">IF(H271&gt;='Tallerdata.com'!$X$4,NA(),H271+1)</f>
        <v>#N/A</v>
      </c>
      <c r="I272" s="2" t="n">
        <f aca="false">IFERROR(IF(VLOOKUP(H272,$A$4:$A$33,1,0),1,0),0)</f>
        <v>0</v>
      </c>
      <c r="J272" s="2" t="e">
        <f aca="false">IF(AND($D$4=TRUE(),G272="Sáb"),1,IF(AND($D$5=TRUE(),G272="Dom"),1,0))</f>
        <v>#N/A</v>
      </c>
      <c r="K272" s="2" t="e">
        <f aca="false">IF(L272="No",K271,K271+1)</f>
        <v>#N/A</v>
      </c>
      <c r="L272" s="152" t="e">
        <f aca="false">IF(AND(I272=0,J272=0),H272,"NO")</f>
        <v>#N/A</v>
      </c>
      <c r="N272" s="1" t="n">
        <f aca="false">N271+1</f>
        <v>269</v>
      </c>
      <c r="O272" s="150" t="str">
        <f aca="false">IFERROR(VLOOKUP(N272,$K$4:$L$509,2,0),"")</f>
        <v/>
      </c>
    </row>
    <row r="273" customFormat="false" ht="14.25" hidden="false" customHeight="false" outlineLevel="0" collapsed="false">
      <c r="F273" s="1" t="e">
        <f aca="false">IF(OR(I273=1,J273=1),1,0)</f>
        <v>#N/A</v>
      </c>
      <c r="G273" s="1" t="e">
        <f aca="false">TEXT(H273,"DDD")</f>
        <v>#N/A</v>
      </c>
      <c r="H273" s="150" t="e">
        <f aca="false">IF(H272&gt;='Tallerdata.com'!$X$4,NA(),H272+1)</f>
        <v>#N/A</v>
      </c>
      <c r="I273" s="2" t="n">
        <f aca="false">IFERROR(IF(VLOOKUP(H273,$A$4:$A$33,1,0),1,0),0)</f>
        <v>0</v>
      </c>
      <c r="J273" s="2" t="e">
        <f aca="false">IF(AND($D$4=TRUE(),G273="Sáb"),1,IF(AND($D$5=TRUE(),G273="Dom"),1,0))</f>
        <v>#N/A</v>
      </c>
      <c r="K273" s="2" t="e">
        <f aca="false">IF(L273="No",K272,K272+1)</f>
        <v>#N/A</v>
      </c>
      <c r="L273" s="152" t="e">
        <f aca="false">IF(AND(I273=0,J273=0),H273,"NO")</f>
        <v>#N/A</v>
      </c>
      <c r="N273" s="1" t="n">
        <f aca="false">N272+1</f>
        <v>270</v>
      </c>
      <c r="O273" s="150" t="str">
        <f aca="false">IFERROR(VLOOKUP(N273,$K$4:$L$509,2,0),"")</f>
        <v/>
      </c>
    </row>
    <row r="274" customFormat="false" ht="14.25" hidden="false" customHeight="false" outlineLevel="0" collapsed="false">
      <c r="F274" s="1" t="e">
        <f aca="false">IF(OR(I274=1,J274=1),1,0)</f>
        <v>#N/A</v>
      </c>
      <c r="G274" s="1" t="e">
        <f aca="false">TEXT(H274,"DDD")</f>
        <v>#N/A</v>
      </c>
      <c r="H274" s="150" t="e">
        <f aca="false">IF(H273&gt;='Tallerdata.com'!$X$4,NA(),H273+1)</f>
        <v>#N/A</v>
      </c>
      <c r="I274" s="2" t="n">
        <f aca="false">IFERROR(IF(VLOOKUP(H274,$A$4:$A$33,1,0),1,0),0)</f>
        <v>0</v>
      </c>
      <c r="J274" s="2" t="e">
        <f aca="false">IF(AND($D$4=TRUE(),G274="Sáb"),1,IF(AND($D$5=TRUE(),G274="Dom"),1,0))</f>
        <v>#N/A</v>
      </c>
      <c r="K274" s="2" t="e">
        <f aca="false">IF(L274="No",K273,K273+1)</f>
        <v>#N/A</v>
      </c>
      <c r="L274" s="152" t="e">
        <f aca="false">IF(AND(I274=0,J274=0),H274,"NO")</f>
        <v>#N/A</v>
      </c>
      <c r="N274" s="1" t="n">
        <f aca="false">N273+1</f>
        <v>271</v>
      </c>
      <c r="O274" s="150" t="str">
        <f aca="false">IFERROR(VLOOKUP(N274,$K$4:$L$509,2,0),"")</f>
        <v/>
      </c>
    </row>
    <row r="275" customFormat="false" ht="14.25" hidden="false" customHeight="false" outlineLevel="0" collapsed="false">
      <c r="F275" s="1" t="e">
        <f aca="false">IF(OR(I275=1,J275=1),1,0)</f>
        <v>#N/A</v>
      </c>
      <c r="G275" s="1" t="e">
        <f aca="false">TEXT(H275,"DDD")</f>
        <v>#N/A</v>
      </c>
      <c r="H275" s="150" t="e">
        <f aca="false">IF(H274&gt;='Tallerdata.com'!$X$4,NA(),H274+1)</f>
        <v>#N/A</v>
      </c>
      <c r="I275" s="2" t="n">
        <f aca="false">IFERROR(IF(VLOOKUP(H275,$A$4:$A$33,1,0),1,0),0)</f>
        <v>0</v>
      </c>
      <c r="J275" s="2" t="e">
        <f aca="false">IF(AND($D$4=TRUE(),G275="Sáb"),1,IF(AND($D$5=TRUE(),G275="Dom"),1,0))</f>
        <v>#N/A</v>
      </c>
      <c r="K275" s="2" t="e">
        <f aca="false">IF(L275="No",K274,K274+1)</f>
        <v>#N/A</v>
      </c>
      <c r="L275" s="152" t="e">
        <f aca="false">IF(AND(I275=0,J275=0),H275,"NO")</f>
        <v>#N/A</v>
      </c>
      <c r="N275" s="1" t="n">
        <f aca="false">N274+1</f>
        <v>272</v>
      </c>
      <c r="O275" s="150" t="str">
        <f aca="false">IFERROR(VLOOKUP(N275,$K$4:$L$509,2,0),"")</f>
        <v/>
      </c>
    </row>
    <row r="276" customFormat="false" ht="14.25" hidden="false" customHeight="false" outlineLevel="0" collapsed="false">
      <c r="F276" s="1" t="e">
        <f aca="false">IF(OR(I276=1,J276=1),1,0)</f>
        <v>#N/A</v>
      </c>
      <c r="G276" s="1" t="e">
        <f aca="false">TEXT(H276,"DDD")</f>
        <v>#N/A</v>
      </c>
      <c r="H276" s="150" t="e">
        <f aca="false">IF(H275&gt;='Tallerdata.com'!$X$4,NA(),H275+1)</f>
        <v>#N/A</v>
      </c>
      <c r="I276" s="2" t="n">
        <f aca="false">IFERROR(IF(VLOOKUP(H276,$A$4:$A$33,1,0),1,0),0)</f>
        <v>0</v>
      </c>
      <c r="J276" s="2" t="e">
        <f aca="false">IF(AND($D$4=TRUE(),G276="Sáb"),1,IF(AND($D$5=TRUE(),G276="Dom"),1,0))</f>
        <v>#N/A</v>
      </c>
      <c r="K276" s="2" t="e">
        <f aca="false">IF(L276="No",K275,K275+1)</f>
        <v>#N/A</v>
      </c>
      <c r="L276" s="152" t="e">
        <f aca="false">IF(AND(I276=0,J276=0),H276,"NO")</f>
        <v>#N/A</v>
      </c>
      <c r="N276" s="1" t="n">
        <f aca="false">N275+1</f>
        <v>273</v>
      </c>
      <c r="O276" s="150" t="str">
        <f aca="false">IFERROR(VLOOKUP(N276,$K$4:$L$509,2,0),"")</f>
        <v/>
      </c>
    </row>
    <row r="277" customFormat="false" ht="14.25" hidden="false" customHeight="false" outlineLevel="0" collapsed="false">
      <c r="F277" s="1" t="e">
        <f aca="false">IF(OR(I277=1,J277=1),1,0)</f>
        <v>#N/A</v>
      </c>
      <c r="G277" s="1" t="e">
        <f aca="false">TEXT(H277,"DDD")</f>
        <v>#N/A</v>
      </c>
      <c r="H277" s="150" t="e">
        <f aca="false">IF(H276&gt;='Tallerdata.com'!$X$4,NA(),H276+1)</f>
        <v>#N/A</v>
      </c>
      <c r="I277" s="2" t="n">
        <f aca="false">IFERROR(IF(VLOOKUP(H277,$A$4:$A$33,1,0),1,0),0)</f>
        <v>0</v>
      </c>
      <c r="J277" s="2" t="e">
        <f aca="false">IF(AND($D$4=TRUE(),G277="Sáb"),1,IF(AND($D$5=TRUE(),G277="Dom"),1,0))</f>
        <v>#N/A</v>
      </c>
      <c r="K277" s="2" t="e">
        <f aca="false">IF(L277="No",K276,K276+1)</f>
        <v>#N/A</v>
      </c>
      <c r="L277" s="152" t="e">
        <f aca="false">IF(AND(I277=0,J277=0),H277,"NO")</f>
        <v>#N/A</v>
      </c>
      <c r="N277" s="1" t="n">
        <f aca="false">N276+1</f>
        <v>274</v>
      </c>
      <c r="O277" s="150" t="str">
        <f aca="false">IFERROR(VLOOKUP(N277,$K$4:$L$509,2,0),"")</f>
        <v/>
      </c>
    </row>
    <row r="278" customFormat="false" ht="14.25" hidden="false" customHeight="false" outlineLevel="0" collapsed="false">
      <c r="F278" s="1" t="e">
        <f aca="false">IF(OR(I278=1,J278=1),1,0)</f>
        <v>#N/A</v>
      </c>
      <c r="G278" s="1" t="e">
        <f aca="false">TEXT(H278,"DDD")</f>
        <v>#N/A</v>
      </c>
      <c r="H278" s="150" t="e">
        <f aca="false">IF(H277&gt;='Tallerdata.com'!$X$4,NA(),H277+1)</f>
        <v>#N/A</v>
      </c>
      <c r="I278" s="2" t="n">
        <f aca="false">IFERROR(IF(VLOOKUP(H278,$A$4:$A$33,1,0),1,0),0)</f>
        <v>0</v>
      </c>
      <c r="J278" s="2" t="e">
        <f aca="false">IF(AND($D$4=TRUE(),G278="Sáb"),1,IF(AND($D$5=TRUE(),G278="Dom"),1,0))</f>
        <v>#N/A</v>
      </c>
      <c r="K278" s="2" t="e">
        <f aca="false">IF(L278="No",K277,K277+1)</f>
        <v>#N/A</v>
      </c>
      <c r="L278" s="152" t="e">
        <f aca="false">IF(AND(I278=0,J278=0),H278,"NO")</f>
        <v>#N/A</v>
      </c>
      <c r="N278" s="1" t="n">
        <f aca="false">N277+1</f>
        <v>275</v>
      </c>
      <c r="O278" s="150" t="str">
        <f aca="false">IFERROR(VLOOKUP(N278,$K$4:$L$509,2,0),"")</f>
        <v/>
      </c>
    </row>
    <row r="279" customFormat="false" ht="14.25" hidden="false" customHeight="false" outlineLevel="0" collapsed="false">
      <c r="F279" s="1" t="e">
        <f aca="false">IF(OR(I279=1,J279=1),1,0)</f>
        <v>#N/A</v>
      </c>
      <c r="G279" s="1" t="e">
        <f aca="false">TEXT(H279,"DDD")</f>
        <v>#N/A</v>
      </c>
      <c r="H279" s="150" t="e">
        <f aca="false">IF(H278&gt;='Tallerdata.com'!$X$4,NA(),H278+1)</f>
        <v>#N/A</v>
      </c>
      <c r="I279" s="2" t="n">
        <f aca="false">IFERROR(IF(VLOOKUP(H279,$A$4:$A$33,1,0),1,0),0)</f>
        <v>0</v>
      </c>
      <c r="J279" s="2" t="e">
        <f aca="false">IF(AND($D$4=TRUE(),G279="Sáb"),1,IF(AND($D$5=TRUE(),G279="Dom"),1,0))</f>
        <v>#N/A</v>
      </c>
      <c r="K279" s="2" t="e">
        <f aca="false">IF(L279="No",K278,K278+1)</f>
        <v>#N/A</v>
      </c>
      <c r="L279" s="152" t="e">
        <f aca="false">IF(AND(I279=0,J279=0),H279,"NO")</f>
        <v>#N/A</v>
      </c>
      <c r="N279" s="1" t="n">
        <f aca="false">N278+1</f>
        <v>276</v>
      </c>
      <c r="O279" s="150" t="str">
        <f aca="false">IFERROR(VLOOKUP(N279,$K$4:$L$509,2,0),"")</f>
        <v/>
      </c>
    </row>
    <row r="280" customFormat="false" ht="14.25" hidden="false" customHeight="false" outlineLevel="0" collapsed="false">
      <c r="F280" s="1" t="e">
        <f aca="false">IF(OR(I280=1,J280=1),1,0)</f>
        <v>#N/A</v>
      </c>
      <c r="G280" s="1" t="e">
        <f aca="false">TEXT(H280,"DDD")</f>
        <v>#N/A</v>
      </c>
      <c r="H280" s="150" t="e">
        <f aca="false">IF(H279&gt;='Tallerdata.com'!$X$4,NA(),H279+1)</f>
        <v>#N/A</v>
      </c>
      <c r="I280" s="2" t="n">
        <f aca="false">IFERROR(IF(VLOOKUP(H280,$A$4:$A$33,1,0),1,0),0)</f>
        <v>0</v>
      </c>
      <c r="J280" s="2" t="e">
        <f aca="false">IF(AND($D$4=TRUE(),G280="Sáb"),1,IF(AND($D$5=TRUE(),G280="Dom"),1,0))</f>
        <v>#N/A</v>
      </c>
      <c r="K280" s="2" t="e">
        <f aca="false">IF(L280="No",K279,K279+1)</f>
        <v>#N/A</v>
      </c>
      <c r="L280" s="152" t="e">
        <f aca="false">IF(AND(I280=0,J280=0),H280,"NO")</f>
        <v>#N/A</v>
      </c>
      <c r="N280" s="1" t="n">
        <f aca="false">N279+1</f>
        <v>277</v>
      </c>
      <c r="O280" s="150" t="str">
        <f aca="false">IFERROR(VLOOKUP(N280,$K$4:$L$509,2,0),"")</f>
        <v/>
      </c>
    </row>
    <row r="281" customFormat="false" ht="14.25" hidden="false" customHeight="false" outlineLevel="0" collapsed="false">
      <c r="F281" s="1" t="e">
        <f aca="false">IF(OR(I281=1,J281=1),1,0)</f>
        <v>#N/A</v>
      </c>
      <c r="G281" s="1" t="e">
        <f aca="false">TEXT(H281,"DDD")</f>
        <v>#N/A</v>
      </c>
      <c r="H281" s="150" t="e">
        <f aca="false">IF(H280&gt;='Tallerdata.com'!$X$4,NA(),H280+1)</f>
        <v>#N/A</v>
      </c>
      <c r="I281" s="2" t="n">
        <f aca="false">IFERROR(IF(VLOOKUP(H281,$A$4:$A$33,1,0),1,0),0)</f>
        <v>0</v>
      </c>
      <c r="J281" s="2" t="e">
        <f aca="false">IF(AND($D$4=TRUE(),G281="Sáb"),1,IF(AND($D$5=TRUE(),G281="Dom"),1,0))</f>
        <v>#N/A</v>
      </c>
      <c r="K281" s="2" t="e">
        <f aca="false">IF(L281="No",K280,K280+1)</f>
        <v>#N/A</v>
      </c>
      <c r="L281" s="152" t="e">
        <f aca="false">IF(AND(I281=0,J281=0),H281,"NO")</f>
        <v>#N/A</v>
      </c>
      <c r="N281" s="1" t="n">
        <f aca="false">N280+1</f>
        <v>278</v>
      </c>
      <c r="O281" s="150" t="str">
        <f aca="false">IFERROR(VLOOKUP(N281,$K$4:$L$509,2,0),"")</f>
        <v/>
      </c>
    </row>
    <row r="282" customFormat="false" ht="14.25" hidden="false" customHeight="false" outlineLevel="0" collapsed="false">
      <c r="F282" s="1" t="e">
        <f aca="false">IF(OR(I282=1,J282=1),1,0)</f>
        <v>#N/A</v>
      </c>
      <c r="G282" s="1" t="e">
        <f aca="false">TEXT(H282,"DDD")</f>
        <v>#N/A</v>
      </c>
      <c r="H282" s="150" t="e">
        <f aca="false">IF(H281&gt;='Tallerdata.com'!$X$4,NA(),H281+1)</f>
        <v>#N/A</v>
      </c>
      <c r="I282" s="2" t="n">
        <f aca="false">IFERROR(IF(VLOOKUP(H282,$A$4:$A$33,1,0),1,0),0)</f>
        <v>0</v>
      </c>
      <c r="J282" s="2" t="e">
        <f aca="false">IF(AND($D$4=TRUE(),G282="Sáb"),1,IF(AND($D$5=TRUE(),G282="Dom"),1,0))</f>
        <v>#N/A</v>
      </c>
      <c r="K282" s="2" t="e">
        <f aca="false">IF(L282="No",K281,K281+1)</f>
        <v>#N/A</v>
      </c>
      <c r="L282" s="152" t="e">
        <f aca="false">IF(AND(I282=0,J282=0),H282,"NO")</f>
        <v>#N/A</v>
      </c>
      <c r="N282" s="1" t="n">
        <f aca="false">N281+1</f>
        <v>279</v>
      </c>
      <c r="O282" s="150" t="str">
        <f aca="false">IFERROR(VLOOKUP(N282,$K$4:$L$509,2,0),"")</f>
        <v/>
      </c>
    </row>
    <row r="283" customFormat="false" ht="14.25" hidden="false" customHeight="false" outlineLevel="0" collapsed="false">
      <c r="F283" s="1" t="e">
        <f aca="false">IF(OR(I283=1,J283=1),1,0)</f>
        <v>#N/A</v>
      </c>
      <c r="G283" s="1" t="e">
        <f aca="false">TEXT(H283,"DDD")</f>
        <v>#N/A</v>
      </c>
      <c r="H283" s="150" t="e">
        <f aca="false">IF(H282&gt;='Tallerdata.com'!$X$4,NA(),H282+1)</f>
        <v>#N/A</v>
      </c>
      <c r="I283" s="2" t="n">
        <f aca="false">IFERROR(IF(VLOOKUP(H283,$A$4:$A$33,1,0),1,0),0)</f>
        <v>0</v>
      </c>
      <c r="J283" s="2" t="e">
        <f aca="false">IF(AND($D$4=TRUE(),G283="Sáb"),1,IF(AND($D$5=TRUE(),G283="Dom"),1,0))</f>
        <v>#N/A</v>
      </c>
      <c r="K283" s="2" t="e">
        <f aca="false">IF(L283="No",K282,K282+1)</f>
        <v>#N/A</v>
      </c>
      <c r="L283" s="152" t="e">
        <f aca="false">IF(AND(I283=0,J283=0),H283,"NO")</f>
        <v>#N/A</v>
      </c>
      <c r="N283" s="1" t="n">
        <f aca="false">N282+1</f>
        <v>280</v>
      </c>
      <c r="O283" s="150" t="str">
        <f aca="false">IFERROR(VLOOKUP(N283,$K$4:$L$509,2,0),"")</f>
        <v/>
      </c>
    </row>
    <row r="284" customFormat="false" ht="14.25" hidden="false" customHeight="false" outlineLevel="0" collapsed="false">
      <c r="F284" s="1" t="e">
        <f aca="false">IF(OR(I284=1,J284=1),1,0)</f>
        <v>#N/A</v>
      </c>
      <c r="G284" s="1" t="e">
        <f aca="false">TEXT(H284,"DDD")</f>
        <v>#N/A</v>
      </c>
      <c r="H284" s="150" t="e">
        <f aca="false">IF(H283&gt;='Tallerdata.com'!$X$4,NA(),H283+1)</f>
        <v>#N/A</v>
      </c>
      <c r="I284" s="2" t="n">
        <f aca="false">IFERROR(IF(VLOOKUP(H284,$A$4:$A$33,1,0),1,0),0)</f>
        <v>0</v>
      </c>
      <c r="J284" s="2" t="e">
        <f aca="false">IF(AND($D$4=TRUE(),G284="Sáb"),1,IF(AND($D$5=TRUE(),G284="Dom"),1,0))</f>
        <v>#N/A</v>
      </c>
      <c r="K284" s="2" t="e">
        <f aca="false">IF(L284="No",K283,K283+1)</f>
        <v>#N/A</v>
      </c>
      <c r="L284" s="152" t="e">
        <f aca="false">IF(AND(I284=0,J284=0),H284,"NO")</f>
        <v>#N/A</v>
      </c>
      <c r="N284" s="1" t="n">
        <f aca="false">N283+1</f>
        <v>281</v>
      </c>
      <c r="O284" s="150" t="str">
        <f aca="false">IFERROR(VLOOKUP(N284,$K$4:$L$509,2,0),"")</f>
        <v/>
      </c>
    </row>
    <row r="285" customFormat="false" ht="14.25" hidden="false" customHeight="false" outlineLevel="0" collapsed="false">
      <c r="F285" s="1" t="e">
        <f aca="false">IF(OR(I285=1,J285=1),1,0)</f>
        <v>#N/A</v>
      </c>
      <c r="G285" s="1" t="e">
        <f aca="false">TEXT(H285,"DDD")</f>
        <v>#N/A</v>
      </c>
      <c r="H285" s="150" t="e">
        <f aca="false">IF(H284&gt;='Tallerdata.com'!$X$4,NA(),H284+1)</f>
        <v>#N/A</v>
      </c>
      <c r="I285" s="2" t="n">
        <f aca="false">IFERROR(IF(VLOOKUP(H285,$A$4:$A$33,1,0),1,0),0)</f>
        <v>0</v>
      </c>
      <c r="J285" s="2" t="e">
        <f aca="false">IF(AND($D$4=TRUE(),G285="Sáb"),1,IF(AND($D$5=TRUE(),G285="Dom"),1,0))</f>
        <v>#N/A</v>
      </c>
      <c r="K285" s="2" t="e">
        <f aca="false">IF(L285="No",K284,K284+1)</f>
        <v>#N/A</v>
      </c>
      <c r="L285" s="152" t="e">
        <f aca="false">IF(AND(I285=0,J285=0),H285,"NO")</f>
        <v>#N/A</v>
      </c>
      <c r="N285" s="1" t="n">
        <f aca="false">N284+1</f>
        <v>282</v>
      </c>
      <c r="O285" s="150" t="str">
        <f aca="false">IFERROR(VLOOKUP(N285,$K$4:$L$509,2,0),"")</f>
        <v/>
      </c>
    </row>
    <row r="286" customFormat="false" ht="14.25" hidden="false" customHeight="false" outlineLevel="0" collapsed="false">
      <c r="F286" s="1" t="e">
        <f aca="false">IF(OR(I286=1,J286=1),1,0)</f>
        <v>#N/A</v>
      </c>
      <c r="G286" s="1" t="e">
        <f aca="false">TEXT(H286,"DDD")</f>
        <v>#N/A</v>
      </c>
      <c r="H286" s="150" t="e">
        <f aca="false">IF(H285&gt;='Tallerdata.com'!$X$4,NA(),H285+1)</f>
        <v>#N/A</v>
      </c>
      <c r="I286" s="2" t="n">
        <f aca="false">IFERROR(IF(VLOOKUP(H286,$A$4:$A$33,1,0),1,0),0)</f>
        <v>0</v>
      </c>
      <c r="J286" s="2" t="e">
        <f aca="false">IF(AND($D$4=TRUE(),G286="Sáb"),1,IF(AND($D$5=TRUE(),G286="Dom"),1,0))</f>
        <v>#N/A</v>
      </c>
      <c r="K286" s="2" t="e">
        <f aca="false">IF(L286="No",K285,K285+1)</f>
        <v>#N/A</v>
      </c>
      <c r="L286" s="152" t="e">
        <f aca="false">IF(AND(I286=0,J286=0),H286,"NO")</f>
        <v>#N/A</v>
      </c>
      <c r="N286" s="1" t="n">
        <f aca="false">N285+1</f>
        <v>283</v>
      </c>
      <c r="O286" s="150" t="str">
        <f aca="false">IFERROR(VLOOKUP(N286,$K$4:$L$509,2,0),"")</f>
        <v/>
      </c>
    </row>
    <row r="287" customFormat="false" ht="14.25" hidden="false" customHeight="false" outlineLevel="0" collapsed="false">
      <c r="F287" s="1" t="e">
        <f aca="false">IF(OR(I287=1,J287=1),1,0)</f>
        <v>#N/A</v>
      </c>
      <c r="G287" s="1" t="e">
        <f aca="false">TEXT(H287,"DDD")</f>
        <v>#N/A</v>
      </c>
      <c r="H287" s="150" t="e">
        <f aca="false">IF(H286&gt;='Tallerdata.com'!$X$4,NA(),H286+1)</f>
        <v>#N/A</v>
      </c>
      <c r="I287" s="2" t="n">
        <f aca="false">IFERROR(IF(VLOOKUP(H287,$A$4:$A$33,1,0),1,0),0)</f>
        <v>0</v>
      </c>
      <c r="J287" s="2" t="e">
        <f aca="false">IF(AND($D$4=TRUE(),G287="Sáb"),1,IF(AND($D$5=TRUE(),G287="Dom"),1,0))</f>
        <v>#N/A</v>
      </c>
      <c r="K287" s="2" t="e">
        <f aca="false">IF(L287="No",K286,K286+1)</f>
        <v>#N/A</v>
      </c>
      <c r="L287" s="152" t="e">
        <f aca="false">IF(AND(I287=0,J287=0),H287,"NO")</f>
        <v>#N/A</v>
      </c>
      <c r="N287" s="1" t="n">
        <f aca="false">N286+1</f>
        <v>284</v>
      </c>
      <c r="O287" s="150" t="str">
        <f aca="false">IFERROR(VLOOKUP(N287,$K$4:$L$509,2,0),"")</f>
        <v/>
      </c>
    </row>
    <row r="288" customFormat="false" ht="14.25" hidden="false" customHeight="false" outlineLevel="0" collapsed="false">
      <c r="F288" s="1" t="e">
        <f aca="false">IF(OR(I288=1,J288=1),1,0)</f>
        <v>#N/A</v>
      </c>
      <c r="G288" s="1" t="e">
        <f aca="false">TEXT(H288,"DDD")</f>
        <v>#N/A</v>
      </c>
      <c r="H288" s="150" t="e">
        <f aca="false">IF(H287&gt;='Tallerdata.com'!$X$4,NA(),H287+1)</f>
        <v>#N/A</v>
      </c>
      <c r="I288" s="2" t="n">
        <f aca="false">IFERROR(IF(VLOOKUP(H288,$A$4:$A$33,1,0),1,0),0)</f>
        <v>0</v>
      </c>
      <c r="J288" s="2" t="e">
        <f aca="false">IF(AND($D$4=TRUE(),G288="Sáb"),1,IF(AND($D$5=TRUE(),G288="Dom"),1,0))</f>
        <v>#N/A</v>
      </c>
      <c r="K288" s="2" t="e">
        <f aca="false">IF(L288="No",K287,K287+1)</f>
        <v>#N/A</v>
      </c>
      <c r="L288" s="152" t="e">
        <f aca="false">IF(AND(I288=0,J288=0),H288,"NO")</f>
        <v>#N/A</v>
      </c>
      <c r="N288" s="1" t="n">
        <f aca="false">N287+1</f>
        <v>285</v>
      </c>
      <c r="O288" s="150" t="str">
        <f aca="false">IFERROR(VLOOKUP(N288,$K$4:$L$509,2,0),"")</f>
        <v/>
      </c>
    </row>
    <row r="289" customFormat="false" ht="14.25" hidden="false" customHeight="false" outlineLevel="0" collapsed="false">
      <c r="F289" s="1" t="e">
        <f aca="false">IF(OR(I289=1,J289=1),1,0)</f>
        <v>#N/A</v>
      </c>
      <c r="G289" s="1" t="e">
        <f aca="false">TEXT(H289,"DDD")</f>
        <v>#N/A</v>
      </c>
      <c r="H289" s="150" t="e">
        <f aca="false">IF(H288&gt;='Tallerdata.com'!$X$4,NA(),H288+1)</f>
        <v>#N/A</v>
      </c>
      <c r="I289" s="2" t="n">
        <f aca="false">IFERROR(IF(VLOOKUP(H289,$A$4:$A$33,1,0),1,0),0)</f>
        <v>0</v>
      </c>
      <c r="J289" s="2" t="e">
        <f aca="false">IF(AND($D$4=TRUE(),G289="Sáb"),1,IF(AND($D$5=TRUE(),G289="Dom"),1,0))</f>
        <v>#N/A</v>
      </c>
      <c r="K289" s="2" t="e">
        <f aca="false">IF(L289="No",K288,K288+1)</f>
        <v>#N/A</v>
      </c>
      <c r="L289" s="152" t="e">
        <f aca="false">IF(AND(I289=0,J289=0),H289,"NO")</f>
        <v>#N/A</v>
      </c>
      <c r="N289" s="1" t="n">
        <f aca="false">N288+1</f>
        <v>286</v>
      </c>
      <c r="O289" s="150" t="str">
        <f aca="false">IFERROR(VLOOKUP(N289,$K$4:$L$509,2,0),"")</f>
        <v/>
      </c>
    </row>
    <row r="290" customFormat="false" ht="14.25" hidden="false" customHeight="false" outlineLevel="0" collapsed="false">
      <c r="F290" s="1" t="e">
        <f aca="false">IF(OR(I290=1,J290=1),1,0)</f>
        <v>#N/A</v>
      </c>
      <c r="G290" s="1" t="e">
        <f aca="false">TEXT(H290,"DDD")</f>
        <v>#N/A</v>
      </c>
      <c r="H290" s="150" t="e">
        <f aca="false">IF(H289&gt;='Tallerdata.com'!$X$4,NA(),H289+1)</f>
        <v>#N/A</v>
      </c>
      <c r="I290" s="2" t="n">
        <f aca="false">IFERROR(IF(VLOOKUP(H290,$A$4:$A$33,1,0),1,0),0)</f>
        <v>0</v>
      </c>
      <c r="J290" s="2" t="e">
        <f aca="false">IF(AND($D$4=TRUE(),G290="Sáb"),1,IF(AND($D$5=TRUE(),G290="Dom"),1,0))</f>
        <v>#N/A</v>
      </c>
      <c r="K290" s="2" t="e">
        <f aca="false">IF(L290="No",K289,K289+1)</f>
        <v>#N/A</v>
      </c>
      <c r="L290" s="152" t="e">
        <f aca="false">IF(AND(I290=0,J290=0),H290,"NO")</f>
        <v>#N/A</v>
      </c>
      <c r="N290" s="1" t="n">
        <f aca="false">N289+1</f>
        <v>287</v>
      </c>
      <c r="O290" s="150" t="str">
        <f aca="false">IFERROR(VLOOKUP(N290,$K$4:$L$509,2,0),"")</f>
        <v/>
      </c>
    </row>
    <row r="291" customFormat="false" ht="14.25" hidden="false" customHeight="false" outlineLevel="0" collapsed="false">
      <c r="F291" s="1" t="e">
        <f aca="false">IF(OR(I291=1,J291=1),1,0)</f>
        <v>#N/A</v>
      </c>
      <c r="G291" s="1" t="e">
        <f aca="false">TEXT(H291,"DDD")</f>
        <v>#N/A</v>
      </c>
      <c r="H291" s="150" t="e">
        <f aca="false">IF(H290&gt;='Tallerdata.com'!$X$4,NA(),H290+1)</f>
        <v>#N/A</v>
      </c>
      <c r="I291" s="2" t="n">
        <f aca="false">IFERROR(IF(VLOOKUP(H291,$A$4:$A$33,1,0),1,0),0)</f>
        <v>0</v>
      </c>
      <c r="J291" s="2" t="e">
        <f aca="false">IF(AND($D$4=TRUE(),G291="Sáb"),1,IF(AND($D$5=TRUE(),G291="Dom"),1,0))</f>
        <v>#N/A</v>
      </c>
      <c r="K291" s="2" t="e">
        <f aca="false">IF(L291="No",K290,K290+1)</f>
        <v>#N/A</v>
      </c>
      <c r="L291" s="152" t="e">
        <f aca="false">IF(AND(I291=0,J291=0),H291,"NO")</f>
        <v>#N/A</v>
      </c>
      <c r="N291" s="1" t="n">
        <f aca="false">N290+1</f>
        <v>288</v>
      </c>
      <c r="O291" s="150" t="str">
        <f aca="false">IFERROR(VLOOKUP(N291,$K$4:$L$509,2,0),"")</f>
        <v/>
      </c>
    </row>
    <row r="292" customFormat="false" ht="14.25" hidden="false" customHeight="false" outlineLevel="0" collapsed="false">
      <c r="F292" s="1" t="e">
        <f aca="false">IF(OR(I292=1,J292=1),1,0)</f>
        <v>#N/A</v>
      </c>
      <c r="G292" s="1" t="e">
        <f aca="false">TEXT(H292,"DDD")</f>
        <v>#N/A</v>
      </c>
      <c r="H292" s="150" t="e">
        <f aca="false">IF(H291&gt;='Tallerdata.com'!$X$4,NA(),H291+1)</f>
        <v>#N/A</v>
      </c>
      <c r="I292" s="2" t="n">
        <f aca="false">IFERROR(IF(VLOOKUP(H292,$A$4:$A$33,1,0),1,0),0)</f>
        <v>0</v>
      </c>
      <c r="J292" s="2" t="e">
        <f aca="false">IF(AND($D$4=TRUE(),G292="Sáb"),1,IF(AND($D$5=TRUE(),G292="Dom"),1,0))</f>
        <v>#N/A</v>
      </c>
      <c r="K292" s="2" t="e">
        <f aca="false">IF(L292="No",K291,K291+1)</f>
        <v>#N/A</v>
      </c>
      <c r="L292" s="152" t="e">
        <f aca="false">IF(AND(I292=0,J292=0),H292,"NO")</f>
        <v>#N/A</v>
      </c>
      <c r="N292" s="1" t="n">
        <f aca="false">N291+1</f>
        <v>289</v>
      </c>
      <c r="O292" s="150" t="str">
        <f aca="false">IFERROR(VLOOKUP(N292,$K$4:$L$509,2,0),"")</f>
        <v/>
      </c>
    </row>
    <row r="293" customFormat="false" ht="14.25" hidden="false" customHeight="false" outlineLevel="0" collapsed="false">
      <c r="F293" s="1" t="e">
        <f aca="false">IF(OR(I293=1,J293=1),1,0)</f>
        <v>#N/A</v>
      </c>
      <c r="G293" s="1" t="e">
        <f aca="false">TEXT(H293,"DDD")</f>
        <v>#N/A</v>
      </c>
      <c r="H293" s="150" t="e">
        <f aca="false">IF(H292&gt;='Tallerdata.com'!$X$4,NA(),H292+1)</f>
        <v>#N/A</v>
      </c>
      <c r="I293" s="2" t="n">
        <f aca="false">IFERROR(IF(VLOOKUP(H293,$A$4:$A$33,1,0),1,0),0)</f>
        <v>0</v>
      </c>
      <c r="J293" s="2" t="e">
        <f aca="false">IF(AND($D$4=TRUE(),G293="Sáb"),1,IF(AND($D$5=TRUE(),G293="Dom"),1,0))</f>
        <v>#N/A</v>
      </c>
      <c r="K293" s="2" t="e">
        <f aca="false">IF(L293="No",K292,K292+1)</f>
        <v>#N/A</v>
      </c>
      <c r="L293" s="152" t="e">
        <f aca="false">IF(AND(I293=0,J293=0),H293,"NO")</f>
        <v>#N/A</v>
      </c>
      <c r="N293" s="1" t="n">
        <f aca="false">N292+1</f>
        <v>290</v>
      </c>
      <c r="O293" s="150" t="str">
        <f aca="false">IFERROR(VLOOKUP(N293,$K$4:$L$509,2,0),"")</f>
        <v/>
      </c>
    </row>
    <row r="294" customFormat="false" ht="14.25" hidden="false" customHeight="false" outlineLevel="0" collapsed="false">
      <c r="F294" s="1" t="e">
        <f aca="false">IF(OR(I294=1,J294=1),1,0)</f>
        <v>#N/A</v>
      </c>
      <c r="G294" s="1" t="e">
        <f aca="false">TEXT(H294,"DDD")</f>
        <v>#N/A</v>
      </c>
      <c r="H294" s="150" t="e">
        <f aca="false">IF(H293&gt;='Tallerdata.com'!$X$4,NA(),H293+1)</f>
        <v>#N/A</v>
      </c>
      <c r="I294" s="2" t="n">
        <f aca="false">IFERROR(IF(VLOOKUP(H294,$A$4:$A$33,1,0),1,0),0)</f>
        <v>0</v>
      </c>
      <c r="J294" s="2" t="e">
        <f aca="false">IF(AND($D$4=TRUE(),G294="Sáb"),1,IF(AND($D$5=TRUE(),G294="Dom"),1,0))</f>
        <v>#N/A</v>
      </c>
      <c r="K294" s="2" t="e">
        <f aca="false">IF(L294="No",K293,K293+1)</f>
        <v>#N/A</v>
      </c>
      <c r="L294" s="152" t="e">
        <f aca="false">IF(AND(I294=0,J294=0),H294,"NO")</f>
        <v>#N/A</v>
      </c>
      <c r="N294" s="1" t="n">
        <f aca="false">N293+1</f>
        <v>291</v>
      </c>
      <c r="O294" s="150" t="str">
        <f aca="false">IFERROR(VLOOKUP(N294,$K$4:$L$509,2,0),"")</f>
        <v/>
      </c>
    </row>
    <row r="295" customFormat="false" ht="14.25" hidden="false" customHeight="false" outlineLevel="0" collapsed="false">
      <c r="F295" s="1" t="e">
        <f aca="false">IF(OR(I295=1,J295=1),1,0)</f>
        <v>#N/A</v>
      </c>
      <c r="G295" s="1" t="e">
        <f aca="false">TEXT(H295,"DDD")</f>
        <v>#N/A</v>
      </c>
      <c r="H295" s="150" t="e">
        <f aca="false">IF(H294&gt;='Tallerdata.com'!$X$4,NA(),H294+1)</f>
        <v>#N/A</v>
      </c>
      <c r="I295" s="2" t="n">
        <f aca="false">IFERROR(IF(VLOOKUP(H295,$A$4:$A$33,1,0),1,0),0)</f>
        <v>0</v>
      </c>
      <c r="J295" s="2" t="e">
        <f aca="false">IF(AND($D$4=TRUE(),G295="Sáb"),1,IF(AND($D$5=TRUE(),G295="Dom"),1,0))</f>
        <v>#N/A</v>
      </c>
      <c r="K295" s="2" t="e">
        <f aca="false">IF(L295="No",K294,K294+1)</f>
        <v>#N/A</v>
      </c>
      <c r="L295" s="152" t="e">
        <f aca="false">IF(AND(I295=0,J295=0),H295,"NO")</f>
        <v>#N/A</v>
      </c>
      <c r="N295" s="1" t="n">
        <f aca="false">N294+1</f>
        <v>292</v>
      </c>
      <c r="O295" s="150" t="str">
        <f aca="false">IFERROR(VLOOKUP(N295,$K$4:$L$509,2,0),"")</f>
        <v/>
      </c>
    </row>
    <row r="296" customFormat="false" ht="14.25" hidden="false" customHeight="false" outlineLevel="0" collapsed="false">
      <c r="F296" s="1" t="e">
        <f aca="false">IF(OR(I296=1,J296=1),1,0)</f>
        <v>#N/A</v>
      </c>
      <c r="G296" s="1" t="e">
        <f aca="false">TEXT(H296,"DDD")</f>
        <v>#N/A</v>
      </c>
      <c r="H296" s="150" t="e">
        <f aca="false">IF(H295&gt;='Tallerdata.com'!$X$4,NA(),H295+1)</f>
        <v>#N/A</v>
      </c>
      <c r="I296" s="2" t="n">
        <f aca="false">IFERROR(IF(VLOOKUP(H296,$A$4:$A$33,1,0),1,0),0)</f>
        <v>0</v>
      </c>
      <c r="J296" s="2" t="e">
        <f aca="false">IF(AND($D$4=TRUE(),G296="Sáb"),1,IF(AND($D$5=TRUE(),G296="Dom"),1,0))</f>
        <v>#N/A</v>
      </c>
      <c r="K296" s="2" t="e">
        <f aca="false">IF(L296="No",K295,K295+1)</f>
        <v>#N/A</v>
      </c>
      <c r="L296" s="152" t="e">
        <f aca="false">IF(AND(I296=0,J296=0),H296,"NO")</f>
        <v>#N/A</v>
      </c>
      <c r="N296" s="1" t="n">
        <f aca="false">N295+1</f>
        <v>293</v>
      </c>
      <c r="O296" s="150" t="str">
        <f aca="false">IFERROR(VLOOKUP(N296,$K$4:$L$509,2,0),"")</f>
        <v/>
      </c>
    </row>
    <row r="297" customFormat="false" ht="14.25" hidden="false" customHeight="false" outlineLevel="0" collapsed="false">
      <c r="F297" s="1" t="e">
        <f aca="false">IF(OR(I297=1,J297=1),1,0)</f>
        <v>#N/A</v>
      </c>
      <c r="G297" s="1" t="e">
        <f aca="false">TEXT(H297,"DDD")</f>
        <v>#N/A</v>
      </c>
      <c r="H297" s="150" t="e">
        <f aca="false">IF(H296&gt;='Tallerdata.com'!$X$4,NA(),H296+1)</f>
        <v>#N/A</v>
      </c>
      <c r="I297" s="2" t="n">
        <f aca="false">IFERROR(IF(VLOOKUP(H297,$A$4:$A$33,1,0),1,0),0)</f>
        <v>0</v>
      </c>
      <c r="J297" s="2" t="e">
        <f aca="false">IF(AND($D$4=TRUE(),G297="Sáb"),1,IF(AND($D$5=TRUE(),G297="Dom"),1,0))</f>
        <v>#N/A</v>
      </c>
      <c r="K297" s="2" t="e">
        <f aca="false">IF(L297="No",K296,K296+1)</f>
        <v>#N/A</v>
      </c>
      <c r="L297" s="152" t="e">
        <f aca="false">IF(AND(I297=0,J297=0),H297,"NO")</f>
        <v>#N/A</v>
      </c>
      <c r="N297" s="1" t="n">
        <f aca="false">N296+1</f>
        <v>294</v>
      </c>
      <c r="O297" s="150" t="str">
        <f aca="false">IFERROR(VLOOKUP(N297,$K$4:$L$509,2,0),"")</f>
        <v/>
      </c>
    </row>
    <row r="298" customFormat="false" ht="14.25" hidden="false" customHeight="false" outlineLevel="0" collapsed="false">
      <c r="F298" s="1" t="e">
        <f aca="false">IF(OR(I298=1,J298=1),1,0)</f>
        <v>#N/A</v>
      </c>
      <c r="G298" s="1" t="e">
        <f aca="false">TEXT(H298,"DDD")</f>
        <v>#N/A</v>
      </c>
      <c r="H298" s="150" t="e">
        <f aca="false">IF(H297&gt;='Tallerdata.com'!$X$4,NA(),H297+1)</f>
        <v>#N/A</v>
      </c>
      <c r="I298" s="2" t="n">
        <f aca="false">IFERROR(IF(VLOOKUP(H298,$A$4:$A$33,1,0),1,0),0)</f>
        <v>0</v>
      </c>
      <c r="J298" s="2" t="e">
        <f aca="false">IF(AND($D$4=TRUE(),G298="Sáb"),1,IF(AND($D$5=TRUE(),G298="Dom"),1,0))</f>
        <v>#N/A</v>
      </c>
      <c r="K298" s="2" t="e">
        <f aca="false">IF(L298="No",K297,K297+1)</f>
        <v>#N/A</v>
      </c>
      <c r="L298" s="152" t="e">
        <f aca="false">IF(AND(I298=0,J298=0),H298,"NO")</f>
        <v>#N/A</v>
      </c>
      <c r="N298" s="1" t="n">
        <f aca="false">N297+1</f>
        <v>295</v>
      </c>
      <c r="O298" s="150" t="str">
        <f aca="false">IFERROR(VLOOKUP(N298,$K$4:$L$509,2,0),"")</f>
        <v/>
      </c>
    </row>
    <row r="299" customFormat="false" ht="14.25" hidden="false" customHeight="false" outlineLevel="0" collapsed="false">
      <c r="F299" s="1" t="e">
        <f aca="false">IF(OR(I299=1,J299=1),1,0)</f>
        <v>#N/A</v>
      </c>
      <c r="G299" s="1" t="e">
        <f aca="false">TEXT(H299,"DDD")</f>
        <v>#N/A</v>
      </c>
      <c r="H299" s="150" t="e">
        <f aca="false">IF(H298&gt;='Tallerdata.com'!$X$4,NA(),H298+1)</f>
        <v>#N/A</v>
      </c>
      <c r="I299" s="2" t="n">
        <f aca="false">IFERROR(IF(VLOOKUP(H299,$A$4:$A$33,1,0),1,0),0)</f>
        <v>0</v>
      </c>
      <c r="J299" s="2" t="e">
        <f aca="false">IF(AND($D$4=TRUE(),G299="Sáb"),1,IF(AND($D$5=TRUE(),G299="Dom"),1,0))</f>
        <v>#N/A</v>
      </c>
      <c r="K299" s="2" t="e">
        <f aca="false">IF(L299="No",K298,K298+1)</f>
        <v>#N/A</v>
      </c>
      <c r="L299" s="152" t="e">
        <f aca="false">IF(AND(I299=0,J299=0),H299,"NO")</f>
        <v>#N/A</v>
      </c>
      <c r="N299" s="1" t="n">
        <f aca="false">N298+1</f>
        <v>296</v>
      </c>
      <c r="O299" s="150" t="str">
        <f aca="false">IFERROR(VLOOKUP(N299,$K$4:$L$509,2,0),"")</f>
        <v/>
      </c>
    </row>
    <row r="300" customFormat="false" ht="14.25" hidden="false" customHeight="false" outlineLevel="0" collapsed="false">
      <c r="F300" s="1" t="e">
        <f aca="false">IF(OR(I300=1,J300=1),1,0)</f>
        <v>#N/A</v>
      </c>
      <c r="G300" s="1" t="e">
        <f aca="false">TEXT(H300,"DDD")</f>
        <v>#N/A</v>
      </c>
      <c r="H300" s="150" t="e">
        <f aca="false">IF(H299&gt;='Tallerdata.com'!$X$4,NA(),H299+1)</f>
        <v>#N/A</v>
      </c>
      <c r="I300" s="2" t="n">
        <f aca="false">IFERROR(IF(VLOOKUP(H300,$A$4:$A$33,1,0),1,0),0)</f>
        <v>0</v>
      </c>
      <c r="J300" s="2" t="e">
        <f aca="false">IF(AND($D$4=TRUE(),G300="Sáb"),1,IF(AND($D$5=TRUE(),G300="Dom"),1,0))</f>
        <v>#N/A</v>
      </c>
      <c r="K300" s="2" t="e">
        <f aca="false">IF(L300="No",K299,K299+1)</f>
        <v>#N/A</v>
      </c>
      <c r="L300" s="152" t="e">
        <f aca="false">IF(AND(I300=0,J300=0),H300,"NO")</f>
        <v>#N/A</v>
      </c>
      <c r="N300" s="1" t="n">
        <f aca="false">N299+1</f>
        <v>297</v>
      </c>
      <c r="O300" s="150" t="str">
        <f aca="false">IFERROR(VLOOKUP(N300,$K$4:$L$509,2,0),"")</f>
        <v/>
      </c>
    </row>
    <row r="301" customFormat="false" ht="14.25" hidden="false" customHeight="false" outlineLevel="0" collapsed="false">
      <c r="F301" s="1" t="e">
        <f aca="false">IF(OR(I301=1,J301=1),1,0)</f>
        <v>#N/A</v>
      </c>
      <c r="G301" s="1" t="e">
        <f aca="false">TEXT(H301,"DDD")</f>
        <v>#N/A</v>
      </c>
      <c r="H301" s="150" t="e">
        <f aca="false">IF(H300&gt;='Tallerdata.com'!$X$4,NA(),H300+1)</f>
        <v>#N/A</v>
      </c>
      <c r="I301" s="2" t="n">
        <f aca="false">IFERROR(IF(VLOOKUP(H301,$A$4:$A$33,1,0),1,0),0)</f>
        <v>0</v>
      </c>
      <c r="J301" s="2" t="e">
        <f aca="false">IF(AND($D$4=TRUE(),G301="Sáb"),1,IF(AND($D$5=TRUE(),G301="Dom"),1,0))</f>
        <v>#N/A</v>
      </c>
      <c r="K301" s="2" t="e">
        <f aca="false">IF(L301="No",K300,K300+1)</f>
        <v>#N/A</v>
      </c>
      <c r="L301" s="152" t="e">
        <f aca="false">IF(AND(I301=0,J301=0),H301,"NO")</f>
        <v>#N/A</v>
      </c>
      <c r="N301" s="1" t="n">
        <f aca="false">N300+1</f>
        <v>298</v>
      </c>
      <c r="O301" s="150" t="str">
        <f aca="false">IFERROR(VLOOKUP(N301,$K$4:$L$509,2,0),"")</f>
        <v/>
      </c>
    </row>
    <row r="302" customFormat="false" ht="14.25" hidden="false" customHeight="false" outlineLevel="0" collapsed="false">
      <c r="F302" s="1" t="e">
        <f aca="false">IF(OR(I302=1,J302=1),1,0)</f>
        <v>#N/A</v>
      </c>
      <c r="G302" s="1" t="e">
        <f aca="false">TEXT(H302,"DDD")</f>
        <v>#N/A</v>
      </c>
      <c r="H302" s="150" t="e">
        <f aca="false">IF(H301&gt;='Tallerdata.com'!$X$4,NA(),H301+1)</f>
        <v>#N/A</v>
      </c>
      <c r="I302" s="2" t="n">
        <f aca="false">IFERROR(IF(VLOOKUP(H302,$A$4:$A$33,1,0),1,0),0)</f>
        <v>0</v>
      </c>
      <c r="J302" s="2" t="e">
        <f aca="false">IF(AND($D$4=TRUE(),G302="Sáb"),1,IF(AND($D$5=TRUE(),G302="Dom"),1,0))</f>
        <v>#N/A</v>
      </c>
      <c r="K302" s="2" t="e">
        <f aca="false">IF(L302="No",K301,K301+1)</f>
        <v>#N/A</v>
      </c>
      <c r="L302" s="152" t="e">
        <f aca="false">IF(AND(I302=0,J302=0),H302,"NO")</f>
        <v>#N/A</v>
      </c>
      <c r="N302" s="1" t="n">
        <f aca="false">N301+1</f>
        <v>299</v>
      </c>
      <c r="O302" s="150" t="str">
        <f aca="false">IFERROR(VLOOKUP(N302,$K$4:$L$509,2,0),"")</f>
        <v/>
      </c>
    </row>
    <row r="303" customFormat="false" ht="14.25" hidden="false" customHeight="false" outlineLevel="0" collapsed="false">
      <c r="F303" s="1" t="e">
        <f aca="false">IF(OR(I303=1,J303=1),1,0)</f>
        <v>#N/A</v>
      </c>
      <c r="G303" s="1" t="e">
        <f aca="false">TEXT(H303,"DDD")</f>
        <v>#N/A</v>
      </c>
      <c r="H303" s="150" t="e">
        <f aca="false">IF(H302&gt;='Tallerdata.com'!$X$4,NA(),H302+1)</f>
        <v>#N/A</v>
      </c>
      <c r="I303" s="2" t="n">
        <f aca="false">IFERROR(IF(VLOOKUP(H303,$A$4:$A$33,1,0),1,0),0)</f>
        <v>0</v>
      </c>
      <c r="J303" s="2" t="e">
        <f aca="false">IF(AND($D$4=TRUE(),G303="Sáb"),1,IF(AND($D$5=TRUE(),G303="Dom"),1,0))</f>
        <v>#N/A</v>
      </c>
      <c r="K303" s="2" t="e">
        <f aca="false">IF(L303="No",K302,K302+1)</f>
        <v>#N/A</v>
      </c>
      <c r="L303" s="152" t="e">
        <f aca="false">IF(AND(I303=0,J303=0),H303,"NO")</f>
        <v>#N/A</v>
      </c>
      <c r="N303" s="1" t="n">
        <f aca="false">N302+1</f>
        <v>300</v>
      </c>
      <c r="O303" s="150" t="str">
        <f aca="false">IFERROR(VLOOKUP(N303,$K$4:$L$509,2,0),"")</f>
        <v/>
      </c>
    </row>
    <row r="304" customFormat="false" ht="14.25" hidden="false" customHeight="false" outlineLevel="0" collapsed="false">
      <c r="F304" s="1" t="e">
        <f aca="false">IF(OR(I304=1,J304=1),1,0)</f>
        <v>#N/A</v>
      </c>
      <c r="G304" s="1" t="e">
        <f aca="false">TEXT(H304,"DDD")</f>
        <v>#N/A</v>
      </c>
      <c r="H304" s="150" t="e">
        <f aca="false">IF(H303&gt;='Tallerdata.com'!$X$4,NA(),H303+1)</f>
        <v>#N/A</v>
      </c>
      <c r="I304" s="2" t="n">
        <f aca="false">IFERROR(IF(VLOOKUP(H304,$A$4:$A$33,1,0),1,0),0)</f>
        <v>0</v>
      </c>
      <c r="J304" s="2" t="e">
        <f aca="false">IF(AND($D$4=TRUE(),G304="Sáb"),1,IF(AND($D$5=TRUE(),G304="Dom"),1,0))</f>
        <v>#N/A</v>
      </c>
      <c r="K304" s="2" t="e">
        <f aca="false">IF(L304="No",K303,K303+1)</f>
        <v>#N/A</v>
      </c>
      <c r="L304" s="152" t="e">
        <f aca="false">IF(AND(I304=0,J304=0),H304,"NO")</f>
        <v>#N/A</v>
      </c>
      <c r="N304" s="1" t="n">
        <f aca="false">N303+1</f>
        <v>301</v>
      </c>
      <c r="O304" s="150" t="str">
        <f aca="false">IFERROR(VLOOKUP(N304,$K$4:$L$509,2,0),"")</f>
        <v/>
      </c>
    </row>
    <row r="305" customFormat="false" ht="14.25" hidden="false" customHeight="false" outlineLevel="0" collapsed="false">
      <c r="F305" s="1" t="e">
        <f aca="false">IF(OR(I305=1,J305=1),1,0)</f>
        <v>#N/A</v>
      </c>
      <c r="G305" s="1" t="e">
        <f aca="false">TEXT(H305,"DDD")</f>
        <v>#N/A</v>
      </c>
      <c r="H305" s="150" t="e">
        <f aca="false">IF(H304&gt;='Tallerdata.com'!$X$4,NA(),H304+1)</f>
        <v>#N/A</v>
      </c>
      <c r="I305" s="2" t="n">
        <f aca="false">IFERROR(IF(VLOOKUP(H305,$A$4:$A$33,1,0),1,0),0)</f>
        <v>0</v>
      </c>
      <c r="J305" s="2" t="e">
        <f aca="false">IF(AND($D$4=TRUE(),G305="Sáb"),1,IF(AND($D$5=TRUE(),G305="Dom"),1,0))</f>
        <v>#N/A</v>
      </c>
      <c r="K305" s="2" t="e">
        <f aca="false">IF(L305="No",K304,K304+1)</f>
        <v>#N/A</v>
      </c>
      <c r="L305" s="152" t="e">
        <f aca="false">IF(AND(I305=0,J305=0),H305,"NO")</f>
        <v>#N/A</v>
      </c>
      <c r="N305" s="1" t="n">
        <f aca="false">N304+1</f>
        <v>302</v>
      </c>
      <c r="O305" s="150" t="str">
        <f aca="false">IFERROR(VLOOKUP(N305,$K$4:$L$509,2,0),"")</f>
        <v/>
      </c>
    </row>
    <row r="306" customFormat="false" ht="14.25" hidden="false" customHeight="false" outlineLevel="0" collapsed="false">
      <c r="F306" s="1" t="e">
        <f aca="false">IF(OR(I306=1,J306=1),1,0)</f>
        <v>#N/A</v>
      </c>
      <c r="G306" s="1" t="e">
        <f aca="false">TEXT(H306,"DDD")</f>
        <v>#N/A</v>
      </c>
      <c r="H306" s="150" t="e">
        <f aca="false">IF(H305&gt;='Tallerdata.com'!$X$4,NA(),H305+1)</f>
        <v>#N/A</v>
      </c>
      <c r="I306" s="2" t="n">
        <f aca="false">IFERROR(IF(VLOOKUP(H306,$A$4:$A$33,1,0),1,0),0)</f>
        <v>0</v>
      </c>
      <c r="J306" s="2" t="e">
        <f aca="false">IF(AND($D$4=TRUE(),G306="Sáb"),1,IF(AND($D$5=TRUE(),G306="Dom"),1,0))</f>
        <v>#N/A</v>
      </c>
      <c r="K306" s="2" t="e">
        <f aca="false">IF(L306="No",K305,K305+1)</f>
        <v>#N/A</v>
      </c>
      <c r="L306" s="152" t="e">
        <f aca="false">IF(AND(I306=0,J306=0),H306,"NO")</f>
        <v>#N/A</v>
      </c>
      <c r="N306" s="1" t="n">
        <f aca="false">N305+1</f>
        <v>303</v>
      </c>
      <c r="O306" s="150" t="str">
        <f aca="false">IFERROR(VLOOKUP(N306,$K$4:$L$509,2,0),"")</f>
        <v/>
      </c>
    </row>
    <row r="307" customFormat="false" ht="14.25" hidden="false" customHeight="false" outlineLevel="0" collapsed="false">
      <c r="F307" s="1" t="e">
        <f aca="false">IF(OR(I307=1,J307=1),1,0)</f>
        <v>#N/A</v>
      </c>
      <c r="G307" s="1" t="e">
        <f aca="false">TEXT(H307,"DDD")</f>
        <v>#N/A</v>
      </c>
      <c r="H307" s="150" t="e">
        <f aca="false">IF(H306&gt;='Tallerdata.com'!$X$4,NA(),H306+1)</f>
        <v>#N/A</v>
      </c>
      <c r="I307" s="2" t="n">
        <f aca="false">IFERROR(IF(VLOOKUP(H307,$A$4:$A$33,1,0),1,0),0)</f>
        <v>0</v>
      </c>
      <c r="J307" s="2" t="e">
        <f aca="false">IF(AND($D$4=TRUE(),G307="Sáb"),1,IF(AND($D$5=TRUE(),G307="Dom"),1,0))</f>
        <v>#N/A</v>
      </c>
      <c r="K307" s="2" t="e">
        <f aca="false">IF(L307="No",K306,K306+1)</f>
        <v>#N/A</v>
      </c>
      <c r="L307" s="152" t="e">
        <f aca="false">IF(AND(I307=0,J307=0),H307,"NO")</f>
        <v>#N/A</v>
      </c>
      <c r="N307" s="1" t="n">
        <f aca="false">N306+1</f>
        <v>304</v>
      </c>
      <c r="O307" s="150" t="str">
        <f aca="false">IFERROR(VLOOKUP(N307,$K$4:$L$509,2,0),"")</f>
        <v/>
      </c>
    </row>
    <row r="308" customFormat="false" ht="14.25" hidden="false" customHeight="false" outlineLevel="0" collapsed="false">
      <c r="F308" s="1" t="e">
        <f aca="false">IF(OR(I308=1,J308=1),1,0)</f>
        <v>#N/A</v>
      </c>
      <c r="G308" s="1" t="e">
        <f aca="false">TEXT(H308,"DDD")</f>
        <v>#N/A</v>
      </c>
      <c r="H308" s="150" t="e">
        <f aca="false">IF(H307&gt;='Tallerdata.com'!$X$4,NA(),H307+1)</f>
        <v>#N/A</v>
      </c>
      <c r="I308" s="2" t="n">
        <f aca="false">IFERROR(IF(VLOOKUP(H308,$A$4:$A$33,1,0),1,0),0)</f>
        <v>0</v>
      </c>
      <c r="J308" s="2" t="e">
        <f aca="false">IF(AND($D$4=TRUE(),G308="Sáb"),1,IF(AND($D$5=TRUE(),G308="Dom"),1,0))</f>
        <v>#N/A</v>
      </c>
      <c r="K308" s="2" t="e">
        <f aca="false">IF(L308="No",K307,K307+1)</f>
        <v>#N/A</v>
      </c>
      <c r="L308" s="152" t="e">
        <f aca="false">IF(AND(I308=0,J308=0),H308,"NO")</f>
        <v>#N/A</v>
      </c>
      <c r="N308" s="1" t="n">
        <f aca="false">N307+1</f>
        <v>305</v>
      </c>
      <c r="O308" s="150" t="str">
        <f aca="false">IFERROR(VLOOKUP(N308,$K$4:$L$509,2,0),"")</f>
        <v/>
      </c>
    </row>
    <row r="309" customFormat="false" ht="14.25" hidden="false" customHeight="false" outlineLevel="0" collapsed="false">
      <c r="F309" s="1" t="e">
        <f aca="false">IF(OR(I309=1,J309=1),1,0)</f>
        <v>#N/A</v>
      </c>
      <c r="G309" s="1" t="e">
        <f aca="false">TEXT(H309,"DDD")</f>
        <v>#N/A</v>
      </c>
      <c r="H309" s="150" t="e">
        <f aca="false">IF(H308&gt;='Tallerdata.com'!$X$4,NA(),H308+1)</f>
        <v>#N/A</v>
      </c>
      <c r="I309" s="2" t="n">
        <f aca="false">IFERROR(IF(VLOOKUP(H309,$A$4:$A$33,1,0),1,0),0)</f>
        <v>0</v>
      </c>
      <c r="J309" s="2" t="e">
        <f aca="false">IF(AND($D$4=TRUE(),G309="Sáb"),1,IF(AND($D$5=TRUE(),G309="Dom"),1,0))</f>
        <v>#N/A</v>
      </c>
      <c r="K309" s="2" t="e">
        <f aca="false">IF(L309="No",K308,K308+1)</f>
        <v>#N/A</v>
      </c>
      <c r="L309" s="152" t="e">
        <f aca="false">IF(AND(I309=0,J309=0),H309,"NO")</f>
        <v>#N/A</v>
      </c>
      <c r="N309" s="1" t="n">
        <f aca="false">N308+1</f>
        <v>306</v>
      </c>
      <c r="O309" s="150" t="str">
        <f aca="false">IFERROR(VLOOKUP(N309,$K$4:$L$509,2,0),"")</f>
        <v/>
      </c>
    </row>
    <row r="310" customFormat="false" ht="14.25" hidden="false" customHeight="false" outlineLevel="0" collapsed="false">
      <c r="F310" s="1" t="e">
        <f aca="false">IF(OR(I310=1,J310=1),1,0)</f>
        <v>#N/A</v>
      </c>
      <c r="G310" s="1" t="e">
        <f aca="false">TEXT(H310,"DDD")</f>
        <v>#N/A</v>
      </c>
      <c r="H310" s="150" t="e">
        <f aca="false">IF(H309&gt;='Tallerdata.com'!$X$4,NA(),H309+1)</f>
        <v>#N/A</v>
      </c>
      <c r="I310" s="2" t="n">
        <f aca="false">IFERROR(IF(VLOOKUP(H310,$A$4:$A$33,1,0),1,0),0)</f>
        <v>0</v>
      </c>
      <c r="J310" s="2" t="e">
        <f aca="false">IF(AND($D$4=TRUE(),G310="Sáb"),1,IF(AND($D$5=TRUE(),G310="Dom"),1,0))</f>
        <v>#N/A</v>
      </c>
      <c r="K310" s="2" t="e">
        <f aca="false">IF(L310="No",K309,K309+1)</f>
        <v>#N/A</v>
      </c>
      <c r="L310" s="152" t="e">
        <f aca="false">IF(AND(I310=0,J310=0),H310,"NO")</f>
        <v>#N/A</v>
      </c>
      <c r="N310" s="1" t="n">
        <f aca="false">N309+1</f>
        <v>307</v>
      </c>
      <c r="O310" s="150" t="str">
        <f aca="false">IFERROR(VLOOKUP(N310,$K$4:$L$509,2,0),"")</f>
        <v/>
      </c>
    </row>
    <row r="311" customFormat="false" ht="14.25" hidden="false" customHeight="false" outlineLevel="0" collapsed="false">
      <c r="F311" s="1" t="e">
        <f aca="false">IF(OR(I311=1,J311=1),1,0)</f>
        <v>#N/A</v>
      </c>
      <c r="G311" s="1" t="e">
        <f aca="false">TEXT(H311,"DDD")</f>
        <v>#N/A</v>
      </c>
      <c r="H311" s="150" t="e">
        <f aca="false">IF(H310&gt;='Tallerdata.com'!$X$4,NA(),H310+1)</f>
        <v>#N/A</v>
      </c>
      <c r="I311" s="2" t="n">
        <f aca="false">IFERROR(IF(VLOOKUP(H311,$A$4:$A$33,1,0),1,0),0)</f>
        <v>0</v>
      </c>
      <c r="J311" s="2" t="e">
        <f aca="false">IF(AND($D$4=TRUE(),G311="Sáb"),1,IF(AND($D$5=TRUE(),G311="Dom"),1,0))</f>
        <v>#N/A</v>
      </c>
      <c r="K311" s="2" t="e">
        <f aca="false">IF(L311="No",K310,K310+1)</f>
        <v>#N/A</v>
      </c>
      <c r="L311" s="152" t="e">
        <f aca="false">IF(AND(I311=0,J311=0),H311,"NO")</f>
        <v>#N/A</v>
      </c>
      <c r="N311" s="1" t="n">
        <f aca="false">N310+1</f>
        <v>308</v>
      </c>
      <c r="O311" s="150" t="str">
        <f aca="false">IFERROR(VLOOKUP(N311,$K$4:$L$509,2,0),"")</f>
        <v/>
      </c>
    </row>
    <row r="312" customFormat="false" ht="14.25" hidden="false" customHeight="false" outlineLevel="0" collapsed="false">
      <c r="F312" s="1" t="e">
        <f aca="false">IF(OR(I312=1,J312=1),1,0)</f>
        <v>#N/A</v>
      </c>
      <c r="G312" s="1" t="e">
        <f aca="false">TEXT(H312,"DDD")</f>
        <v>#N/A</v>
      </c>
      <c r="H312" s="150" t="e">
        <f aca="false">IF(H311&gt;='Tallerdata.com'!$X$4,NA(),H311+1)</f>
        <v>#N/A</v>
      </c>
      <c r="I312" s="2" t="n">
        <f aca="false">IFERROR(IF(VLOOKUP(H312,$A$4:$A$33,1,0),1,0),0)</f>
        <v>0</v>
      </c>
      <c r="J312" s="2" t="e">
        <f aca="false">IF(AND($D$4=TRUE(),G312="Sáb"),1,IF(AND($D$5=TRUE(),G312="Dom"),1,0))</f>
        <v>#N/A</v>
      </c>
      <c r="K312" s="2" t="e">
        <f aca="false">IF(L312="No",K311,K311+1)</f>
        <v>#N/A</v>
      </c>
      <c r="L312" s="152" t="e">
        <f aca="false">IF(AND(I312=0,J312=0),H312,"NO")</f>
        <v>#N/A</v>
      </c>
      <c r="N312" s="1" t="n">
        <f aca="false">N311+1</f>
        <v>309</v>
      </c>
      <c r="O312" s="150" t="str">
        <f aca="false">IFERROR(VLOOKUP(N312,$K$4:$L$509,2,0),"")</f>
        <v/>
      </c>
    </row>
    <row r="313" customFormat="false" ht="14.25" hidden="false" customHeight="false" outlineLevel="0" collapsed="false">
      <c r="F313" s="1" t="e">
        <f aca="false">IF(OR(I313=1,J313=1),1,0)</f>
        <v>#N/A</v>
      </c>
      <c r="G313" s="1" t="e">
        <f aca="false">TEXT(H313,"DDD")</f>
        <v>#N/A</v>
      </c>
      <c r="H313" s="150" t="e">
        <f aca="false">IF(H312&gt;='Tallerdata.com'!$X$4,NA(),H312+1)</f>
        <v>#N/A</v>
      </c>
      <c r="I313" s="2" t="n">
        <f aca="false">IFERROR(IF(VLOOKUP(H313,$A$4:$A$33,1,0),1,0),0)</f>
        <v>0</v>
      </c>
      <c r="J313" s="2" t="e">
        <f aca="false">IF(AND($D$4=TRUE(),G313="Sáb"),1,IF(AND($D$5=TRUE(),G313="Dom"),1,0))</f>
        <v>#N/A</v>
      </c>
      <c r="K313" s="2" t="e">
        <f aca="false">IF(L313="No",K312,K312+1)</f>
        <v>#N/A</v>
      </c>
      <c r="L313" s="152" t="e">
        <f aca="false">IF(AND(I313=0,J313=0),H313,"NO")</f>
        <v>#N/A</v>
      </c>
      <c r="N313" s="1" t="n">
        <f aca="false">N312+1</f>
        <v>310</v>
      </c>
      <c r="O313" s="150" t="str">
        <f aca="false">IFERROR(VLOOKUP(N313,$K$4:$L$509,2,0),"")</f>
        <v/>
      </c>
    </row>
    <row r="314" customFormat="false" ht="14.25" hidden="false" customHeight="false" outlineLevel="0" collapsed="false">
      <c r="F314" s="1" t="e">
        <f aca="false">IF(OR(I314=1,J314=1),1,0)</f>
        <v>#N/A</v>
      </c>
      <c r="G314" s="1" t="e">
        <f aca="false">TEXT(H314,"DDD")</f>
        <v>#N/A</v>
      </c>
      <c r="H314" s="150" t="e">
        <f aca="false">IF(H313&gt;='Tallerdata.com'!$X$4,NA(),H313+1)</f>
        <v>#N/A</v>
      </c>
      <c r="I314" s="2" t="n">
        <f aca="false">IFERROR(IF(VLOOKUP(H314,$A$4:$A$33,1,0),1,0),0)</f>
        <v>0</v>
      </c>
      <c r="J314" s="2" t="e">
        <f aca="false">IF(AND($D$4=TRUE(),G314="Sáb"),1,IF(AND($D$5=TRUE(),G314="Dom"),1,0))</f>
        <v>#N/A</v>
      </c>
      <c r="K314" s="2" t="e">
        <f aca="false">IF(L314="No",K313,K313+1)</f>
        <v>#N/A</v>
      </c>
      <c r="L314" s="152" t="e">
        <f aca="false">IF(AND(I314=0,J314=0),H314,"NO")</f>
        <v>#N/A</v>
      </c>
      <c r="N314" s="1" t="n">
        <f aca="false">N313+1</f>
        <v>311</v>
      </c>
      <c r="O314" s="150" t="str">
        <f aca="false">IFERROR(VLOOKUP(N314,$K$4:$L$509,2,0),"")</f>
        <v/>
      </c>
    </row>
    <row r="315" customFormat="false" ht="14.25" hidden="false" customHeight="false" outlineLevel="0" collapsed="false">
      <c r="F315" s="1" t="e">
        <f aca="false">IF(OR(I315=1,J315=1),1,0)</f>
        <v>#N/A</v>
      </c>
      <c r="G315" s="1" t="e">
        <f aca="false">TEXT(H315,"DDD")</f>
        <v>#N/A</v>
      </c>
      <c r="H315" s="150" t="e">
        <f aca="false">IF(H314&gt;='Tallerdata.com'!$X$4,NA(),H314+1)</f>
        <v>#N/A</v>
      </c>
      <c r="I315" s="2" t="n">
        <f aca="false">IFERROR(IF(VLOOKUP(H315,$A$4:$A$33,1,0),1,0),0)</f>
        <v>0</v>
      </c>
      <c r="J315" s="2" t="e">
        <f aca="false">IF(AND($D$4=TRUE(),G315="Sáb"),1,IF(AND($D$5=TRUE(),G315="Dom"),1,0))</f>
        <v>#N/A</v>
      </c>
      <c r="K315" s="2" t="e">
        <f aca="false">IF(L315="No",K314,K314+1)</f>
        <v>#N/A</v>
      </c>
      <c r="L315" s="152" t="e">
        <f aca="false">IF(AND(I315=0,J315=0),H315,"NO")</f>
        <v>#N/A</v>
      </c>
      <c r="N315" s="1" t="n">
        <f aca="false">N314+1</f>
        <v>312</v>
      </c>
      <c r="O315" s="150" t="str">
        <f aca="false">IFERROR(VLOOKUP(N315,$K$4:$L$509,2,0),"")</f>
        <v/>
      </c>
    </row>
    <row r="316" customFormat="false" ht="14.25" hidden="false" customHeight="false" outlineLevel="0" collapsed="false">
      <c r="F316" s="1" t="e">
        <f aca="false">IF(OR(I316=1,J316=1),1,0)</f>
        <v>#N/A</v>
      </c>
      <c r="G316" s="1" t="e">
        <f aca="false">TEXT(H316,"DDD")</f>
        <v>#N/A</v>
      </c>
      <c r="H316" s="150" t="e">
        <f aca="false">IF(H315&gt;='Tallerdata.com'!$X$4,NA(),H315+1)</f>
        <v>#N/A</v>
      </c>
      <c r="I316" s="2" t="n">
        <f aca="false">IFERROR(IF(VLOOKUP(H316,$A$4:$A$33,1,0),1,0),0)</f>
        <v>0</v>
      </c>
      <c r="J316" s="2" t="e">
        <f aca="false">IF(AND($D$4=TRUE(),G316="Sáb"),1,IF(AND($D$5=TRUE(),G316="Dom"),1,0))</f>
        <v>#N/A</v>
      </c>
      <c r="K316" s="2" t="e">
        <f aca="false">IF(L316="No",K315,K315+1)</f>
        <v>#N/A</v>
      </c>
      <c r="L316" s="152" t="e">
        <f aca="false">IF(AND(I316=0,J316=0),H316,"NO")</f>
        <v>#N/A</v>
      </c>
      <c r="N316" s="1" t="n">
        <f aca="false">N315+1</f>
        <v>313</v>
      </c>
      <c r="O316" s="150" t="str">
        <f aca="false">IFERROR(VLOOKUP(N316,$K$4:$L$509,2,0),"")</f>
        <v/>
      </c>
    </row>
    <row r="317" customFormat="false" ht="14.25" hidden="false" customHeight="false" outlineLevel="0" collapsed="false">
      <c r="F317" s="1" t="e">
        <f aca="false">IF(OR(I317=1,J317=1),1,0)</f>
        <v>#N/A</v>
      </c>
      <c r="G317" s="1" t="e">
        <f aca="false">TEXT(H317,"DDD")</f>
        <v>#N/A</v>
      </c>
      <c r="H317" s="150" t="e">
        <f aca="false">IF(H316&gt;='Tallerdata.com'!$X$4,NA(),H316+1)</f>
        <v>#N/A</v>
      </c>
      <c r="I317" s="2" t="n">
        <f aca="false">IFERROR(IF(VLOOKUP(H317,$A$4:$A$33,1,0),1,0),0)</f>
        <v>0</v>
      </c>
      <c r="J317" s="2" t="e">
        <f aca="false">IF(AND($D$4=TRUE(),G317="Sáb"),1,IF(AND($D$5=TRUE(),G317="Dom"),1,0))</f>
        <v>#N/A</v>
      </c>
      <c r="K317" s="2" t="e">
        <f aca="false">IF(L317="No",K316,K316+1)</f>
        <v>#N/A</v>
      </c>
      <c r="L317" s="152" t="e">
        <f aca="false">IF(AND(I317=0,J317=0),H317,"NO")</f>
        <v>#N/A</v>
      </c>
      <c r="N317" s="1" t="n">
        <f aca="false">N316+1</f>
        <v>314</v>
      </c>
      <c r="O317" s="150" t="str">
        <f aca="false">IFERROR(VLOOKUP(N317,$K$4:$L$509,2,0),"")</f>
        <v/>
      </c>
    </row>
    <row r="318" customFormat="false" ht="14.25" hidden="false" customHeight="false" outlineLevel="0" collapsed="false">
      <c r="F318" s="1" t="e">
        <f aca="false">IF(OR(I318=1,J318=1),1,0)</f>
        <v>#N/A</v>
      </c>
      <c r="G318" s="1" t="e">
        <f aca="false">TEXT(H318,"DDD")</f>
        <v>#N/A</v>
      </c>
      <c r="H318" s="150" t="e">
        <f aca="false">IF(H317&gt;='Tallerdata.com'!$X$4,NA(),H317+1)</f>
        <v>#N/A</v>
      </c>
      <c r="I318" s="2" t="n">
        <f aca="false">IFERROR(IF(VLOOKUP(H318,$A$4:$A$33,1,0),1,0),0)</f>
        <v>0</v>
      </c>
      <c r="J318" s="2" t="e">
        <f aca="false">IF(AND($D$4=TRUE(),G318="Sáb"),1,IF(AND($D$5=TRUE(),G318="Dom"),1,0))</f>
        <v>#N/A</v>
      </c>
      <c r="K318" s="2" t="e">
        <f aca="false">IF(L318="No",K317,K317+1)</f>
        <v>#N/A</v>
      </c>
      <c r="L318" s="152" t="e">
        <f aca="false">IF(AND(I318=0,J318=0),H318,"NO")</f>
        <v>#N/A</v>
      </c>
      <c r="N318" s="1" t="n">
        <f aca="false">N317+1</f>
        <v>315</v>
      </c>
      <c r="O318" s="150" t="str">
        <f aca="false">IFERROR(VLOOKUP(N318,$K$4:$L$509,2,0),"")</f>
        <v/>
      </c>
    </row>
    <row r="319" customFormat="false" ht="14.25" hidden="false" customHeight="false" outlineLevel="0" collapsed="false">
      <c r="F319" s="1" t="e">
        <f aca="false">IF(OR(I319=1,J319=1),1,0)</f>
        <v>#N/A</v>
      </c>
      <c r="G319" s="1" t="e">
        <f aca="false">TEXT(H319,"DDD")</f>
        <v>#N/A</v>
      </c>
      <c r="H319" s="150" t="e">
        <f aca="false">IF(H318&gt;='Tallerdata.com'!$X$4,NA(),H318+1)</f>
        <v>#N/A</v>
      </c>
      <c r="I319" s="2" t="n">
        <f aca="false">IFERROR(IF(VLOOKUP(H319,$A$4:$A$33,1,0),1,0),0)</f>
        <v>0</v>
      </c>
      <c r="J319" s="2" t="e">
        <f aca="false">IF(AND($D$4=TRUE(),G319="Sáb"),1,IF(AND($D$5=TRUE(),G319="Dom"),1,0))</f>
        <v>#N/A</v>
      </c>
      <c r="K319" s="2" t="e">
        <f aca="false">IF(L319="No",K318,K318+1)</f>
        <v>#N/A</v>
      </c>
      <c r="L319" s="152" t="e">
        <f aca="false">IF(AND(I319=0,J319=0),H319,"NO")</f>
        <v>#N/A</v>
      </c>
      <c r="N319" s="1" t="n">
        <f aca="false">N318+1</f>
        <v>316</v>
      </c>
      <c r="O319" s="150" t="str">
        <f aca="false">IFERROR(VLOOKUP(N319,$K$4:$L$509,2,0),"")</f>
        <v/>
      </c>
    </row>
    <row r="320" customFormat="false" ht="14.25" hidden="false" customHeight="false" outlineLevel="0" collapsed="false">
      <c r="F320" s="1" t="e">
        <f aca="false">IF(OR(I320=1,J320=1),1,0)</f>
        <v>#N/A</v>
      </c>
      <c r="G320" s="1" t="e">
        <f aca="false">TEXT(H320,"DDD")</f>
        <v>#N/A</v>
      </c>
      <c r="H320" s="150" t="e">
        <f aca="false">IF(H319&gt;='Tallerdata.com'!$X$4,NA(),H319+1)</f>
        <v>#N/A</v>
      </c>
      <c r="I320" s="2" t="n">
        <f aca="false">IFERROR(IF(VLOOKUP(H320,$A$4:$A$33,1,0),1,0),0)</f>
        <v>0</v>
      </c>
      <c r="J320" s="2" t="e">
        <f aca="false">IF(AND($D$4=TRUE(),G320="Sáb"),1,IF(AND($D$5=TRUE(),G320="Dom"),1,0))</f>
        <v>#N/A</v>
      </c>
      <c r="K320" s="2" t="e">
        <f aca="false">IF(L320="No",K319,K319+1)</f>
        <v>#N/A</v>
      </c>
      <c r="L320" s="152" t="e">
        <f aca="false">IF(AND(I320=0,J320=0),H320,"NO")</f>
        <v>#N/A</v>
      </c>
      <c r="N320" s="1" t="n">
        <f aca="false">N319+1</f>
        <v>317</v>
      </c>
      <c r="O320" s="150" t="str">
        <f aca="false">IFERROR(VLOOKUP(N320,$K$4:$L$509,2,0),"")</f>
        <v/>
      </c>
    </row>
    <row r="321" customFormat="false" ht="14.25" hidden="false" customHeight="false" outlineLevel="0" collapsed="false">
      <c r="F321" s="1" t="e">
        <f aca="false">IF(OR(I321=1,J321=1),1,0)</f>
        <v>#N/A</v>
      </c>
      <c r="G321" s="1" t="e">
        <f aca="false">TEXT(H321,"DDD")</f>
        <v>#N/A</v>
      </c>
      <c r="H321" s="150" t="e">
        <f aca="false">IF(H320&gt;='Tallerdata.com'!$X$4,NA(),H320+1)</f>
        <v>#N/A</v>
      </c>
      <c r="I321" s="2" t="n">
        <f aca="false">IFERROR(IF(VLOOKUP(H321,$A$4:$A$33,1,0),1,0),0)</f>
        <v>0</v>
      </c>
      <c r="J321" s="2" t="e">
        <f aca="false">IF(AND($D$4=TRUE(),G321="Sáb"),1,IF(AND($D$5=TRUE(),G321="Dom"),1,0))</f>
        <v>#N/A</v>
      </c>
      <c r="K321" s="2" t="e">
        <f aca="false">IF(L321="No",K320,K320+1)</f>
        <v>#N/A</v>
      </c>
      <c r="L321" s="152" t="e">
        <f aca="false">IF(AND(I321=0,J321=0),H321,"NO")</f>
        <v>#N/A</v>
      </c>
      <c r="N321" s="1" t="n">
        <f aca="false">N320+1</f>
        <v>318</v>
      </c>
      <c r="O321" s="150" t="str">
        <f aca="false">IFERROR(VLOOKUP(N321,$K$4:$L$509,2,0),"")</f>
        <v/>
      </c>
    </row>
    <row r="322" customFormat="false" ht="14.25" hidden="false" customHeight="false" outlineLevel="0" collapsed="false">
      <c r="F322" s="1" t="e">
        <f aca="false">IF(OR(I322=1,J322=1),1,0)</f>
        <v>#N/A</v>
      </c>
      <c r="G322" s="1" t="e">
        <f aca="false">TEXT(H322,"DDD")</f>
        <v>#N/A</v>
      </c>
      <c r="H322" s="150" t="e">
        <f aca="false">IF(H321&gt;='Tallerdata.com'!$X$4,NA(),H321+1)</f>
        <v>#N/A</v>
      </c>
      <c r="I322" s="2" t="n">
        <f aca="false">IFERROR(IF(VLOOKUP(H322,$A$4:$A$33,1,0),1,0),0)</f>
        <v>0</v>
      </c>
      <c r="J322" s="2" t="e">
        <f aca="false">IF(AND($D$4=TRUE(),G322="Sáb"),1,IF(AND($D$5=TRUE(),G322="Dom"),1,0))</f>
        <v>#N/A</v>
      </c>
      <c r="K322" s="2" t="e">
        <f aca="false">IF(L322="No",K321,K321+1)</f>
        <v>#N/A</v>
      </c>
      <c r="L322" s="152" t="e">
        <f aca="false">IF(AND(I322=0,J322=0),H322,"NO")</f>
        <v>#N/A</v>
      </c>
      <c r="N322" s="1" t="n">
        <f aca="false">N321+1</f>
        <v>319</v>
      </c>
      <c r="O322" s="150" t="str">
        <f aca="false">IFERROR(VLOOKUP(N322,$K$4:$L$509,2,0),"")</f>
        <v/>
      </c>
    </row>
    <row r="323" customFormat="false" ht="14.25" hidden="false" customHeight="false" outlineLevel="0" collapsed="false">
      <c r="F323" s="1" t="e">
        <f aca="false">IF(OR(I323=1,J323=1),1,0)</f>
        <v>#N/A</v>
      </c>
      <c r="G323" s="1" t="e">
        <f aca="false">TEXT(H323,"DDD")</f>
        <v>#N/A</v>
      </c>
      <c r="H323" s="150" t="e">
        <f aca="false">IF(H322&gt;='Tallerdata.com'!$X$4,NA(),H322+1)</f>
        <v>#N/A</v>
      </c>
      <c r="I323" s="2" t="n">
        <f aca="false">IFERROR(IF(VLOOKUP(H323,$A$4:$A$33,1,0),1,0),0)</f>
        <v>0</v>
      </c>
      <c r="J323" s="2" t="e">
        <f aca="false">IF(AND($D$4=TRUE(),G323="Sáb"),1,IF(AND($D$5=TRUE(),G323="Dom"),1,0))</f>
        <v>#N/A</v>
      </c>
      <c r="K323" s="2" t="e">
        <f aca="false">IF(L323="No",K322,K322+1)</f>
        <v>#N/A</v>
      </c>
      <c r="L323" s="152" t="e">
        <f aca="false">IF(AND(I323=0,J323=0),H323,"NO")</f>
        <v>#N/A</v>
      </c>
      <c r="N323" s="1" t="n">
        <f aca="false">N322+1</f>
        <v>320</v>
      </c>
      <c r="O323" s="150" t="str">
        <f aca="false">IFERROR(VLOOKUP(N323,$K$4:$L$509,2,0),"")</f>
        <v/>
      </c>
    </row>
    <row r="324" customFormat="false" ht="14.25" hidden="false" customHeight="false" outlineLevel="0" collapsed="false">
      <c r="F324" s="1" t="e">
        <f aca="false">IF(OR(I324=1,J324=1),1,0)</f>
        <v>#N/A</v>
      </c>
      <c r="G324" s="1" t="e">
        <f aca="false">TEXT(H324,"DDD")</f>
        <v>#N/A</v>
      </c>
      <c r="H324" s="150" t="e">
        <f aca="false">IF(H323&gt;='Tallerdata.com'!$X$4,NA(),H323+1)</f>
        <v>#N/A</v>
      </c>
      <c r="I324" s="2" t="n">
        <f aca="false">IFERROR(IF(VLOOKUP(H324,$A$4:$A$33,1,0),1,0),0)</f>
        <v>0</v>
      </c>
      <c r="J324" s="2" t="e">
        <f aca="false">IF(AND($D$4=TRUE(),G324="Sáb"),1,IF(AND($D$5=TRUE(),G324="Dom"),1,0))</f>
        <v>#N/A</v>
      </c>
      <c r="K324" s="2" t="e">
        <f aca="false">IF(L324="No",K323,K323+1)</f>
        <v>#N/A</v>
      </c>
      <c r="L324" s="152" t="e">
        <f aca="false">IF(AND(I324=0,J324=0),H324,"NO")</f>
        <v>#N/A</v>
      </c>
      <c r="N324" s="1" t="n">
        <f aca="false">N323+1</f>
        <v>321</v>
      </c>
      <c r="O324" s="150" t="str">
        <f aca="false">IFERROR(VLOOKUP(N324,$K$4:$L$509,2,0),"")</f>
        <v/>
      </c>
    </row>
    <row r="325" customFormat="false" ht="14.25" hidden="false" customHeight="false" outlineLevel="0" collapsed="false">
      <c r="F325" s="1" t="e">
        <f aca="false">IF(OR(I325=1,J325=1),1,0)</f>
        <v>#N/A</v>
      </c>
      <c r="G325" s="1" t="e">
        <f aca="false">TEXT(H325,"DDD")</f>
        <v>#N/A</v>
      </c>
      <c r="H325" s="150" t="e">
        <f aca="false">IF(H324&gt;='Tallerdata.com'!$X$4,NA(),H324+1)</f>
        <v>#N/A</v>
      </c>
      <c r="I325" s="2" t="n">
        <f aca="false">IFERROR(IF(VLOOKUP(H325,$A$4:$A$33,1,0),1,0),0)</f>
        <v>0</v>
      </c>
      <c r="J325" s="2" t="e">
        <f aca="false">IF(AND($D$4=TRUE(),G325="Sáb"),1,IF(AND($D$5=TRUE(),G325="Dom"),1,0))</f>
        <v>#N/A</v>
      </c>
      <c r="K325" s="2" t="e">
        <f aca="false">IF(L325="No",K324,K324+1)</f>
        <v>#N/A</v>
      </c>
      <c r="L325" s="152" t="e">
        <f aca="false">IF(AND(I325=0,J325=0),H325,"NO")</f>
        <v>#N/A</v>
      </c>
      <c r="N325" s="1" t="n">
        <f aca="false">N324+1</f>
        <v>322</v>
      </c>
      <c r="O325" s="150" t="str">
        <f aca="false">IFERROR(VLOOKUP(N325,$K$4:$L$509,2,0),"")</f>
        <v/>
      </c>
    </row>
    <row r="326" customFormat="false" ht="14.25" hidden="false" customHeight="false" outlineLevel="0" collapsed="false">
      <c r="F326" s="1" t="e">
        <f aca="false">IF(OR(I326=1,J326=1),1,0)</f>
        <v>#N/A</v>
      </c>
      <c r="G326" s="1" t="e">
        <f aca="false">TEXT(H326,"DDD")</f>
        <v>#N/A</v>
      </c>
      <c r="H326" s="150" t="e">
        <f aca="false">IF(H325&gt;='Tallerdata.com'!$X$4,NA(),H325+1)</f>
        <v>#N/A</v>
      </c>
      <c r="I326" s="2" t="n">
        <f aca="false">IFERROR(IF(VLOOKUP(H326,$A$4:$A$33,1,0),1,0),0)</f>
        <v>0</v>
      </c>
      <c r="J326" s="2" t="e">
        <f aca="false">IF(AND($D$4=TRUE(),G326="Sáb"),1,IF(AND($D$5=TRUE(),G326="Dom"),1,0))</f>
        <v>#N/A</v>
      </c>
      <c r="K326" s="2" t="e">
        <f aca="false">IF(L326="No",K325,K325+1)</f>
        <v>#N/A</v>
      </c>
      <c r="L326" s="152" t="e">
        <f aca="false">IF(AND(I326=0,J326=0),H326,"NO")</f>
        <v>#N/A</v>
      </c>
      <c r="N326" s="1" t="n">
        <f aca="false">N325+1</f>
        <v>323</v>
      </c>
      <c r="O326" s="150" t="str">
        <f aca="false">IFERROR(VLOOKUP(N326,$K$4:$L$509,2,0),"")</f>
        <v/>
      </c>
    </row>
    <row r="327" customFormat="false" ht="14.25" hidden="false" customHeight="false" outlineLevel="0" collapsed="false">
      <c r="F327" s="1" t="e">
        <f aca="false">IF(OR(I327=1,J327=1),1,0)</f>
        <v>#N/A</v>
      </c>
      <c r="G327" s="1" t="e">
        <f aca="false">TEXT(H327,"DDD")</f>
        <v>#N/A</v>
      </c>
      <c r="H327" s="150" t="e">
        <f aca="false">IF(H326&gt;='Tallerdata.com'!$X$4,NA(),H326+1)</f>
        <v>#N/A</v>
      </c>
      <c r="I327" s="2" t="n">
        <f aca="false">IFERROR(IF(VLOOKUP(H327,$A$4:$A$33,1,0),1,0),0)</f>
        <v>0</v>
      </c>
      <c r="J327" s="2" t="e">
        <f aca="false">IF(AND($D$4=TRUE(),G327="Sáb"),1,IF(AND($D$5=TRUE(),G327="Dom"),1,0))</f>
        <v>#N/A</v>
      </c>
      <c r="K327" s="2" t="e">
        <f aca="false">IF(L327="No",K326,K326+1)</f>
        <v>#N/A</v>
      </c>
      <c r="L327" s="152" t="e">
        <f aca="false">IF(AND(I327=0,J327=0),H327,"NO")</f>
        <v>#N/A</v>
      </c>
      <c r="N327" s="1" t="n">
        <f aca="false">N326+1</f>
        <v>324</v>
      </c>
      <c r="O327" s="150" t="str">
        <f aca="false">IFERROR(VLOOKUP(N327,$K$4:$L$509,2,0),"")</f>
        <v/>
      </c>
    </row>
    <row r="328" customFormat="false" ht="14.25" hidden="false" customHeight="false" outlineLevel="0" collapsed="false">
      <c r="F328" s="1" t="e">
        <f aca="false">IF(OR(I328=1,J328=1),1,0)</f>
        <v>#N/A</v>
      </c>
      <c r="G328" s="1" t="e">
        <f aca="false">TEXT(H328,"DDD")</f>
        <v>#N/A</v>
      </c>
      <c r="H328" s="150" t="e">
        <f aca="false">IF(H327&gt;='Tallerdata.com'!$X$4,NA(),H327+1)</f>
        <v>#N/A</v>
      </c>
      <c r="I328" s="2" t="n">
        <f aca="false">IFERROR(IF(VLOOKUP(H328,$A$4:$A$33,1,0),1,0),0)</f>
        <v>0</v>
      </c>
      <c r="J328" s="2" t="e">
        <f aca="false">IF(AND($D$4=TRUE(),G328="Sáb"),1,IF(AND($D$5=TRUE(),G328="Dom"),1,0))</f>
        <v>#N/A</v>
      </c>
      <c r="K328" s="2" t="e">
        <f aca="false">IF(L328="No",K327,K327+1)</f>
        <v>#N/A</v>
      </c>
      <c r="L328" s="152" t="e">
        <f aca="false">IF(AND(I328=0,J328=0),H328,"NO")</f>
        <v>#N/A</v>
      </c>
      <c r="N328" s="1" t="n">
        <f aca="false">N327+1</f>
        <v>325</v>
      </c>
      <c r="O328" s="150" t="str">
        <f aca="false">IFERROR(VLOOKUP(N328,$K$4:$L$509,2,0),"")</f>
        <v/>
      </c>
    </row>
    <row r="329" customFormat="false" ht="14.25" hidden="false" customHeight="false" outlineLevel="0" collapsed="false">
      <c r="F329" s="1" t="e">
        <f aca="false">IF(OR(I329=1,J329=1),1,0)</f>
        <v>#N/A</v>
      </c>
      <c r="G329" s="1" t="e">
        <f aca="false">TEXT(H329,"DDD")</f>
        <v>#N/A</v>
      </c>
      <c r="H329" s="150" t="e">
        <f aca="false">IF(H328&gt;='Tallerdata.com'!$X$4,NA(),H328+1)</f>
        <v>#N/A</v>
      </c>
      <c r="I329" s="2" t="n">
        <f aca="false">IFERROR(IF(VLOOKUP(H329,$A$4:$A$33,1,0),1,0),0)</f>
        <v>0</v>
      </c>
      <c r="J329" s="2" t="e">
        <f aca="false">IF(AND($D$4=TRUE(),G329="Sáb"),1,IF(AND($D$5=TRUE(),G329="Dom"),1,0))</f>
        <v>#N/A</v>
      </c>
      <c r="K329" s="2" t="e">
        <f aca="false">IF(L329="No",K328,K328+1)</f>
        <v>#N/A</v>
      </c>
      <c r="L329" s="152" t="e">
        <f aca="false">IF(AND(I329=0,J329=0),H329,"NO")</f>
        <v>#N/A</v>
      </c>
      <c r="N329" s="1" t="n">
        <f aca="false">N328+1</f>
        <v>326</v>
      </c>
      <c r="O329" s="150" t="str">
        <f aca="false">IFERROR(VLOOKUP(N329,$K$4:$L$509,2,0),"")</f>
        <v/>
      </c>
    </row>
    <row r="330" customFormat="false" ht="14.25" hidden="false" customHeight="false" outlineLevel="0" collapsed="false">
      <c r="F330" s="1" t="e">
        <f aca="false">IF(OR(I330=1,J330=1),1,0)</f>
        <v>#N/A</v>
      </c>
      <c r="G330" s="1" t="e">
        <f aca="false">TEXT(H330,"DDD")</f>
        <v>#N/A</v>
      </c>
      <c r="H330" s="150" t="e">
        <f aca="false">IF(H329&gt;='Tallerdata.com'!$X$4,NA(),H329+1)</f>
        <v>#N/A</v>
      </c>
      <c r="I330" s="2" t="n">
        <f aca="false">IFERROR(IF(VLOOKUP(H330,$A$4:$A$33,1,0),1,0),0)</f>
        <v>0</v>
      </c>
      <c r="J330" s="2" t="e">
        <f aca="false">IF(AND($D$4=TRUE(),G330="Sáb"),1,IF(AND($D$5=TRUE(),G330="Dom"),1,0))</f>
        <v>#N/A</v>
      </c>
      <c r="K330" s="2" t="e">
        <f aca="false">IF(L330="No",K329,K329+1)</f>
        <v>#N/A</v>
      </c>
      <c r="L330" s="152" t="e">
        <f aca="false">IF(AND(I330=0,J330=0),H330,"NO")</f>
        <v>#N/A</v>
      </c>
      <c r="N330" s="1" t="n">
        <f aca="false">N329+1</f>
        <v>327</v>
      </c>
      <c r="O330" s="150" t="str">
        <f aca="false">IFERROR(VLOOKUP(N330,$K$4:$L$509,2,0),"")</f>
        <v/>
      </c>
    </row>
    <row r="331" customFormat="false" ht="14.25" hidden="false" customHeight="false" outlineLevel="0" collapsed="false">
      <c r="F331" s="1" t="e">
        <f aca="false">IF(OR(I331=1,J331=1),1,0)</f>
        <v>#N/A</v>
      </c>
      <c r="G331" s="1" t="e">
        <f aca="false">TEXT(H331,"DDD")</f>
        <v>#N/A</v>
      </c>
      <c r="H331" s="150" t="e">
        <f aca="false">IF(H330&gt;='Tallerdata.com'!$X$4,NA(),H330+1)</f>
        <v>#N/A</v>
      </c>
      <c r="I331" s="2" t="n">
        <f aca="false">IFERROR(IF(VLOOKUP(H331,$A$4:$A$33,1,0),1,0),0)</f>
        <v>0</v>
      </c>
      <c r="J331" s="2" t="e">
        <f aca="false">IF(AND($D$4=TRUE(),G331="Sáb"),1,IF(AND($D$5=TRUE(),G331="Dom"),1,0))</f>
        <v>#N/A</v>
      </c>
      <c r="K331" s="2" t="e">
        <f aca="false">IF(L331="No",K330,K330+1)</f>
        <v>#N/A</v>
      </c>
      <c r="L331" s="152" t="e">
        <f aca="false">IF(AND(I331=0,J331=0),H331,"NO")</f>
        <v>#N/A</v>
      </c>
      <c r="N331" s="1" t="n">
        <f aca="false">N330+1</f>
        <v>328</v>
      </c>
      <c r="O331" s="150" t="str">
        <f aca="false">IFERROR(VLOOKUP(N331,$K$4:$L$509,2,0),"")</f>
        <v/>
      </c>
    </row>
    <row r="332" customFormat="false" ht="14.25" hidden="false" customHeight="false" outlineLevel="0" collapsed="false">
      <c r="F332" s="1" t="e">
        <f aca="false">IF(OR(I332=1,J332=1),1,0)</f>
        <v>#N/A</v>
      </c>
      <c r="G332" s="1" t="e">
        <f aca="false">TEXT(H332,"DDD")</f>
        <v>#N/A</v>
      </c>
      <c r="H332" s="150" t="e">
        <f aca="false">IF(H331&gt;='Tallerdata.com'!$X$4,NA(),H331+1)</f>
        <v>#N/A</v>
      </c>
      <c r="I332" s="2" t="n">
        <f aca="false">IFERROR(IF(VLOOKUP(H332,$A$4:$A$33,1,0),1,0),0)</f>
        <v>0</v>
      </c>
      <c r="J332" s="2" t="e">
        <f aca="false">IF(AND($D$4=TRUE(),G332="Sáb"),1,IF(AND($D$5=TRUE(),G332="Dom"),1,0))</f>
        <v>#N/A</v>
      </c>
      <c r="K332" s="2" t="e">
        <f aca="false">IF(L332="No",K331,K331+1)</f>
        <v>#N/A</v>
      </c>
      <c r="L332" s="152" t="e">
        <f aca="false">IF(AND(I332=0,J332=0),H332,"NO")</f>
        <v>#N/A</v>
      </c>
      <c r="N332" s="1" t="n">
        <f aca="false">N331+1</f>
        <v>329</v>
      </c>
      <c r="O332" s="150" t="str">
        <f aca="false">IFERROR(VLOOKUP(N332,$K$4:$L$509,2,0),"")</f>
        <v/>
      </c>
    </row>
    <row r="333" customFormat="false" ht="14.25" hidden="false" customHeight="false" outlineLevel="0" collapsed="false">
      <c r="F333" s="1" t="e">
        <f aca="false">IF(OR(I333=1,J333=1),1,0)</f>
        <v>#N/A</v>
      </c>
      <c r="G333" s="1" t="e">
        <f aca="false">TEXT(H333,"DDD")</f>
        <v>#N/A</v>
      </c>
      <c r="H333" s="150" t="e">
        <f aca="false">IF(H332&gt;='Tallerdata.com'!$X$4,NA(),H332+1)</f>
        <v>#N/A</v>
      </c>
      <c r="I333" s="2" t="n">
        <f aca="false">IFERROR(IF(VLOOKUP(H333,$A$4:$A$33,1,0),1,0),0)</f>
        <v>0</v>
      </c>
      <c r="J333" s="2" t="e">
        <f aca="false">IF(AND($D$4=TRUE(),G333="Sáb"),1,IF(AND($D$5=TRUE(),G333="Dom"),1,0))</f>
        <v>#N/A</v>
      </c>
      <c r="K333" s="2" t="e">
        <f aca="false">IF(L333="No",K332,K332+1)</f>
        <v>#N/A</v>
      </c>
      <c r="L333" s="152" t="e">
        <f aca="false">IF(AND(I333=0,J333=0),H333,"NO")</f>
        <v>#N/A</v>
      </c>
      <c r="N333" s="1" t="n">
        <f aca="false">N332+1</f>
        <v>330</v>
      </c>
      <c r="O333" s="150" t="str">
        <f aca="false">IFERROR(VLOOKUP(N333,$K$4:$L$509,2,0),"")</f>
        <v/>
      </c>
    </row>
    <row r="334" customFormat="false" ht="14.25" hidden="false" customHeight="false" outlineLevel="0" collapsed="false">
      <c r="F334" s="1" t="e">
        <f aca="false">IF(OR(I334=1,J334=1),1,0)</f>
        <v>#N/A</v>
      </c>
      <c r="G334" s="1" t="e">
        <f aca="false">TEXT(H334,"DDD")</f>
        <v>#N/A</v>
      </c>
      <c r="H334" s="150" t="e">
        <f aca="false">IF(H333&gt;='Tallerdata.com'!$X$4,NA(),H333+1)</f>
        <v>#N/A</v>
      </c>
      <c r="I334" s="2" t="n">
        <f aca="false">IFERROR(IF(VLOOKUP(H334,$A$4:$A$33,1,0),1,0),0)</f>
        <v>0</v>
      </c>
      <c r="J334" s="2" t="e">
        <f aca="false">IF(AND($D$4=TRUE(),G334="Sáb"),1,IF(AND($D$5=TRUE(),G334="Dom"),1,0))</f>
        <v>#N/A</v>
      </c>
      <c r="K334" s="2" t="e">
        <f aca="false">IF(L334="No",K333,K333+1)</f>
        <v>#N/A</v>
      </c>
      <c r="L334" s="152" t="e">
        <f aca="false">IF(AND(I334=0,J334=0),H334,"NO")</f>
        <v>#N/A</v>
      </c>
      <c r="N334" s="1" t="n">
        <f aca="false">N333+1</f>
        <v>331</v>
      </c>
      <c r="O334" s="150" t="str">
        <f aca="false">IFERROR(VLOOKUP(N334,$K$4:$L$509,2,0),"")</f>
        <v/>
      </c>
    </row>
    <row r="335" customFormat="false" ht="14.25" hidden="false" customHeight="false" outlineLevel="0" collapsed="false">
      <c r="F335" s="1" t="e">
        <f aca="false">IF(OR(I335=1,J335=1),1,0)</f>
        <v>#N/A</v>
      </c>
      <c r="G335" s="1" t="e">
        <f aca="false">TEXT(H335,"DDD")</f>
        <v>#N/A</v>
      </c>
      <c r="H335" s="150" t="e">
        <f aca="false">IF(H334&gt;='Tallerdata.com'!$X$4,NA(),H334+1)</f>
        <v>#N/A</v>
      </c>
      <c r="I335" s="2" t="n">
        <f aca="false">IFERROR(IF(VLOOKUP(H335,$A$4:$A$33,1,0),1,0),0)</f>
        <v>0</v>
      </c>
      <c r="J335" s="2" t="e">
        <f aca="false">IF(AND($D$4=TRUE(),G335="Sáb"),1,IF(AND($D$5=TRUE(),G335="Dom"),1,0))</f>
        <v>#N/A</v>
      </c>
      <c r="K335" s="2" t="e">
        <f aca="false">IF(L335="No",K334,K334+1)</f>
        <v>#N/A</v>
      </c>
      <c r="L335" s="152" t="e">
        <f aca="false">IF(AND(I335=0,J335=0),H335,"NO")</f>
        <v>#N/A</v>
      </c>
      <c r="N335" s="1" t="n">
        <f aca="false">N334+1</f>
        <v>332</v>
      </c>
      <c r="O335" s="150" t="str">
        <f aca="false">IFERROR(VLOOKUP(N335,$K$4:$L$509,2,0),"")</f>
        <v/>
      </c>
    </row>
    <row r="336" customFormat="false" ht="14.25" hidden="false" customHeight="false" outlineLevel="0" collapsed="false">
      <c r="F336" s="1" t="e">
        <f aca="false">IF(OR(I336=1,J336=1),1,0)</f>
        <v>#N/A</v>
      </c>
      <c r="G336" s="1" t="e">
        <f aca="false">TEXT(H336,"DDD")</f>
        <v>#N/A</v>
      </c>
      <c r="H336" s="150" t="e">
        <f aca="false">IF(H335&gt;='Tallerdata.com'!$X$4,NA(),H335+1)</f>
        <v>#N/A</v>
      </c>
      <c r="I336" s="2" t="n">
        <f aca="false">IFERROR(IF(VLOOKUP(H336,$A$4:$A$33,1,0),1,0),0)</f>
        <v>0</v>
      </c>
      <c r="J336" s="2" t="e">
        <f aca="false">IF(AND($D$4=TRUE(),G336="Sáb"),1,IF(AND($D$5=TRUE(),G336="Dom"),1,0))</f>
        <v>#N/A</v>
      </c>
      <c r="K336" s="2" t="e">
        <f aca="false">IF(L336="No",K335,K335+1)</f>
        <v>#N/A</v>
      </c>
      <c r="L336" s="152" t="e">
        <f aca="false">IF(AND(I336=0,J336=0),H336,"NO")</f>
        <v>#N/A</v>
      </c>
      <c r="N336" s="1" t="n">
        <f aca="false">N335+1</f>
        <v>333</v>
      </c>
      <c r="O336" s="150" t="str">
        <f aca="false">IFERROR(VLOOKUP(N336,$K$4:$L$509,2,0),"")</f>
        <v/>
      </c>
    </row>
    <row r="337" customFormat="false" ht="14.25" hidden="false" customHeight="false" outlineLevel="0" collapsed="false">
      <c r="F337" s="1" t="e">
        <f aca="false">IF(OR(I337=1,J337=1),1,0)</f>
        <v>#N/A</v>
      </c>
      <c r="G337" s="1" t="e">
        <f aca="false">TEXT(H337,"DDD")</f>
        <v>#N/A</v>
      </c>
      <c r="H337" s="150" t="e">
        <f aca="false">IF(H336&gt;='Tallerdata.com'!$X$4,NA(),H336+1)</f>
        <v>#N/A</v>
      </c>
      <c r="I337" s="2" t="n">
        <f aca="false">IFERROR(IF(VLOOKUP(H337,$A$4:$A$33,1,0),1,0),0)</f>
        <v>0</v>
      </c>
      <c r="J337" s="2" t="e">
        <f aca="false">IF(AND($D$4=TRUE(),G337="Sáb"),1,IF(AND($D$5=TRUE(),G337="Dom"),1,0))</f>
        <v>#N/A</v>
      </c>
      <c r="K337" s="2" t="e">
        <f aca="false">IF(L337="No",K336,K336+1)</f>
        <v>#N/A</v>
      </c>
      <c r="L337" s="152" t="e">
        <f aca="false">IF(AND(I337=0,J337=0),H337,"NO")</f>
        <v>#N/A</v>
      </c>
      <c r="N337" s="1" t="n">
        <f aca="false">N336+1</f>
        <v>334</v>
      </c>
      <c r="O337" s="150" t="str">
        <f aca="false">IFERROR(VLOOKUP(N337,$K$4:$L$509,2,0),"")</f>
        <v/>
      </c>
    </row>
    <row r="338" customFormat="false" ht="14.25" hidden="false" customHeight="false" outlineLevel="0" collapsed="false">
      <c r="F338" s="1" t="e">
        <f aca="false">IF(OR(I338=1,J338=1),1,0)</f>
        <v>#N/A</v>
      </c>
      <c r="G338" s="1" t="e">
        <f aca="false">TEXT(H338,"DDD")</f>
        <v>#N/A</v>
      </c>
      <c r="H338" s="150" t="e">
        <f aca="false">IF(H337&gt;='Tallerdata.com'!$X$4,NA(),H337+1)</f>
        <v>#N/A</v>
      </c>
      <c r="I338" s="2" t="n">
        <f aca="false">IFERROR(IF(VLOOKUP(H338,$A$4:$A$33,1,0),1,0),0)</f>
        <v>0</v>
      </c>
      <c r="J338" s="2" t="e">
        <f aca="false">IF(AND($D$4=TRUE(),G338="Sáb"),1,IF(AND($D$5=TRUE(),G338="Dom"),1,0))</f>
        <v>#N/A</v>
      </c>
      <c r="K338" s="2" t="e">
        <f aca="false">IF(L338="No",K337,K337+1)</f>
        <v>#N/A</v>
      </c>
      <c r="L338" s="152" t="e">
        <f aca="false">IF(AND(I338=0,J338=0),H338,"NO")</f>
        <v>#N/A</v>
      </c>
      <c r="N338" s="1" t="n">
        <f aca="false">N337+1</f>
        <v>335</v>
      </c>
      <c r="O338" s="150" t="str">
        <f aca="false">IFERROR(VLOOKUP(N338,$K$4:$L$509,2,0),"")</f>
        <v/>
      </c>
    </row>
    <row r="339" customFormat="false" ht="14.25" hidden="false" customHeight="false" outlineLevel="0" collapsed="false">
      <c r="F339" s="1" t="e">
        <f aca="false">IF(OR(I339=1,J339=1),1,0)</f>
        <v>#N/A</v>
      </c>
      <c r="G339" s="1" t="e">
        <f aca="false">TEXT(H339,"DDD")</f>
        <v>#N/A</v>
      </c>
      <c r="H339" s="150" t="e">
        <f aca="false">IF(H338&gt;='Tallerdata.com'!$X$4,NA(),H338+1)</f>
        <v>#N/A</v>
      </c>
      <c r="I339" s="2" t="n">
        <f aca="false">IFERROR(IF(VLOOKUP(H339,$A$4:$A$33,1,0),1,0),0)</f>
        <v>0</v>
      </c>
      <c r="J339" s="2" t="e">
        <f aca="false">IF(AND($D$4=TRUE(),G339="Sáb"),1,IF(AND($D$5=TRUE(),G339="Dom"),1,0))</f>
        <v>#N/A</v>
      </c>
      <c r="K339" s="2" t="e">
        <f aca="false">IF(L339="No",K338,K338+1)</f>
        <v>#N/A</v>
      </c>
      <c r="L339" s="152" t="e">
        <f aca="false">IF(AND(I339=0,J339=0),H339,"NO")</f>
        <v>#N/A</v>
      </c>
      <c r="N339" s="1" t="n">
        <f aca="false">N338+1</f>
        <v>336</v>
      </c>
      <c r="O339" s="150" t="str">
        <f aca="false">IFERROR(VLOOKUP(N339,$K$4:$L$509,2,0),"")</f>
        <v/>
      </c>
    </row>
    <row r="340" customFormat="false" ht="14.25" hidden="false" customHeight="false" outlineLevel="0" collapsed="false">
      <c r="F340" s="1" t="e">
        <f aca="false">IF(OR(I340=1,J340=1),1,0)</f>
        <v>#N/A</v>
      </c>
      <c r="G340" s="1" t="e">
        <f aca="false">TEXT(H340,"DDD")</f>
        <v>#N/A</v>
      </c>
      <c r="H340" s="150" t="e">
        <f aca="false">IF(H339&gt;='Tallerdata.com'!$X$4,NA(),H339+1)</f>
        <v>#N/A</v>
      </c>
      <c r="I340" s="2" t="n">
        <f aca="false">IFERROR(IF(VLOOKUP(H340,$A$4:$A$33,1,0),1,0),0)</f>
        <v>0</v>
      </c>
      <c r="J340" s="2" t="e">
        <f aca="false">IF(AND($D$4=TRUE(),G340="Sáb"),1,IF(AND($D$5=TRUE(),G340="Dom"),1,0))</f>
        <v>#N/A</v>
      </c>
      <c r="K340" s="2" t="e">
        <f aca="false">IF(L340="No",K339,K339+1)</f>
        <v>#N/A</v>
      </c>
      <c r="L340" s="152" t="e">
        <f aca="false">IF(AND(I340=0,J340=0),H340,"NO")</f>
        <v>#N/A</v>
      </c>
      <c r="N340" s="1" t="n">
        <f aca="false">N339+1</f>
        <v>337</v>
      </c>
      <c r="O340" s="150" t="str">
        <f aca="false">IFERROR(VLOOKUP(N340,$K$4:$L$509,2,0),"")</f>
        <v/>
      </c>
    </row>
    <row r="341" customFormat="false" ht="14.25" hidden="false" customHeight="false" outlineLevel="0" collapsed="false">
      <c r="F341" s="1" t="e">
        <f aca="false">IF(OR(I341=1,J341=1),1,0)</f>
        <v>#N/A</v>
      </c>
      <c r="G341" s="1" t="e">
        <f aca="false">TEXT(H341,"DDD")</f>
        <v>#N/A</v>
      </c>
      <c r="H341" s="150" t="e">
        <f aca="false">IF(H340&gt;='Tallerdata.com'!$X$4,NA(),H340+1)</f>
        <v>#N/A</v>
      </c>
      <c r="I341" s="2" t="n">
        <f aca="false">IFERROR(IF(VLOOKUP(H341,$A$4:$A$33,1,0),1,0),0)</f>
        <v>0</v>
      </c>
      <c r="J341" s="2" t="e">
        <f aca="false">IF(AND($D$4=TRUE(),G341="Sáb"),1,IF(AND($D$5=TRUE(),G341="Dom"),1,0))</f>
        <v>#N/A</v>
      </c>
      <c r="K341" s="2" t="e">
        <f aca="false">IF(L341="No",K340,K340+1)</f>
        <v>#N/A</v>
      </c>
      <c r="L341" s="152" t="e">
        <f aca="false">IF(AND(I341=0,J341=0),H341,"NO")</f>
        <v>#N/A</v>
      </c>
      <c r="N341" s="1" t="n">
        <f aca="false">N340+1</f>
        <v>338</v>
      </c>
      <c r="O341" s="150" t="str">
        <f aca="false">IFERROR(VLOOKUP(N341,$K$4:$L$509,2,0),"")</f>
        <v/>
      </c>
    </row>
    <row r="342" customFormat="false" ht="14.25" hidden="false" customHeight="false" outlineLevel="0" collapsed="false">
      <c r="F342" s="1" t="e">
        <f aca="false">IF(OR(I342=1,J342=1),1,0)</f>
        <v>#N/A</v>
      </c>
      <c r="G342" s="1" t="e">
        <f aca="false">TEXT(H342,"DDD")</f>
        <v>#N/A</v>
      </c>
      <c r="H342" s="150" t="e">
        <f aca="false">IF(H341&gt;='Tallerdata.com'!$X$4,NA(),H341+1)</f>
        <v>#N/A</v>
      </c>
      <c r="I342" s="2" t="n">
        <f aca="false">IFERROR(IF(VLOOKUP(H342,$A$4:$A$33,1,0),1,0),0)</f>
        <v>0</v>
      </c>
      <c r="J342" s="2" t="e">
        <f aca="false">IF(AND($D$4=TRUE(),G342="Sáb"),1,IF(AND($D$5=TRUE(),G342="Dom"),1,0))</f>
        <v>#N/A</v>
      </c>
      <c r="K342" s="2" t="e">
        <f aca="false">IF(L342="No",K341,K341+1)</f>
        <v>#N/A</v>
      </c>
      <c r="L342" s="152" t="e">
        <f aca="false">IF(AND(I342=0,J342=0),H342,"NO")</f>
        <v>#N/A</v>
      </c>
      <c r="N342" s="1" t="n">
        <f aca="false">N341+1</f>
        <v>339</v>
      </c>
      <c r="O342" s="150" t="str">
        <f aca="false">IFERROR(VLOOKUP(N342,$K$4:$L$509,2,0),"")</f>
        <v/>
      </c>
    </row>
    <row r="343" customFormat="false" ht="14.25" hidden="false" customHeight="false" outlineLevel="0" collapsed="false">
      <c r="F343" s="1" t="e">
        <f aca="false">IF(OR(I343=1,J343=1),1,0)</f>
        <v>#N/A</v>
      </c>
      <c r="G343" s="1" t="e">
        <f aca="false">TEXT(H343,"DDD")</f>
        <v>#N/A</v>
      </c>
      <c r="H343" s="150" t="e">
        <f aca="false">IF(H342&gt;='Tallerdata.com'!$X$4,NA(),H342+1)</f>
        <v>#N/A</v>
      </c>
      <c r="I343" s="2" t="n">
        <f aca="false">IFERROR(IF(VLOOKUP(H343,$A$4:$A$33,1,0),1,0),0)</f>
        <v>0</v>
      </c>
      <c r="J343" s="2" t="e">
        <f aca="false">IF(AND($D$4=TRUE(),G343="Sáb"),1,IF(AND($D$5=TRUE(),G343="Dom"),1,0))</f>
        <v>#N/A</v>
      </c>
      <c r="K343" s="2" t="e">
        <f aca="false">IF(L343="No",K342,K342+1)</f>
        <v>#N/A</v>
      </c>
      <c r="L343" s="152" t="e">
        <f aca="false">IF(AND(I343=0,J343=0),H343,"NO")</f>
        <v>#N/A</v>
      </c>
      <c r="N343" s="1" t="n">
        <f aca="false">N342+1</f>
        <v>340</v>
      </c>
      <c r="O343" s="150" t="str">
        <f aca="false">IFERROR(VLOOKUP(N343,$K$4:$L$509,2,0),"")</f>
        <v/>
      </c>
    </row>
    <row r="344" customFormat="false" ht="14.25" hidden="false" customHeight="false" outlineLevel="0" collapsed="false">
      <c r="F344" s="1" t="e">
        <f aca="false">IF(OR(I344=1,J344=1),1,0)</f>
        <v>#N/A</v>
      </c>
      <c r="G344" s="1" t="e">
        <f aca="false">TEXT(H344,"DDD")</f>
        <v>#N/A</v>
      </c>
      <c r="H344" s="150" t="e">
        <f aca="false">IF(H343&gt;='Tallerdata.com'!$X$4,NA(),H343+1)</f>
        <v>#N/A</v>
      </c>
      <c r="I344" s="2" t="n">
        <f aca="false">IFERROR(IF(VLOOKUP(H344,$A$4:$A$33,1,0),1,0),0)</f>
        <v>0</v>
      </c>
      <c r="J344" s="2" t="e">
        <f aca="false">IF(AND($D$4=TRUE(),G344="Sáb"),1,IF(AND($D$5=TRUE(),G344="Dom"),1,0))</f>
        <v>#N/A</v>
      </c>
      <c r="K344" s="2" t="e">
        <f aca="false">IF(L344="No",K343,K343+1)</f>
        <v>#N/A</v>
      </c>
      <c r="L344" s="152" t="e">
        <f aca="false">IF(AND(I344=0,J344=0),H344,"NO")</f>
        <v>#N/A</v>
      </c>
      <c r="N344" s="1" t="n">
        <f aca="false">N343+1</f>
        <v>341</v>
      </c>
      <c r="O344" s="150" t="str">
        <f aca="false">IFERROR(VLOOKUP(N344,$K$4:$L$509,2,0),"")</f>
        <v/>
      </c>
    </row>
    <row r="345" customFormat="false" ht="14.25" hidden="false" customHeight="false" outlineLevel="0" collapsed="false">
      <c r="F345" s="1" t="e">
        <f aca="false">IF(OR(I345=1,J345=1),1,0)</f>
        <v>#N/A</v>
      </c>
      <c r="G345" s="1" t="e">
        <f aca="false">TEXT(H345,"DDD")</f>
        <v>#N/A</v>
      </c>
      <c r="H345" s="150" t="e">
        <f aca="false">IF(H344&gt;='Tallerdata.com'!$X$4,NA(),H344+1)</f>
        <v>#N/A</v>
      </c>
      <c r="I345" s="2" t="n">
        <f aca="false">IFERROR(IF(VLOOKUP(H345,$A$4:$A$33,1,0),1,0),0)</f>
        <v>0</v>
      </c>
      <c r="J345" s="2" t="e">
        <f aca="false">IF(AND($D$4=TRUE(),G345="Sáb"),1,IF(AND($D$5=TRUE(),G345="Dom"),1,0))</f>
        <v>#N/A</v>
      </c>
      <c r="K345" s="2" t="e">
        <f aca="false">IF(L345="No",K344,K344+1)</f>
        <v>#N/A</v>
      </c>
      <c r="L345" s="152" t="e">
        <f aca="false">IF(AND(I345=0,J345=0),H345,"NO")</f>
        <v>#N/A</v>
      </c>
      <c r="N345" s="1" t="n">
        <f aca="false">N344+1</f>
        <v>342</v>
      </c>
      <c r="O345" s="150" t="str">
        <f aca="false">IFERROR(VLOOKUP(N345,$K$4:$L$509,2,0),"")</f>
        <v/>
      </c>
    </row>
    <row r="346" customFormat="false" ht="14.25" hidden="false" customHeight="false" outlineLevel="0" collapsed="false">
      <c r="F346" s="1" t="e">
        <f aca="false">IF(OR(I346=1,J346=1),1,0)</f>
        <v>#N/A</v>
      </c>
      <c r="G346" s="1" t="e">
        <f aca="false">TEXT(H346,"DDD")</f>
        <v>#N/A</v>
      </c>
      <c r="H346" s="150" t="e">
        <f aca="false">IF(H345&gt;='Tallerdata.com'!$X$4,NA(),H345+1)</f>
        <v>#N/A</v>
      </c>
      <c r="I346" s="2" t="n">
        <f aca="false">IFERROR(IF(VLOOKUP(H346,$A$4:$A$33,1,0),1,0),0)</f>
        <v>0</v>
      </c>
      <c r="J346" s="2" t="e">
        <f aca="false">IF(AND($D$4=TRUE(),G346="Sáb"),1,IF(AND($D$5=TRUE(),G346="Dom"),1,0))</f>
        <v>#N/A</v>
      </c>
      <c r="K346" s="2" t="e">
        <f aca="false">IF(L346="No",K345,K345+1)</f>
        <v>#N/A</v>
      </c>
      <c r="L346" s="152" t="e">
        <f aca="false">IF(AND(I346=0,J346=0),H346,"NO")</f>
        <v>#N/A</v>
      </c>
      <c r="N346" s="1" t="n">
        <f aca="false">N345+1</f>
        <v>343</v>
      </c>
      <c r="O346" s="150" t="str">
        <f aca="false">IFERROR(VLOOKUP(N346,$K$4:$L$509,2,0),"")</f>
        <v/>
      </c>
    </row>
    <row r="347" customFormat="false" ht="14.25" hidden="false" customHeight="false" outlineLevel="0" collapsed="false">
      <c r="F347" s="1" t="e">
        <f aca="false">IF(OR(I347=1,J347=1),1,0)</f>
        <v>#N/A</v>
      </c>
      <c r="G347" s="1" t="e">
        <f aca="false">TEXT(H347,"DDD")</f>
        <v>#N/A</v>
      </c>
      <c r="H347" s="150" t="e">
        <f aca="false">IF(H346&gt;='Tallerdata.com'!$X$4,NA(),H346+1)</f>
        <v>#N/A</v>
      </c>
      <c r="I347" s="2" t="n">
        <f aca="false">IFERROR(IF(VLOOKUP(H347,$A$4:$A$33,1,0),1,0),0)</f>
        <v>0</v>
      </c>
      <c r="J347" s="2" t="e">
        <f aca="false">IF(AND($D$4=TRUE(),G347="Sáb"),1,IF(AND($D$5=TRUE(),G347="Dom"),1,0))</f>
        <v>#N/A</v>
      </c>
      <c r="K347" s="2" t="e">
        <f aca="false">IF(L347="No",K346,K346+1)</f>
        <v>#N/A</v>
      </c>
      <c r="L347" s="152" t="e">
        <f aca="false">IF(AND(I347=0,J347=0),H347,"NO")</f>
        <v>#N/A</v>
      </c>
      <c r="N347" s="1" t="n">
        <f aca="false">N346+1</f>
        <v>344</v>
      </c>
      <c r="O347" s="150" t="str">
        <f aca="false">IFERROR(VLOOKUP(N347,$K$4:$L$509,2,0),"")</f>
        <v/>
      </c>
    </row>
    <row r="348" customFormat="false" ht="14.25" hidden="false" customHeight="false" outlineLevel="0" collapsed="false">
      <c r="F348" s="1" t="e">
        <f aca="false">IF(OR(I348=1,J348=1),1,0)</f>
        <v>#N/A</v>
      </c>
      <c r="G348" s="1" t="e">
        <f aca="false">TEXT(H348,"DDD")</f>
        <v>#N/A</v>
      </c>
      <c r="H348" s="150" t="e">
        <f aca="false">IF(H347&gt;='Tallerdata.com'!$X$4,NA(),H347+1)</f>
        <v>#N/A</v>
      </c>
      <c r="I348" s="2" t="n">
        <f aca="false">IFERROR(IF(VLOOKUP(H348,$A$4:$A$33,1,0),1,0),0)</f>
        <v>0</v>
      </c>
      <c r="J348" s="2" t="e">
        <f aca="false">IF(AND($D$4=TRUE(),G348="Sáb"),1,IF(AND($D$5=TRUE(),G348="Dom"),1,0))</f>
        <v>#N/A</v>
      </c>
      <c r="K348" s="2" t="e">
        <f aca="false">IF(L348="No",K347,K347+1)</f>
        <v>#N/A</v>
      </c>
      <c r="L348" s="152" t="e">
        <f aca="false">IF(AND(I348=0,J348=0),H348,"NO")</f>
        <v>#N/A</v>
      </c>
      <c r="N348" s="1" t="n">
        <f aca="false">N347+1</f>
        <v>345</v>
      </c>
      <c r="O348" s="150" t="str">
        <f aca="false">IFERROR(VLOOKUP(N348,$K$4:$L$509,2,0),"")</f>
        <v/>
      </c>
    </row>
    <row r="349" customFormat="false" ht="14.25" hidden="false" customHeight="false" outlineLevel="0" collapsed="false">
      <c r="F349" s="1" t="e">
        <f aca="false">IF(OR(I349=1,J349=1),1,0)</f>
        <v>#N/A</v>
      </c>
      <c r="G349" s="1" t="e">
        <f aca="false">TEXT(H349,"DDD")</f>
        <v>#N/A</v>
      </c>
      <c r="H349" s="150" t="e">
        <f aca="false">IF(H348&gt;='Tallerdata.com'!$X$4,NA(),H348+1)</f>
        <v>#N/A</v>
      </c>
      <c r="I349" s="2" t="n">
        <f aca="false">IFERROR(IF(VLOOKUP(H349,$A$4:$A$33,1,0),1,0),0)</f>
        <v>0</v>
      </c>
      <c r="J349" s="2" t="e">
        <f aca="false">IF(AND($D$4=TRUE(),G349="Sáb"),1,IF(AND($D$5=TRUE(),G349="Dom"),1,0))</f>
        <v>#N/A</v>
      </c>
      <c r="K349" s="2" t="e">
        <f aca="false">IF(L349="No",K348,K348+1)</f>
        <v>#N/A</v>
      </c>
      <c r="L349" s="152" t="e">
        <f aca="false">IF(AND(I349=0,J349=0),H349,"NO")</f>
        <v>#N/A</v>
      </c>
      <c r="N349" s="1" t="n">
        <f aca="false">N348+1</f>
        <v>346</v>
      </c>
      <c r="O349" s="150" t="str">
        <f aca="false">IFERROR(VLOOKUP(N349,$K$4:$L$509,2,0),"")</f>
        <v/>
      </c>
    </row>
    <row r="350" customFormat="false" ht="14.25" hidden="false" customHeight="false" outlineLevel="0" collapsed="false">
      <c r="F350" s="1" t="e">
        <f aca="false">IF(OR(I350=1,J350=1),1,0)</f>
        <v>#N/A</v>
      </c>
      <c r="G350" s="1" t="e">
        <f aca="false">TEXT(H350,"DDD")</f>
        <v>#N/A</v>
      </c>
      <c r="H350" s="150" t="e">
        <f aca="false">IF(H349&gt;='Tallerdata.com'!$X$4,NA(),H349+1)</f>
        <v>#N/A</v>
      </c>
      <c r="I350" s="2" t="n">
        <f aca="false">IFERROR(IF(VLOOKUP(H350,$A$4:$A$33,1,0),1,0),0)</f>
        <v>0</v>
      </c>
      <c r="J350" s="2" t="e">
        <f aca="false">IF(AND($D$4=TRUE(),G350="Sáb"),1,IF(AND($D$5=TRUE(),G350="Dom"),1,0))</f>
        <v>#N/A</v>
      </c>
      <c r="K350" s="2" t="e">
        <f aca="false">IF(L350="No",K349,K349+1)</f>
        <v>#N/A</v>
      </c>
      <c r="L350" s="152" t="e">
        <f aca="false">IF(AND(I350=0,J350=0),H350,"NO")</f>
        <v>#N/A</v>
      </c>
      <c r="N350" s="1" t="n">
        <f aca="false">N349+1</f>
        <v>347</v>
      </c>
      <c r="O350" s="150" t="str">
        <f aca="false">IFERROR(VLOOKUP(N350,$K$4:$L$509,2,0),"")</f>
        <v/>
      </c>
    </row>
    <row r="351" customFormat="false" ht="14.25" hidden="false" customHeight="false" outlineLevel="0" collapsed="false">
      <c r="F351" s="1" t="e">
        <f aca="false">IF(OR(I351=1,J351=1),1,0)</f>
        <v>#N/A</v>
      </c>
      <c r="G351" s="1" t="e">
        <f aca="false">TEXT(H351,"DDD")</f>
        <v>#N/A</v>
      </c>
      <c r="H351" s="150" t="e">
        <f aca="false">IF(H350&gt;='Tallerdata.com'!$X$4,NA(),H350+1)</f>
        <v>#N/A</v>
      </c>
      <c r="I351" s="2" t="n">
        <f aca="false">IFERROR(IF(VLOOKUP(H351,$A$4:$A$33,1,0),1,0),0)</f>
        <v>0</v>
      </c>
      <c r="J351" s="2" t="e">
        <f aca="false">IF(AND($D$4=TRUE(),G351="Sáb"),1,IF(AND($D$5=TRUE(),G351="Dom"),1,0))</f>
        <v>#N/A</v>
      </c>
      <c r="K351" s="2" t="e">
        <f aca="false">IF(L351="No",K350,K350+1)</f>
        <v>#N/A</v>
      </c>
      <c r="L351" s="152" t="e">
        <f aca="false">IF(AND(I351=0,J351=0),H351,"NO")</f>
        <v>#N/A</v>
      </c>
      <c r="N351" s="1" t="n">
        <f aca="false">N350+1</f>
        <v>348</v>
      </c>
      <c r="O351" s="150" t="str">
        <f aca="false">IFERROR(VLOOKUP(N351,$K$4:$L$509,2,0),"")</f>
        <v/>
      </c>
    </row>
    <row r="352" customFormat="false" ht="14.25" hidden="false" customHeight="false" outlineLevel="0" collapsed="false">
      <c r="F352" s="1" t="e">
        <f aca="false">IF(OR(I352=1,J352=1),1,0)</f>
        <v>#N/A</v>
      </c>
      <c r="G352" s="1" t="e">
        <f aca="false">TEXT(H352,"DDD")</f>
        <v>#N/A</v>
      </c>
      <c r="H352" s="150" t="e">
        <f aca="false">IF(H351&gt;='Tallerdata.com'!$X$4,NA(),H351+1)</f>
        <v>#N/A</v>
      </c>
      <c r="I352" s="2" t="n">
        <f aca="false">IFERROR(IF(VLOOKUP(H352,$A$4:$A$33,1,0),1,0),0)</f>
        <v>0</v>
      </c>
      <c r="J352" s="2" t="e">
        <f aca="false">IF(AND($D$4=TRUE(),G352="Sáb"),1,IF(AND($D$5=TRUE(),G352="Dom"),1,0))</f>
        <v>#N/A</v>
      </c>
      <c r="K352" s="2" t="e">
        <f aca="false">IF(L352="No",K351,K351+1)</f>
        <v>#N/A</v>
      </c>
      <c r="L352" s="152" t="e">
        <f aca="false">IF(AND(I352=0,J352=0),H352,"NO")</f>
        <v>#N/A</v>
      </c>
      <c r="N352" s="1" t="n">
        <f aca="false">N351+1</f>
        <v>349</v>
      </c>
      <c r="O352" s="150" t="str">
        <f aca="false">IFERROR(VLOOKUP(N352,$K$4:$L$509,2,0),"")</f>
        <v/>
      </c>
    </row>
    <row r="353" customFormat="false" ht="14.25" hidden="false" customHeight="false" outlineLevel="0" collapsed="false">
      <c r="F353" s="1" t="e">
        <f aca="false">IF(OR(I353=1,J353=1),1,0)</f>
        <v>#N/A</v>
      </c>
      <c r="G353" s="1" t="e">
        <f aca="false">TEXT(H353,"DDD")</f>
        <v>#N/A</v>
      </c>
      <c r="H353" s="150" t="e">
        <f aca="false">IF(H352&gt;='Tallerdata.com'!$X$4,NA(),H352+1)</f>
        <v>#N/A</v>
      </c>
      <c r="I353" s="2" t="n">
        <f aca="false">IFERROR(IF(VLOOKUP(H353,$A$4:$A$33,1,0),1,0),0)</f>
        <v>0</v>
      </c>
      <c r="J353" s="2" t="e">
        <f aca="false">IF(AND($D$4=TRUE(),G353="Sáb"),1,IF(AND($D$5=TRUE(),G353="Dom"),1,0))</f>
        <v>#N/A</v>
      </c>
      <c r="K353" s="2" t="e">
        <f aca="false">IF(L353="No",K352,K352+1)</f>
        <v>#N/A</v>
      </c>
      <c r="L353" s="152" t="e">
        <f aca="false">IF(AND(I353=0,J353=0),H353,"NO")</f>
        <v>#N/A</v>
      </c>
      <c r="N353" s="1" t="n">
        <f aca="false">N352+1</f>
        <v>350</v>
      </c>
      <c r="O353" s="150" t="str">
        <f aca="false">IFERROR(VLOOKUP(N353,$K$4:$L$509,2,0),"")</f>
        <v/>
      </c>
    </row>
    <row r="354" customFormat="false" ht="14.25" hidden="false" customHeight="false" outlineLevel="0" collapsed="false">
      <c r="F354" s="1" t="e">
        <f aca="false">IF(OR(I354=1,J354=1),1,0)</f>
        <v>#N/A</v>
      </c>
      <c r="G354" s="1" t="e">
        <f aca="false">TEXT(H354,"DDD")</f>
        <v>#N/A</v>
      </c>
      <c r="H354" s="150" t="e">
        <f aca="false">IF(H353&gt;='Tallerdata.com'!$X$4,NA(),H353+1)</f>
        <v>#N/A</v>
      </c>
      <c r="I354" s="2" t="n">
        <f aca="false">IFERROR(IF(VLOOKUP(H354,$A$4:$A$33,1,0),1,0),0)</f>
        <v>0</v>
      </c>
      <c r="J354" s="2" t="e">
        <f aca="false">IF(AND($D$4=TRUE(),G354="Sáb"),1,IF(AND($D$5=TRUE(),G354="Dom"),1,0))</f>
        <v>#N/A</v>
      </c>
      <c r="K354" s="2" t="e">
        <f aca="false">IF(L354="No",K353,K353+1)</f>
        <v>#N/A</v>
      </c>
      <c r="L354" s="152" t="e">
        <f aca="false">IF(AND(I354=0,J354=0),H354,"NO")</f>
        <v>#N/A</v>
      </c>
      <c r="N354" s="1" t="n">
        <f aca="false">N353+1</f>
        <v>351</v>
      </c>
      <c r="O354" s="150" t="str">
        <f aca="false">IFERROR(VLOOKUP(N354,$K$4:$L$509,2,0),"")</f>
        <v/>
      </c>
    </row>
    <row r="355" customFormat="false" ht="14.25" hidden="false" customHeight="false" outlineLevel="0" collapsed="false">
      <c r="F355" s="1" t="e">
        <f aca="false">IF(OR(I355=1,J355=1),1,0)</f>
        <v>#N/A</v>
      </c>
      <c r="G355" s="1" t="e">
        <f aca="false">TEXT(H355,"DDD")</f>
        <v>#N/A</v>
      </c>
      <c r="H355" s="150" t="e">
        <f aca="false">IF(H354&gt;='Tallerdata.com'!$X$4,NA(),H354+1)</f>
        <v>#N/A</v>
      </c>
      <c r="I355" s="2" t="n">
        <f aca="false">IFERROR(IF(VLOOKUP(H355,$A$4:$A$33,1,0),1,0),0)</f>
        <v>0</v>
      </c>
      <c r="J355" s="2" t="e">
        <f aca="false">IF(AND($D$4=TRUE(),G355="Sáb"),1,IF(AND($D$5=TRUE(),G355="Dom"),1,0))</f>
        <v>#N/A</v>
      </c>
      <c r="K355" s="2" t="e">
        <f aca="false">IF(L355="No",K354,K354+1)</f>
        <v>#N/A</v>
      </c>
      <c r="L355" s="152" t="e">
        <f aca="false">IF(AND(I355=0,J355=0),H355,"NO")</f>
        <v>#N/A</v>
      </c>
      <c r="N355" s="1" t="n">
        <f aca="false">N354+1</f>
        <v>352</v>
      </c>
      <c r="O355" s="150" t="str">
        <f aca="false">IFERROR(VLOOKUP(N355,$K$4:$L$509,2,0),"")</f>
        <v/>
      </c>
    </row>
    <row r="356" customFormat="false" ht="14.25" hidden="false" customHeight="false" outlineLevel="0" collapsed="false">
      <c r="F356" s="1" t="e">
        <f aca="false">IF(OR(I356=1,J356=1),1,0)</f>
        <v>#N/A</v>
      </c>
      <c r="G356" s="1" t="e">
        <f aca="false">TEXT(H356,"DDD")</f>
        <v>#N/A</v>
      </c>
      <c r="H356" s="150" t="e">
        <f aca="false">IF(H355&gt;='Tallerdata.com'!$X$4,NA(),H355+1)</f>
        <v>#N/A</v>
      </c>
      <c r="I356" s="2" t="n">
        <f aca="false">IFERROR(IF(VLOOKUP(H356,$A$4:$A$33,1,0),1,0),0)</f>
        <v>0</v>
      </c>
      <c r="J356" s="2" t="e">
        <f aca="false">IF(AND($D$4=TRUE(),G356="Sáb"),1,IF(AND($D$5=TRUE(),G356="Dom"),1,0))</f>
        <v>#N/A</v>
      </c>
      <c r="K356" s="2" t="e">
        <f aca="false">IF(L356="No",K355,K355+1)</f>
        <v>#N/A</v>
      </c>
      <c r="L356" s="152" t="e">
        <f aca="false">IF(AND(I356=0,J356=0),H356,"NO")</f>
        <v>#N/A</v>
      </c>
      <c r="N356" s="1" t="n">
        <f aca="false">N355+1</f>
        <v>353</v>
      </c>
      <c r="O356" s="150" t="str">
        <f aca="false">IFERROR(VLOOKUP(N356,$K$4:$L$509,2,0),"")</f>
        <v/>
      </c>
    </row>
    <row r="357" customFormat="false" ht="14.25" hidden="false" customHeight="false" outlineLevel="0" collapsed="false">
      <c r="F357" s="1" t="e">
        <f aca="false">IF(OR(I357=1,J357=1),1,0)</f>
        <v>#N/A</v>
      </c>
      <c r="G357" s="1" t="e">
        <f aca="false">TEXT(H357,"DDD")</f>
        <v>#N/A</v>
      </c>
      <c r="H357" s="150" t="e">
        <f aca="false">IF(H356&gt;='Tallerdata.com'!$X$4,NA(),H356+1)</f>
        <v>#N/A</v>
      </c>
      <c r="I357" s="2" t="n">
        <f aca="false">IFERROR(IF(VLOOKUP(H357,$A$4:$A$33,1,0),1,0),0)</f>
        <v>0</v>
      </c>
      <c r="J357" s="2" t="e">
        <f aca="false">IF(AND($D$4=TRUE(),G357="Sáb"),1,IF(AND($D$5=TRUE(),G357="Dom"),1,0))</f>
        <v>#N/A</v>
      </c>
      <c r="K357" s="2" t="e">
        <f aca="false">IF(L357="No",K356,K356+1)</f>
        <v>#N/A</v>
      </c>
      <c r="L357" s="152" t="e">
        <f aca="false">IF(AND(I357=0,J357=0),H357,"NO")</f>
        <v>#N/A</v>
      </c>
      <c r="N357" s="1" t="n">
        <f aca="false">N356+1</f>
        <v>354</v>
      </c>
      <c r="O357" s="150" t="str">
        <f aca="false">IFERROR(VLOOKUP(N357,$K$4:$L$509,2,0),"")</f>
        <v/>
      </c>
    </row>
    <row r="358" customFormat="false" ht="14.25" hidden="false" customHeight="false" outlineLevel="0" collapsed="false">
      <c r="F358" s="1" t="e">
        <f aca="false">IF(OR(I358=1,J358=1),1,0)</f>
        <v>#N/A</v>
      </c>
      <c r="G358" s="1" t="e">
        <f aca="false">TEXT(H358,"DDD")</f>
        <v>#N/A</v>
      </c>
      <c r="H358" s="150" t="e">
        <f aca="false">IF(H357&gt;='Tallerdata.com'!$X$4,NA(),H357+1)</f>
        <v>#N/A</v>
      </c>
      <c r="I358" s="2" t="n">
        <f aca="false">IFERROR(IF(VLOOKUP(H358,$A$4:$A$33,1,0),1,0),0)</f>
        <v>0</v>
      </c>
      <c r="J358" s="2" t="e">
        <f aca="false">IF(AND($D$4=TRUE(),G358="Sáb"),1,IF(AND($D$5=TRUE(),G358="Dom"),1,0))</f>
        <v>#N/A</v>
      </c>
      <c r="K358" s="2" t="e">
        <f aca="false">IF(L358="No",K357,K357+1)</f>
        <v>#N/A</v>
      </c>
      <c r="L358" s="152" t="e">
        <f aca="false">IF(AND(I358=0,J358=0),H358,"NO")</f>
        <v>#N/A</v>
      </c>
      <c r="N358" s="1" t="n">
        <f aca="false">N357+1</f>
        <v>355</v>
      </c>
      <c r="O358" s="150" t="str">
        <f aca="false">IFERROR(VLOOKUP(N358,$K$4:$L$509,2,0),"")</f>
        <v/>
      </c>
    </row>
    <row r="359" customFormat="false" ht="14.25" hidden="false" customHeight="false" outlineLevel="0" collapsed="false">
      <c r="F359" s="1" t="e">
        <f aca="false">IF(OR(I359=1,J359=1),1,0)</f>
        <v>#N/A</v>
      </c>
      <c r="G359" s="1" t="e">
        <f aca="false">TEXT(H359,"DDD")</f>
        <v>#N/A</v>
      </c>
      <c r="H359" s="150" t="e">
        <f aca="false">IF(H358&gt;='Tallerdata.com'!$X$4,NA(),H358+1)</f>
        <v>#N/A</v>
      </c>
      <c r="I359" s="2" t="n">
        <f aca="false">IFERROR(IF(VLOOKUP(H359,$A$4:$A$33,1,0),1,0),0)</f>
        <v>0</v>
      </c>
      <c r="J359" s="2" t="e">
        <f aca="false">IF(AND($D$4=TRUE(),G359="Sáb"),1,IF(AND($D$5=TRUE(),G359="Dom"),1,0))</f>
        <v>#N/A</v>
      </c>
      <c r="K359" s="2" t="e">
        <f aca="false">IF(L359="No",K358,K358+1)</f>
        <v>#N/A</v>
      </c>
      <c r="L359" s="152" t="e">
        <f aca="false">IF(AND(I359=0,J359=0),H359,"NO")</f>
        <v>#N/A</v>
      </c>
      <c r="N359" s="1" t="n">
        <f aca="false">N358+1</f>
        <v>356</v>
      </c>
      <c r="O359" s="150" t="str">
        <f aca="false">IFERROR(VLOOKUP(N359,$K$4:$L$509,2,0),"")</f>
        <v/>
      </c>
    </row>
    <row r="360" customFormat="false" ht="14.25" hidden="false" customHeight="false" outlineLevel="0" collapsed="false">
      <c r="F360" s="1" t="e">
        <f aca="false">IF(OR(I360=1,J360=1),1,0)</f>
        <v>#N/A</v>
      </c>
      <c r="G360" s="1" t="e">
        <f aca="false">TEXT(H360,"DDD")</f>
        <v>#N/A</v>
      </c>
      <c r="H360" s="150" t="e">
        <f aca="false">IF(H359&gt;='Tallerdata.com'!$X$4,NA(),H359+1)</f>
        <v>#N/A</v>
      </c>
      <c r="I360" s="2" t="n">
        <f aca="false">IFERROR(IF(VLOOKUP(H360,$A$4:$A$33,1,0),1,0),0)</f>
        <v>0</v>
      </c>
      <c r="J360" s="2" t="e">
        <f aca="false">IF(AND($D$4=TRUE(),G360="Sáb"),1,IF(AND($D$5=TRUE(),G360="Dom"),1,0))</f>
        <v>#N/A</v>
      </c>
      <c r="K360" s="2" t="e">
        <f aca="false">IF(L360="No",K359,K359+1)</f>
        <v>#N/A</v>
      </c>
      <c r="L360" s="152" t="e">
        <f aca="false">IF(AND(I360=0,J360=0),H360,"NO")</f>
        <v>#N/A</v>
      </c>
      <c r="N360" s="1" t="n">
        <f aca="false">N359+1</f>
        <v>357</v>
      </c>
      <c r="O360" s="150" t="str">
        <f aca="false">IFERROR(VLOOKUP(N360,$K$4:$L$509,2,0),"")</f>
        <v/>
      </c>
    </row>
    <row r="361" customFormat="false" ht="14.25" hidden="false" customHeight="false" outlineLevel="0" collapsed="false">
      <c r="F361" s="1" t="e">
        <f aca="false">IF(OR(I361=1,J361=1),1,0)</f>
        <v>#N/A</v>
      </c>
      <c r="G361" s="1" t="e">
        <f aca="false">TEXT(H361,"DDD")</f>
        <v>#N/A</v>
      </c>
      <c r="H361" s="150" t="e">
        <f aca="false">IF(H360&gt;='Tallerdata.com'!$X$4,NA(),H360+1)</f>
        <v>#N/A</v>
      </c>
      <c r="I361" s="2" t="n">
        <f aca="false">IFERROR(IF(VLOOKUP(H361,$A$4:$A$33,1,0),1,0),0)</f>
        <v>0</v>
      </c>
      <c r="J361" s="2" t="e">
        <f aca="false">IF(AND($D$4=TRUE(),G361="Sáb"),1,IF(AND($D$5=TRUE(),G361="Dom"),1,0))</f>
        <v>#N/A</v>
      </c>
      <c r="K361" s="2" t="e">
        <f aca="false">IF(L361="No",K360,K360+1)</f>
        <v>#N/A</v>
      </c>
      <c r="L361" s="152" t="e">
        <f aca="false">IF(AND(I361=0,J361=0),H361,"NO")</f>
        <v>#N/A</v>
      </c>
      <c r="N361" s="1" t="n">
        <f aca="false">N360+1</f>
        <v>358</v>
      </c>
      <c r="O361" s="150" t="str">
        <f aca="false">IFERROR(VLOOKUP(N361,$K$4:$L$509,2,0),"")</f>
        <v/>
      </c>
    </row>
    <row r="362" customFormat="false" ht="14.25" hidden="false" customHeight="false" outlineLevel="0" collapsed="false">
      <c r="F362" s="1" t="e">
        <f aca="false">IF(OR(I362=1,J362=1),1,0)</f>
        <v>#N/A</v>
      </c>
      <c r="G362" s="1" t="e">
        <f aca="false">TEXT(H362,"DDD")</f>
        <v>#N/A</v>
      </c>
      <c r="H362" s="150" t="e">
        <f aca="false">IF(H361&gt;='Tallerdata.com'!$X$4,NA(),H361+1)</f>
        <v>#N/A</v>
      </c>
      <c r="I362" s="2" t="n">
        <f aca="false">IFERROR(IF(VLOOKUP(H362,$A$4:$A$33,1,0),1,0),0)</f>
        <v>0</v>
      </c>
      <c r="J362" s="2" t="e">
        <f aca="false">IF(AND($D$4=TRUE(),G362="Sáb"),1,IF(AND($D$5=TRUE(),G362="Dom"),1,0))</f>
        <v>#N/A</v>
      </c>
      <c r="K362" s="2" t="e">
        <f aca="false">IF(L362="No",K361,K361+1)</f>
        <v>#N/A</v>
      </c>
      <c r="L362" s="152" t="e">
        <f aca="false">IF(AND(I362=0,J362=0),H362,"NO")</f>
        <v>#N/A</v>
      </c>
      <c r="N362" s="1" t="n">
        <f aca="false">N361+1</f>
        <v>359</v>
      </c>
      <c r="O362" s="150" t="str">
        <f aca="false">IFERROR(VLOOKUP(N362,$K$4:$L$509,2,0),"")</f>
        <v/>
      </c>
    </row>
    <row r="363" customFormat="false" ht="14.25" hidden="false" customHeight="false" outlineLevel="0" collapsed="false">
      <c r="F363" s="1" t="e">
        <f aca="false">IF(OR(I363=1,J363=1),1,0)</f>
        <v>#N/A</v>
      </c>
      <c r="G363" s="1" t="e">
        <f aca="false">TEXT(H363,"DDD")</f>
        <v>#N/A</v>
      </c>
      <c r="H363" s="150" t="e">
        <f aca="false">IF(H362&gt;='Tallerdata.com'!$X$4,NA(),H362+1)</f>
        <v>#N/A</v>
      </c>
      <c r="I363" s="2" t="n">
        <f aca="false">IFERROR(IF(VLOOKUP(H363,$A$4:$A$33,1,0),1,0),0)</f>
        <v>0</v>
      </c>
      <c r="J363" s="2" t="e">
        <f aca="false">IF(AND($D$4=TRUE(),G363="Sáb"),1,IF(AND($D$5=TRUE(),G363="Dom"),1,0))</f>
        <v>#N/A</v>
      </c>
      <c r="K363" s="2" t="e">
        <f aca="false">IF(L363="No",K362,K362+1)</f>
        <v>#N/A</v>
      </c>
      <c r="L363" s="152" t="e">
        <f aca="false">IF(AND(I363=0,J363=0),H363,"NO")</f>
        <v>#N/A</v>
      </c>
      <c r="N363" s="1" t="n">
        <f aca="false">N362+1</f>
        <v>360</v>
      </c>
      <c r="O363" s="150" t="str">
        <f aca="false">IFERROR(VLOOKUP(N363,$K$4:$L$509,2,0),"")</f>
        <v/>
      </c>
    </row>
    <row r="364" customFormat="false" ht="14.25" hidden="false" customHeight="false" outlineLevel="0" collapsed="false">
      <c r="F364" s="1" t="e">
        <f aca="false">IF(OR(I364=1,J364=1),1,0)</f>
        <v>#N/A</v>
      </c>
      <c r="G364" s="1" t="e">
        <f aca="false">TEXT(H364,"DDD")</f>
        <v>#N/A</v>
      </c>
      <c r="H364" s="150" t="e">
        <f aca="false">IF(H363&gt;='Tallerdata.com'!$X$4,NA(),H363+1)</f>
        <v>#N/A</v>
      </c>
      <c r="I364" s="2" t="n">
        <f aca="false">IFERROR(IF(VLOOKUP(H364,$A$4:$A$33,1,0),1,0),0)</f>
        <v>0</v>
      </c>
      <c r="J364" s="2" t="e">
        <f aca="false">IF(AND($D$4=TRUE(),G364="Sáb"),1,IF(AND($D$5=TRUE(),G364="Dom"),1,0))</f>
        <v>#N/A</v>
      </c>
      <c r="K364" s="2" t="e">
        <f aca="false">IF(L364="No",K363,K363+1)</f>
        <v>#N/A</v>
      </c>
      <c r="L364" s="152" t="e">
        <f aca="false">IF(AND(I364=0,J364=0),H364,"NO")</f>
        <v>#N/A</v>
      </c>
      <c r="N364" s="1" t="n">
        <f aca="false">N363+1</f>
        <v>361</v>
      </c>
      <c r="O364" s="150" t="str">
        <f aca="false">IFERROR(VLOOKUP(N364,$K$4:$L$509,2,0),"")</f>
        <v/>
      </c>
    </row>
    <row r="365" customFormat="false" ht="14.25" hidden="false" customHeight="false" outlineLevel="0" collapsed="false">
      <c r="F365" s="1" t="e">
        <f aca="false">IF(OR(I365=1,J365=1),1,0)</f>
        <v>#N/A</v>
      </c>
      <c r="G365" s="1" t="e">
        <f aca="false">TEXT(H365,"DDD")</f>
        <v>#N/A</v>
      </c>
      <c r="H365" s="150" t="e">
        <f aca="false">IF(H364&gt;='Tallerdata.com'!$X$4,NA(),H364+1)</f>
        <v>#N/A</v>
      </c>
      <c r="I365" s="2" t="n">
        <f aca="false">IFERROR(IF(VLOOKUP(H365,$A$4:$A$33,1,0),1,0),0)</f>
        <v>0</v>
      </c>
      <c r="J365" s="2" t="e">
        <f aca="false">IF(AND($D$4=TRUE(),G365="Sáb"),1,IF(AND($D$5=TRUE(),G365="Dom"),1,0))</f>
        <v>#N/A</v>
      </c>
      <c r="K365" s="2" t="e">
        <f aca="false">IF(L365="No",K364,K364+1)</f>
        <v>#N/A</v>
      </c>
      <c r="L365" s="152" t="e">
        <f aca="false">IF(AND(I365=0,J365=0),H365,"NO")</f>
        <v>#N/A</v>
      </c>
      <c r="N365" s="1" t="n">
        <f aca="false">N364+1</f>
        <v>362</v>
      </c>
      <c r="O365" s="150" t="str">
        <f aca="false">IFERROR(VLOOKUP(N365,$K$4:$L$509,2,0),"")</f>
        <v/>
      </c>
    </row>
    <row r="366" customFormat="false" ht="14.25" hidden="false" customHeight="false" outlineLevel="0" collapsed="false">
      <c r="F366" s="1" t="e">
        <f aca="false">IF(OR(I366=1,J366=1),1,0)</f>
        <v>#N/A</v>
      </c>
      <c r="G366" s="1" t="e">
        <f aca="false">TEXT(H366,"DDD")</f>
        <v>#N/A</v>
      </c>
      <c r="H366" s="150" t="e">
        <f aca="false">IF(H365&gt;='Tallerdata.com'!$X$4,NA(),H365+1)</f>
        <v>#N/A</v>
      </c>
      <c r="I366" s="2" t="n">
        <f aca="false">IFERROR(IF(VLOOKUP(H366,$A$4:$A$33,1,0),1,0),0)</f>
        <v>0</v>
      </c>
      <c r="J366" s="2" t="e">
        <f aca="false">IF(AND($D$4=TRUE(),G366="Sáb"),1,IF(AND($D$5=TRUE(),G366="Dom"),1,0))</f>
        <v>#N/A</v>
      </c>
      <c r="K366" s="2" t="e">
        <f aca="false">IF(L366="No",K365,K365+1)</f>
        <v>#N/A</v>
      </c>
      <c r="L366" s="152" t="e">
        <f aca="false">IF(AND(I366=0,J366=0),H366,"NO")</f>
        <v>#N/A</v>
      </c>
      <c r="N366" s="1" t="n">
        <f aca="false">N365+1</f>
        <v>363</v>
      </c>
      <c r="O366" s="150" t="str">
        <f aca="false">IFERROR(VLOOKUP(N366,$K$4:$L$509,2,0),"")</f>
        <v/>
      </c>
    </row>
    <row r="367" customFormat="false" ht="14.25" hidden="false" customHeight="false" outlineLevel="0" collapsed="false">
      <c r="F367" s="1" t="e">
        <f aca="false">IF(OR(I367=1,J367=1),1,0)</f>
        <v>#N/A</v>
      </c>
      <c r="G367" s="1" t="e">
        <f aca="false">TEXT(H367,"DDD")</f>
        <v>#N/A</v>
      </c>
      <c r="H367" s="150" t="e">
        <f aca="false">IF(H366&gt;='Tallerdata.com'!$X$4,NA(),H366+1)</f>
        <v>#N/A</v>
      </c>
      <c r="I367" s="2" t="n">
        <f aca="false">IFERROR(IF(VLOOKUP(H367,$A$4:$A$33,1,0),1,0),0)</f>
        <v>0</v>
      </c>
      <c r="J367" s="2" t="e">
        <f aca="false">IF(AND($D$4=TRUE(),G367="Sáb"),1,IF(AND($D$5=TRUE(),G367="Dom"),1,0))</f>
        <v>#N/A</v>
      </c>
      <c r="K367" s="2" t="e">
        <f aca="false">IF(L367="No",K366,K366+1)</f>
        <v>#N/A</v>
      </c>
      <c r="L367" s="152" t="e">
        <f aca="false">IF(AND(I367=0,J367=0),H367,"NO")</f>
        <v>#N/A</v>
      </c>
      <c r="N367" s="1" t="n">
        <f aca="false">N366+1</f>
        <v>364</v>
      </c>
      <c r="O367" s="150" t="str">
        <f aca="false">IFERROR(VLOOKUP(N367,$K$4:$L$509,2,0),"")</f>
        <v/>
      </c>
    </row>
    <row r="368" customFormat="false" ht="14.25" hidden="false" customHeight="false" outlineLevel="0" collapsed="false">
      <c r="F368" s="1" t="e">
        <f aca="false">IF(OR(I368=1,J368=1),1,0)</f>
        <v>#N/A</v>
      </c>
      <c r="G368" s="1" t="e">
        <f aca="false">TEXT(H368,"DDD")</f>
        <v>#N/A</v>
      </c>
      <c r="H368" s="150" t="e">
        <f aca="false">IF(H367&gt;='Tallerdata.com'!$X$4,NA(),H367+1)</f>
        <v>#N/A</v>
      </c>
      <c r="I368" s="2" t="n">
        <f aca="false">IFERROR(IF(VLOOKUP(H368,$A$4:$A$33,1,0),1,0),0)</f>
        <v>0</v>
      </c>
      <c r="J368" s="2" t="e">
        <f aca="false">IF(AND($D$4=TRUE(),G368="Sáb"),1,IF(AND($D$5=TRUE(),G368="Dom"),1,0))</f>
        <v>#N/A</v>
      </c>
      <c r="K368" s="2" t="e">
        <f aca="false">IF(L368="No",K367,K367+1)</f>
        <v>#N/A</v>
      </c>
      <c r="L368" s="152" t="e">
        <f aca="false">IF(AND(I368=0,J368=0),H368,"NO")</f>
        <v>#N/A</v>
      </c>
      <c r="N368" s="1" t="n">
        <f aca="false">N367+1</f>
        <v>365</v>
      </c>
      <c r="O368" s="150" t="str">
        <f aca="false">IFERROR(VLOOKUP(N368,$K$4:$L$509,2,0),"")</f>
        <v/>
      </c>
    </row>
    <row r="369" customFormat="false" ht="14.25" hidden="false" customHeight="false" outlineLevel="0" collapsed="false">
      <c r="F369" s="1" t="e">
        <f aca="false">IF(OR(I369=1,J369=1),1,0)</f>
        <v>#N/A</v>
      </c>
      <c r="G369" s="1" t="e">
        <f aca="false">TEXT(H369,"DDD")</f>
        <v>#N/A</v>
      </c>
      <c r="H369" s="150" t="e">
        <f aca="false">IF(H368&gt;='Tallerdata.com'!$X$4,NA(),H368+1)</f>
        <v>#N/A</v>
      </c>
      <c r="I369" s="2" t="n">
        <f aca="false">IFERROR(IF(VLOOKUP(H369,$A$4:$A$33,1,0),1,0),0)</f>
        <v>0</v>
      </c>
      <c r="J369" s="2" t="e">
        <f aca="false">IF(AND($D$4=TRUE(),G369="Sáb"),1,IF(AND($D$5=TRUE(),G369="Dom"),1,0))</f>
        <v>#N/A</v>
      </c>
      <c r="K369" s="2" t="e">
        <f aca="false">IF(L369="No",K368,K368+1)</f>
        <v>#N/A</v>
      </c>
      <c r="L369" s="152" t="e">
        <f aca="false">IF(AND(I369=0,J369=0),H369,"NO")</f>
        <v>#N/A</v>
      </c>
      <c r="N369" s="1" t="n">
        <f aca="false">N368+1</f>
        <v>366</v>
      </c>
      <c r="O369" s="150" t="str">
        <f aca="false">IFERROR(VLOOKUP(N369,$K$4:$L$509,2,0),"")</f>
        <v/>
      </c>
    </row>
    <row r="370" customFormat="false" ht="14.25" hidden="false" customHeight="false" outlineLevel="0" collapsed="false">
      <c r="F370" s="1" t="e">
        <f aca="false">IF(OR(I370=1,J370=1),1,0)</f>
        <v>#N/A</v>
      </c>
      <c r="G370" s="1" t="e">
        <f aca="false">TEXT(H370,"DDD")</f>
        <v>#N/A</v>
      </c>
      <c r="H370" s="150" t="e">
        <f aca="false">IF(H369&gt;='Tallerdata.com'!$X$4,NA(),H369+1)</f>
        <v>#N/A</v>
      </c>
      <c r="I370" s="2" t="n">
        <f aca="false">IFERROR(IF(VLOOKUP(H370,$A$4:$A$33,1,0),1,0),0)</f>
        <v>0</v>
      </c>
      <c r="J370" s="2" t="e">
        <f aca="false">IF(AND($D$4=TRUE(),G370="Sáb"),1,IF(AND($D$5=TRUE(),G370="Dom"),1,0))</f>
        <v>#N/A</v>
      </c>
      <c r="K370" s="2" t="e">
        <f aca="false">IF(L370="No",K369,K369+1)</f>
        <v>#N/A</v>
      </c>
      <c r="L370" s="152" t="e">
        <f aca="false">IF(AND(I370=0,J370=0),H370,"NO")</f>
        <v>#N/A</v>
      </c>
      <c r="N370" s="1" t="n">
        <f aca="false">N369+1</f>
        <v>367</v>
      </c>
      <c r="O370" s="150" t="str">
        <f aca="false">IFERROR(VLOOKUP(N370,$K$4:$L$509,2,0),"")</f>
        <v/>
      </c>
    </row>
    <row r="371" customFormat="false" ht="14.25" hidden="false" customHeight="false" outlineLevel="0" collapsed="false">
      <c r="F371" s="1" t="e">
        <f aca="false">IF(OR(I371=1,J371=1),1,0)</f>
        <v>#N/A</v>
      </c>
      <c r="G371" s="1" t="e">
        <f aca="false">TEXT(H371,"DDD")</f>
        <v>#N/A</v>
      </c>
      <c r="H371" s="150" t="e">
        <f aca="false">IF(H370&gt;='Tallerdata.com'!$X$4,NA(),H370+1)</f>
        <v>#N/A</v>
      </c>
      <c r="I371" s="2" t="n">
        <f aca="false">IFERROR(IF(VLOOKUP(H371,$A$4:$A$33,1,0),1,0),0)</f>
        <v>0</v>
      </c>
      <c r="J371" s="2" t="e">
        <f aca="false">IF(AND($D$4=TRUE(),G371="Sáb"),1,IF(AND($D$5=TRUE(),G371="Dom"),1,0))</f>
        <v>#N/A</v>
      </c>
      <c r="K371" s="2" t="e">
        <f aca="false">IF(L371="No",K370,K370+1)</f>
        <v>#N/A</v>
      </c>
      <c r="L371" s="152" t="e">
        <f aca="false">IF(AND(I371=0,J371=0),H371,"NO")</f>
        <v>#N/A</v>
      </c>
      <c r="N371" s="1" t="n">
        <f aca="false">N370+1</f>
        <v>368</v>
      </c>
      <c r="O371" s="150" t="str">
        <f aca="false">IFERROR(VLOOKUP(N371,$K$4:$L$509,2,0),"")</f>
        <v/>
      </c>
    </row>
    <row r="372" customFormat="false" ht="14.25" hidden="false" customHeight="false" outlineLevel="0" collapsed="false">
      <c r="F372" s="1" t="e">
        <f aca="false">IF(OR(I372=1,J372=1),1,0)</f>
        <v>#N/A</v>
      </c>
      <c r="G372" s="1" t="e">
        <f aca="false">TEXT(H372,"DDD")</f>
        <v>#N/A</v>
      </c>
      <c r="H372" s="150" t="e">
        <f aca="false">IF(H371&gt;='Tallerdata.com'!$X$4,NA(),H371+1)</f>
        <v>#N/A</v>
      </c>
      <c r="I372" s="2" t="n">
        <f aca="false">IFERROR(IF(VLOOKUP(H372,$A$4:$A$33,1,0),1,0),0)</f>
        <v>0</v>
      </c>
      <c r="J372" s="2" t="e">
        <f aca="false">IF(AND($D$4=TRUE(),G372="Sáb"),1,IF(AND($D$5=TRUE(),G372="Dom"),1,0))</f>
        <v>#N/A</v>
      </c>
      <c r="K372" s="2" t="e">
        <f aca="false">IF(L372="No",K371,K371+1)</f>
        <v>#N/A</v>
      </c>
      <c r="L372" s="152" t="e">
        <f aca="false">IF(AND(I372=0,J372=0),H372,"NO")</f>
        <v>#N/A</v>
      </c>
      <c r="N372" s="1" t="n">
        <f aca="false">N371+1</f>
        <v>369</v>
      </c>
      <c r="O372" s="150" t="str">
        <f aca="false">IFERROR(VLOOKUP(N372,$K$4:$L$509,2,0),"")</f>
        <v/>
      </c>
    </row>
    <row r="373" customFormat="false" ht="14.25" hidden="false" customHeight="false" outlineLevel="0" collapsed="false">
      <c r="F373" s="1" t="e">
        <f aca="false">IF(OR(I373=1,J373=1),1,0)</f>
        <v>#N/A</v>
      </c>
      <c r="G373" s="1" t="e">
        <f aca="false">TEXT(H373,"DDD")</f>
        <v>#N/A</v>
      </c>
      <c r="H373" s="150" t="e">
        <f aca="false">IF(H372&gt;='Tallerdata.com'!$X$4,NA(),H372+1)</f>
        <v>#N/A</v>
      </c>
      <c r="I373" s="2" t="n">
        <f aca="false">IFERROR(IF(VLOOKUP(H373,$A$4:$A$33,1,0),1,0),0)</f>
        <v>0</v>
      </c>
      <c r="J373" s="2" t="e">
        <f aca="false">IF(AND($D$4=TRUE(),G373="Sáb"),1,IF(AND($D$5=TRUE(),G373="Dom"),1,0))</f>
        <v>#N/A</v>
      </c>
      <c r="K373" s="2" t="e">
        <f aca="false">IF(L373="No",K372,K372+1)</f>
        <v>#N/A</v>
      </c>
      <c r="L373" s="152" t="e">
        <f aca="false">IF(AND(I373=0,J373=0),H373,"NO")</f>
        <v>#N/A</v>
      </c>
      <c r="N373" s="1" t="n">
        <f aca="false">N372+1</f>
        <v>370</v>
      </c>
      <c r="O373" s="150" t="str">
        <f aca="false">IFERROR(VLOOKUP(N373,$K$4:$L$509,2,0),"")</f>
        <v/>
      </c>
    </row>
    <row r="374" customFormat="false" ht="14.25" hidden="false" customHeight="false" outlineLevel="0" collapsed="false">
      <c r="F374" s="1" t="e">
        <f aca="false">IF(OR(I374=1,J374=1),1,0)</f>
        <v>#N/A</v>
      </c>
      <c r="G374" s="1" t="e">
        <f aca="false">TEXT(H374,"DDD")</f>
        <v>#N/A</v>
      </c>
      <c r="H374" s="150" t="e">
        <f aca="false">IF(H373&gt;='Tallerdata.com'!$X$4,NA(),H373+1)</f>
        <v>#N/A</v>
      </c>
      <c r="I374" s="2" t="n">
        <f aca="false">IFERROR(IF(VLOOKUP(H374,$A$4:$A$33,1,0),1,0),0)</f>
        <v>0</v>
      </c>
      <c r="J374" s="2" t="e">
        <f aca="false">IF(AND($D$4=TRUE(),G374="Sáb"),1,IF(AND($D$5=TRUE(),G374="Dom"),1,0))</f>
        <v>#N/A</v>
      </c>
      <c r="K374" s="2" t="e">
        <f aca="false">IF(L374="No",K373,K373+1)</f>
        <v>#N/A</v>
      </c>
      <c r="L374" s="152" t="e">
        <f aca="false">IF(AND(I374=0,J374=0),H374,"NO")</f>
        <v>#N/A</v>
      </c>
      <c r="N374" s="1" t="n">
        <f aca="false">N373+1</f>
        <v>371</v>
      </c>
      <c r="O374" s="150" t="str">
        <f aca="false">IFERROR(VLOOKUP(N374,$K$4:$L$509,2,0),"")</f>
        <v/>
      </c>
    </row>
    <row r="375" customFormat="false" ht="14.25" hidden="false" customHeight="false" outlineLevel="0" collapsed="false">
      <c r="F375" s="1" t="e">
        <f aca="false">IF(OR(I375=1,J375=1),1,0)</f>
        <v>#N/A</v>
      </c>
      <c r="G375" s="1" t="e">
        <f aca="false">TEXT(H375,"DDD")</f>
        <v>#N/A</v>
      </c>
      <c r="H375" s="150" t="e">
        <f aca="false">IF(H374&gt;='Tallerdata.com'!$X$4,NA(),H374+1)</f>
        <v>#N/A</v>
      </c>
      <c r="I375" s="2" t="n">
        <f aca="false">IFERROR(IF(VLOOKUP(H375,$A$4:$A$33,1,0),1,0),0)</f>
        <v>0</v>
      </c>
      <c r="J375" s="2" t="e">
        <f aca="false">IF(AND($D$4=TRUE(),G375="Sáb"),1,IF(AND($D$5=TRUE(),G375="Dom"),1,0))</f>
        <v>#N/A</v>
      </c>
      <c r="K375" s="2" t="e">
        <f aca="false">IF(L375="No",K374,K374+1)</f>
        <v>#N/A</v>
      </c>
      <c r="L375" s="152" t="e">
        <f aca="false">IF(AND(I375=0,J375=0),H375,"NO")</f>
        <v>#N/A</v>
      </c>
      <c r="N375" s="1" t="n">
        <f aca="false">N374+1</f>
        <v>372</v>
      </c>
      <c r="O375" s="150" t="str">
        <f aca="false">IFERROR(VLOOKUP(N375,$K$4:$L$509,2,0),"")</f>
        <v/>
      </c>
    </row>
    <row r="376" customFormat="false" ht="14.25" hidden="false" customHeight="false" outlineLevel="0" collapsed="false">
      <c r="F376" s="1" t="e">
        <f aca="false">IF(OR(I376=1,J376=1),1,0)</f>
        <v>#N/A</v>
      </c>
      <c r="G376" s="1" t="e">
        <f aca="false">TEXT(H376,"DDD")</f>
        <v>#N/A</v>
      </c>
      <c r="H376" s="150" t="e">
        <f aca="false">IF(H375&gt;='Tallerdata.com'!$X$4,NA(),H375+1)</f>
        <v>#N/A</v>
      </c>
      <c r="I376" s="2" t="n">
        <f aca="false">IFERROR(IF(VLOOKUP(H376,$A$4:$A$33,1,0),1,0),0)</f>
        <v>0</v>
      </c>
      <c r="J376" s="2" t="e">
        <f aca="false">IF(AND($D$4=TRUE(),G376="Sáb"),1,IF(AND($D$5=TRUE(),G376="Dom"),1,0))</f>
        <v>#N/A</v>
      </c>
      <c r="K376" s="2" t="e">
        <f aca="false">IF(L376="No",K375,K375+1)</f>
        <v>#N/A</v>
      </c>
      <c r="L376" s="152" t="e">
        <f aca="false">IF(AND(I376=0,J376=0),H376,"NO")</f>
        <v>#N/A</v>
      </c>
      <c r="N376" s="1" t="n">
        <f aca="false">N375+1</f>
        <v>373</v>
      </c>
      <c r="O376" s="150" t="str">
        <f aca="false">IFERROR(VLOOKUP(N376,$K$4:$L$509,2,0),"")</f>
        <v/>
      </c>
    </row>
    <row r="377" customFormat="false" ht="14.25" hidden="false" customHeight="false" outlineLevel="0" collapsed="false">
      <c r="F377" s="1" t="e">
        <f aca="false">IF(OR(I377=1,J377=1),1,0)</f>
        <v>#N/A</v>
      </c>
      <c r="G377" s="1" t="e">
        <f aca="false">TEXT(H377,"DDD")</f>
        <v>#N/A</v>
      </c>
      <c r="H377" s="150" t="e">
        <f aca="false">IF(H376&gt;='Tallerdata.com'!$X$4,NA(),H376+1)</f>
        <v>#N/A</v>
      </c>
      <c r="I377" s="2" t="n">
        <f aca="false">IFERROR(IF(VLOOKUP(H377,$A$4:$A$33,1,0),1,0),0)</f>
        <v>0</v>
      </c>
      <c r="J377" s="2" t="e">
        <f aca="false">IF(AND($D$4=TRUE(),G377="Sáb"),1,IF(AND($D$5=TRUE(),G377="Dom"),1,0))</f>
        <v>#N/A</v>
      </c>
      <c r="K377" s="2" t="e">
        <f aca="false">IF(L377="No",K376,K376+1)</f>
        <v>#N/A</v>
      </c>
      <c r="L377" s="152" t="e">
        <f aca="false">IF(AND(I377=0,J377=0),H377,"NO")</f>
        <v>#N/A</v>
      </c>
      <c r="N377" s="1" t="n">
        <f aca="false">N376+1</f>
        <v>374</v>
      </c>
      <c r="O377" s="150" t="str">
        <f aca="false">IFERROR(VLOOKUP(N377,$K$4:$L$509,2,0),"")</f>
        <v/>
      </c>
    </row>
    <row r="378" customFormat="false" ht="14.25" hidden="false" customHeight="false" outlineLevel="0" collapsed="false">
      <c r="F378" s="1" t="e">
        <f aca="false">IF(OR(I378=1,J378=1),1,0)</f>
        <v>#N/A</v>
      </c>
      <c r="G378" s="1" t="e">
        <f aca="false">TEXT(H378,"DDD")</f>
        <v>#N/A</v>
      </c>
      <c r="H378" s="150" t="e">
        <f aca="false">IF(H377&gt;='Tallerdata.com'!$X$4,NA(),H377+1)</f>
        <v>#N/A</v>
      </c>
      <c r="I378" s="2" t="n">
        <f aca="false">IFERROR(IF(VLOOKUP(H378,$A$4:$A$33,1,0),1,0),0)</f>
        <v>0</v>
      </c>
      <c r="J378" s="2" t="e">
        <f aca="false">IF(AND($D$4=TRUE(),G378="Sáb"),1,IF(AND($D$5=TRUE(),G378="Dom"),1,0))</f>
        <v>#N/A</v>
      </c>
      <c r="K378" s="2" t="e">
        <f aca="false">IF(L378="No",K377,K377+1)</f>
        <v>#N/A</v>
      </c>
      <c r="L378" s="152" t="e">
        <f aca="false">IF(AND(I378=0,J378=0),H378,"NO")</f>
        <v>#N/A</v>
      </c>
      <c r="N378" s="1" t="n">
        <f aca="false">N377+1</f>
        <v>375</v>
      </c>
      <c r="O378" s="150" t="str">
        <f aca="false">IFERROR(VLOOKUP(N378,$K$4:$L$509,2,0),"")</f>
        <v/>
      </c>
    </row>
    <row r="379" customFormat="false" ht="14.25" hidden="false" customHeight="false" outlineLevel="0" collapsed="false">
      <c r="F379" s="1" t="e">
        <f aca="false">IF(OR(I379=1,J379=1),1,0)</f>
        <v>#N/A</v>
      </c>
      <c r="G379" s="1" t="e">
        <f aca="false">TEXT(H379,"DDD")</f>
        <v>#N/A</v>
      </c>
      <c r="H379" s="150" t="e">
        <f aca="false">IF(H378&gt;='Tallerdata.com'!$X$4,NA(),H378+1)</f>
        <v>#N/A</v>
      </c>
      <c r="I379" s="2" t="n">
        <f aca="false">IFERROR(IF(VLOOKUP(H379,$A$4:$A$33,1,0),1,0),0)</f>
        <v>0</v>
      </c>
      <c r="J379" s="2" t="e">
        <f aca="false">IF(AND($D$4=TRUE(),G379="Sáb"),1,IF(AND($D$5=TRUE(),G379="Dom"),1,0))</f>
        <v>#N/A</v>
      </c>
      <c r="K379" s="2" t="e">
        <f aca="false">IF(L379="No",K378,K378+1)</f>
        <v>#N/A</v>
      </c>
      <c r="L379" s="152" t="e">
        <f aca="false">IF(AND(I379=0,J379=0),H379,"NO")</f>
        <v>#N/A</v>
      </c>
      <c r="N379" s="1" t="n">
        <f aca="false">N378+1</f>
        <v>376</v>
      </c>
      <c r="O379" s="150" t="str">
        <f aca="false">IFERROR(VLOOKUP(N379,$K$4:$L$509,2,0),"")</f>
        <v/>
      </c>
    </row>
    <row r="380" customFormat="false" ht="14.25" hidden="false" customHeight="false" outlineLevel="0" collapsed="false">
      <c r="F380" s="1" t="e">
        <f aca="false">IF(OR(I380=1,J380=1),1,0)</f>
        <v>#N/A</v>
      </c>
      <c r="G380" s="1" t="e">
        <f aca="false">TEXT(H380,"DDD")</f>
        <v>#N/A</v>
      </c>
      <c r="H380" s="150" t="e">
        <f aca="false">IF(H379&gt;='Tallerdata.com'!$X$4,NA(),H379+1)</f>
        <v>#N/A</v>
      </c>
      <c r="I380" s="2" t="n">
        <f aca="false">IFERROR(IF(VLOOKUP(H380,$A$4:$A$33,1,0),1,0),0)</f>
        <v>0</v>
      </c>
      <c r="J380" s="2" t="e">
        <f aca="false">IF(AND($D$4=TRUE(),G380="Sáb"),1,IF(AND($D$5=TRUE(),G380="Dom"),1,0))</f>
        <v>#N/A</v>
      </c>
      <c r="K380" s="2" t="e">
        <f aca="false">IF(L380="No",K379,K379+1)</f>
        <v>#N/A</v>
      </c>
      <c r="L380" s="152" t="e">
        <f aca="false">IF(AND(I380=0,J380=0),H380,"NO")</f>
        <v>#N/A</v>
      </c>
      <c r="N380" s="1" t="n">
        <f aca="false">N379+1</f>
        <v>377</v>
      </c>
      <c r="O380" s="150" t="str">
        <f aca="false">IFERROR(VLOOKUP(N380,$K$4:$L$509,2,0),"")</f>
        <v/>
      </c>
    </row>
    <row r="381" customFormat="false" ht="14.25" hidden="false" customHeight="false" outlineLevel="0" collapsed="false">
      <c r="F381" s="1" t="e">
        <f aca="false">IF(OR(I381=1,J381=1),1,0)</f>
        <v>#N/A</v>
      </c>
      <c r="G381" s="1" t="e">
        <f aca="false">TEXT(H381,"DDD")</f>
        <v>#N/A</v>
      </c>
      <c r="H381" s="150" t="e">
        <f aca="false">IF(H380&gt;='Tallerdata.com'!$X$4,NA(),H380+1)</f>
        <v>#N/A</v>
      </c>
      <c r="I381" s="2" t="n">
        <f aca="false">IFERROR(IF(VLOOKUP(H381,$A$4:$A$33,1,0),1,0),0)</f>
        <v>0</v>
      </c>
      <c r="J381" s="2" t="e">
        <f aca="false">IF(AND($D$4=TRUE(),G381="Sáb"),1,IF(AND($D$5=TRUE(),G381="Dom"),1,0))</f>
        <v>#N/A</v>
      </c>
      <c r="K381" s="2" t="e">
        <f aca="false">IF(L381="No",K380,K380+1)</f>
        <v>#N/A</v>
      </c>
      <c r="L381" s="152" t="e">
        <f aca="false">IF(AND(I381=0,J381=0),H381,"NO")</f>
        <v>#N/A</v>
      </c>
      <c r="N381" s="1" t="n">
        <f aca="false">N380+1</f>
        <v>378</v>
      </c>
      <c r="O381" s="150" t="str">
        <f aca="false">IFERROR(VLOOKUP(N381,$K$4:$L$509,2,0),"")</f>
        <v/>
      </c>
    </row>
    <row r="382" customFormat="false" ht="14.25" hidden="false" customHeight="false" outlineLevel="0" collapsed="false">
      <c r="F382" s="1" t="e">
        <f aca="false">IF(OR(I382=1,J382=1),1,0)</f>
        <v>#N/A</v>
      </c>
      <c r="G382" s="1" t="e">
        <f aca="false">TEXT(H382,"DDD")</f>
        <v>#N/A</v>
      </c>
      <c r="H382" s="150" t="e">
        <f aca="false">IF(H381&gt;='Tallerdata.com'!$X$4,NA(),H381+1)</f>
        <v>#N/A</v>
      </c>
      <c r="I382" s="2" t="n">
        <f aca="false">IFERROR(IF(VLOOKUP(H382,$A$4:$A$33,1,0),1,0),0)</f>
        <v>0</v>
      </c>
      <c r="J382" s="2" t="e">
        <f aca="false">IF(AND($D$4=TRUE(),G382="Sáb"),1,IF(AND($D$5=TRUE(),G382="Dom"),1,0))</f>
        <v>#N/A</v>
      </c>
      <c r="K382" s="2" t="e">
        <f aca="false">IF(L382="No",K381,K381+1)</f>
        <v>#N/A</v>
      </c>
      <c r="L382" s="152" t="e">
        <f aca="false">IF(AND(I382=0,J382=0),H382,"NO")</f>
        <v>#N/A</v>
      </c>
      <c r="N382" s="1" t="n">
        <f aca="false">N381+1</f>
        <v>379</v>
      </c>
      <c r="O382" s="150" t="str">
        <f aca="false">IFERROR(VLOOKUP(N382,$K$4:$L$509,2,0),"")</f>
        <v/>
      </c>
    </row>
    <row r="383" customFormat="false" ht="14.25" hidden="false" customHeight="false" outlineLevel="0" collapsed="false">
      <c r="F383" s="1" t="e">
        <f aca="false">IF(OR(I383=1,J383=1),1,0)</f>
        <v>#N/A</v>
      </c>
      <c r="G383" s="1" t="e">
        <f aca="false">TEXT(H383,"DDD")</f>
        <v>#N/A</v>
      </c>
      <c r="H383" s="150" t="e">
        <f aca="false">IF(H382&gt;='Tallerdata.com'!$X$4,NA(),H382+1)</f>
        <v>#N/A</v>
      </c>
      <c r="I383" s="2" t="n">
        <f aca="false">IFERROR(IF(VLOOKUP(H383,$A$4:$A$33,1,0),1,0),0)</f>
        <v>0</v>
      </c>
      <c r="J383" s="2" t="e">
        <f aca="false">IF(AND($D$4=TRUE(),G383="Sáb"),1,IF(AND($D$5=TRUE(),G383="Dom"),1,0))</f>
        <v>#N/A</v>
      </c>
      <c r="K383" s="2" t="e">
        <f aca="false">IF(L383="No",K382,K382+1)</f>
        <v>#N/A</v>
      </c>
      <c r="L383" s="152" t="e">
        <f aca="false">IF(AND(I383=0,J383=0),H383,"NO")</f>
        <v>#N/A</v>
      </c>
      <c r="N383" s="1" t="n">
        <f aca="false">N382+1</f>
        <v>380</v>
      </c>
      <c r="O383" s="150" t="str">
        <f aca="false">IFERROR(VLOOKUP(N383,$K$4:$L$509,2,0),"")</f>
        <v/>
      </c>
    </row>
    <row r="384" customFormat="false" ht="14.25" hidden="false" customHeight="false" outlineLevel="0" collapsed="false">
      <c r="F384" s="1" t="e">
        <f aca="false">IF(OR(I384=1,J384=1),1,0)</f>
        <v>#N/A</v>
      </c>
      <c r="G384" s="1" t="e">
        <f aca="false">TEXT(H384,"DDD")</f>
        <v>#N/A</v>
      </c>
      <c r="H384" s="150" t="e">
        <f aca="false">IF(H383&gt;='Tallerdata.com'!$X$4,NA(),H383+1)</f>
        <v>#N/A</v>
      </c>
      <c r="I384" s="2" t="n">
        <f aca="false">IFERROR(IF(VLOOKUP(H384,$A$4:$A$33,1,0),1,0),0)</f>
        <v>0</v>
      </c>
      <c r="J384" s="2" t="e">
        <f aca="false">IF(AND($D$4=TRUE(),G384="Sáb"),1,IF(AND($D$5=TRUE(),G384="Dom"),1,0))</f>
        <v>#N/A</v>
      </c>
      <c r="K384" s="2" t="e">
        <f aca="false">IF(L384="No",K383,K383+1)</f>
        <v>#N/A</v>
      </c>
      <c r="L384" s="152" t="e">
        <f aca="false">IF(AND(I384=0,J384=0),H384,"NO")</f>
        <v>#N/A</v>
      </c>
      <c r="N384" s="1" t="n">
        <f aca="false">N383+1</f>
        <v>381</v>
      </c>
      <c r="O384" s="150" t="str">
        <f aca="false">IFERROR(VLOOKUP(N384,$K$4:$L$509,2,0),"")</f>
        <v/>
      </c>
    </row>
    <row r="385" customFormat="false" ht="14.25" hidden="false" customHeight="false" outlineLevel="0" collapsed="false">
      <c r="F385" s="1" t="e">
        <f aca="false">IF(OR(I385=1,J385=1),1,0)</f>
        <v>#N/A</v>
      </c>
      <c r="G385" s="1" t="e">
        <f aca="false">TEXT(H385,"DDD")</f>
        <v>#N/A</v>
      </c>
      <c r="H385" s="150" t="e">
        <f aca="false">IF(H384&gt;='Tallerdata.com'!$X$4,NA(),H384+1)</f>
        <v>#N/A</v>
      </c>
      <c r="I385" s="2" t="n">
        <f aca="false">IFERROR(IF(VLOOKUP(H385,$A$4:$A$33,1,0),1,0),0)</f>
        <v>0</v>
      </c>
      <c r="J385" s="2" t="e">
        <f aca="false">IF(AND($D$4=TRUE(),G385="Sáb"),1,IF(AND($D$5=TRUE(),G385="Dom"),1,0))</f>
        <v>#N/A</v>
      </c>
      <c r="K385" s="2" t="e">
        <f aca="false">IF(L385="No",K384,K384+1)</f>
        <v>#N/A</v>
      </c>
      <c r="L385" s="152" t="e">
        <f aca="false">IF(AND(I385=0,J385=0),H385,"NO")</f>
        <v>#N/A</v>
      </c>
      <c r="N385" s="1" t="n">
        <f aca="false">N384+1</f>
        <v>382</v>
      </c>
      <c r="O385" s="150" t="str">
        <f aca="false">IFERROR(VLOOKUP(N385,$K$4:$L$509,2,0),"")</f>
        <v/>
      </c>
    </row>
    <row r="386" customFormat="false" ht="14.25" hidden="false" customHeight="false" outlineLevel="0" collapsed="false">
      <c r="F386" s="1" t="e">
        <f aca="false">IF(OR(I386=1,J386=1),1,0)</f>
        <v>#N/A</v>
      </c>
      <c r="G386" s="1" t="e">
        <f aca="false">TEXT(H386,"DDD")</f>
        <v>#N/A</v>
      </c>
      <c r="H386" s="150" t="e">
        <f aca="false">IF(H385&gt;='Tallerdata.com'!$X$4,NA(),H385+1)</f>
        <v>#N/A</v>
      </c>
      <c r="I386" s="2" t="n">
        <f aca="false">IFERROR(IF(VLOOKUP(H386,$A$4:$A$33,1,0),1,0),0)</f>
        <v>0</v>
      </c>
      <c r="J386" s="2" t="e">
        <f aca="false">IF(AND($D$4=TRUE(),G386="Sáb"),1,IF(AND($D$5=TRUE(),G386="Dom"),1,0))</f>
        <v>#N/A</v>
      </c>
      <c r="K386" s="2" t="e">
        <f aca="false">IF(L386="No",K385,K385+1)</f>
        <v>#N/A</v>
      </c>
      <c r="L386" s="152" t="e">
        <f aca="false">IF(AND(I386=0,J386=0),H386,"NO")</f>
        <v>#N/A</v>
      </c>
      <c r="N386" s="1" t="n">
        <f aca="false">N385+1</f>
        <v>383</v>
      </c>
      <c r="O386" s="150" t="str">
        <f aca="false">IFERROR(VLOOKUP(N386,$K$4:$L$509,2,0),"")</f>
        <v/>
      </c>
    </row>
    <row r="387" customFormat="false" ht="14.25" hidden="false" customHeight="false" outlineLevel="0" collapsed="false">
      <c r="F387" s="1" t="e">
        <f aca="false">IF(OR(I387=1,J387=1),1,0)</f>
        <v>#N/A</v>
      </c>
      <c r="G387" s="1" t="e">
        <f aca="false">TEXT(H387,"DDD")</f>
        <v>#N/A</v>
      </c>
      <c r="H387" s="150" t="e">
        <f aca="false">IF(H386&gt;='Tallerdata.com'!$X$4,NA(),H386+1)</f>
        <v>#N/A</v>
      </c>
      <c r="I387" s="2" t="n">
        <f aca="false">IFERROR(IF(VLOOKUP(H387,$A$4:$A$33,1,0),1,0),0)</f>
        <v>0</v>
      </c>
      <c r="J387" s="2" t="e">
        <f aca="false">IF(AND($D$4=TRUE(),G387="Sáb"),1,IF(AND($D$5=TRUE(),G387="Dom"),1,0))</f>
        <v>#N/A</v>
      </c>
      <c r="K387" s="2" t="e">
        <f aca="false">IF(L387="No",K386,K386+1)</f>
        <v>#N/A</v>
      </c>
      <c r="L387" s="152" t="e">
        <f aca="false">IF(AND(I387=0,J387=0),H387,"NO")</f>
        <v>#N/A</v>
      </c>
      <c r="N387" s="1" t="n">
        <f aca="false">N386+1</f>
        <v>384</v>
      </c>
      <c r="O387" s="150" t="str">
        <f aca="false">IFERROR(VLOOKUP(N387,$K$4:$L$509,2,0),"")</f>
        <v/>
      </c>
    </row>
    <row r="388" customFormat="false" ht="14.25" hidden="false" customHeight="false" outlineLevel="0" collapsed="false">
      <c r="F388" s="1" t="e">
        <f aca="false">IF(OR(I388=1,J388=1),1,0)</f>
        <v>#N/A</v>
      </c>
      <c r="G388" s="1" t="e">
        <f aca="false">TEXT(H388,"DDD")</f>
        <v>#N/A</v>
      </c>
      <c r="H388" s="150" t="e">
        <f aca="false">IF(H387&gt;='Tallerdata.com'!$X$4,NA(),H387+1)</f>
        <v>#N/A</v>
      </c>
      <c r="I388" s="2" t="n">
        <f aca="false">IFERROR(IF(VLOOKUP(H388,$A$4:$A$33,1,0),1,0),0)</f>
        <v>0</v>
      </c>
      <c r="J388" s="2" t="e">
        <f aca="false">IF(AND($D$4=TRUE(),G388="Sáb"),1,IF(AND($D$5=TRUE(),G388="Dom"),1,0))</f>
        <v>#N/A</v>
      </c>
      <c r="K388" s="2" t="e">
        <f aca="false">IF(L388="No",K387,K387+1)</f>
        <v>#N/A</v>
      </c>
      <c r="L388" s="152" t="e">
        <f aca="false">IF(AND(I388=0,J388=0),H388,"NO")</f>
        <v>#N/A</v>
      </c>
      <c r="N388" s="1" t="n">
        <f aca="false">N387+1</f>
        <v>385</v>
      </c>
      <c r="O388" s="150" t="str">
        <f aca="false">IFERROR(VLOOKUP(N388,$K$4:$L$509,2,0),"")</f>
        <v/>
      </c>
    </row>
    <row r="389" customFormat="false" ht="14.25" hidden="false" customHeight="false" outlineLevel="0" collapsed="false">
      <c r="F389" s="1" t="e">
        <f aca="false">IF(OR(I389=1,J389=1),1,0)</f>
        <v>#N/A</v>
      </c>
      <c r="G389" s="1" t="e">
        <f aca="false">TEXT(H389,"DDD")</f>
        <v>#N/A</v>
      </c>
      <c r="H389" s="150" t="e">
        <f aca="false">IF(H388&gt;='Tallerdata.com'!$X$4,NA(),H388+1)</f>
        <v>#N/A</v>
      </c>
      <c r="I389" s="2" t="n">
        <f aca="false">IFERROR(IF(VLOOKUP(H389,$A$4:$A$33,1,0),1,0),0)</f>
        <v>0</v>
      </c>
      <c r="J389" s="2" t="e">
        <f aca="false">IF(AND($D$4=TRUE(),G389="Sáb"),1,IF(AND($D$5=TRUE(),G389="Dom"),1,0))</f>
        <v>#N/A</v>
      </c>
      <c r="K389" s="2" t="e">
        <f aca="false">IF(L389="No",K388,K388+1)</f>
        <v>#N/A</v>
      </c>
      <c r="L389" s="152" t="e">
        <f aca="false">IF(AND(I389=0,J389=0),H389,"NO")</f>
        <v>#N/A</v>
      </c>
      <c r="N389" s="1" t="n">
        <f aca="false">N388+1</f>
        <v>386</v>
      </c>
      <c r="O389" s="150" t="str">
        <f aca="false">IFERROR(VLOOKUP(N389,$K$4:$L$509,2,0),"")</f>
        <v/>
      </c>
    </row>
    <row r="390" customFormat="false" ht="14.25" hidden="false" customHeight="false" outlineLevel="0" collapsed="false">
      <c r="F390" s="1" t="e">
        <f aca="false">IF(OR(I390=1,J390=1),1,0)</f>
        <v>#N/A</v>
      </c>
      <c r="G390" s="1" t="e">
        <f aca="false">TEXT(H390,"DDD")</f>
        <v>#N/A</v>
      </c>
      <c r="H390" s="150" t="e">
        <f aca="false">IF(H389&gt;='Tallerdata.com'!$X$4,NA(),H389+1)</f>
        <v>#N/A</v>
      </c>
      <c r="I390" s="2" t="n">
        <f aca="false">IFERROR(IF(VLOOKUP(H390,$A$4:$A$33,1,0),1,0),0)</f>
        <v>0</v>
      </c>
      <c r="J390" s="2" t="e">
        <f aca="false">IF(AND($D$4=TRUE(),G390="Sáb"),1,IF(AND($D$5=TRUE(),G390="Dom"),1,0))</f>
        <v>#N/A</v>
      </c>
      <c r="K390" s="2" t="e">
        <f aca="false">IF(L390="No",K389,K389+1)</f>
        <v>#N/A</v>
      </c>
      <c r="L390" s="152" t="e">
        <f aca="false">IF(AND(I390=0,J390=0),H390,"NO")</f>
        <v>#N/A</v>
      </c>
      <c r="N390" s="1" t="n">
        <f aca="false">N389+1</f>
        <v>387</v>
      </c>
      <c r="O390" s="150" t="str">
        <f aca="false">IFERROR(VLOOKUP(N390,$K$4:$L$509,2,0),"")</f>
        <v/>
      </c>
    </row>
    <row r="391" customFormat="false" ht="14.25" hidden="false" customHeight="false" outlineLevel="0" collapsed="false">
      <c r="F391" s="1" t="e">
        <f aca="false">IF(OR(I391=1,J391=1),1,0)</f>
        <v>#N/A</v>
      </c>
      <c r="G391" s="1" t="e">
        <f aca="false">TEXT(H391,"DDD")</f>
        <v>#N/A</v>
      </c>
      <c r="H391" s="150" t="e">
        <f aca="false">IF(H390&gt;='Tallerdata.com'!$X$4,NA(),H390+1)</f>
        <v>#N/A</v>
      </c>
      <c r="I391" s="2" t="n">
        <f aca="false">IFERROR(IF(VLOOKUP(H391,$A$4:$A$33,1,0),1,0),0)</f>
        <v>0</v>
      </c>
      <c r="J391" s="2" t="e">
        <f aca="false">IF(AND($D$4=TRUE(),G391="Sáb"),1,IF(AND($D$5=TRUE(),G391="Dom"),1,0))</f>
        <v>#N/A</v>
      </c>
      <c r="K391" s="2" t="e">
        <f aca="false">IF(L391="No",K390,K390+1)</f>
        <v>#N/A</v>
      </c>
      <c r="L391" s="152" t="e">
        <f aca="false">IF(AND(I391=0,J391=0),H391,"NO")</f>
        <v>#N/A</v>
      </c>
      <c r="N391" s="1" t="n">
        <f aca="false">N390+1</f>
        <v>388</v>
      </c>
      <c r="O391" s="150" t="str">
        <f aca="false">IFERROR(VLOOKUP(N391,$K$4:$L$509,2,0),"")</f>
        <v/>
      </c>
    </row>
    <row r="392" customFormat="false" ht="14.25" hidden="false" customHeight="false" outlineLevel="0" collapsed="false">
      <c r="F392" s="1" t="e">
        <f aca="false">IF(OR(I392=1,J392=1),1,0)</f>
        <v>#N/A</v>
      </c>
      <c r="G392" s="1" t="e">
        <f aca="false">TEXT(H392,"DDD")</f>
        <v>#N/A</v>
      </c>
      <c r="H392" s="150" t="e">
        <f aca="false">IF(H391&gt;='Tallerdata.com'!$X$4,NA(),H391+1)</f>
        <v>#N/A</v>
      </c>
      <c r="I392" s="2" t="n">
        <f aca="false">IFERROR(IF(VLOOKUP(H392,$A$4:$A$33,1,0),1,0),0)</f>
        <v>0</v>
      </c>
      <c r="J392" s="2" t="e">
        <f aca="false">IF(AND($D$4=TRUE(),G392="Sáb"),1,IF(AND($D$5=TRUE(),G392="Dom"),1,0))</f>
        <v>#N/A</v>
      </c>
      <c r="K392" s="2" t="e">
        <f aca="false">IF(L392="No",K391,K391+1)</f>
        <v>#N/A</v>
      </c>
      <c r="L392" s="152" t="e">
        <f aca="false">IF(AND(I392=0,J392=0),H392,"NO")</f>
        <v>#N/A</v>
      </c>
      <c r="N392" s="1" t="n">
        <f aca="false">N391+1</f>
        <v>389</v>
      </c>
      <c r="O392" s="150" t="str">
        <f aca="false">IFERROR(VLOOKUP(N392,$K$4:$L$509,2,0),"")</f>
        <v/>
      </c>
    </row>
    <row r="393" customFormat="false" ht="14.25" hidden="false" customHeight="false" outlineLevel="0" collapsed="false">
      <c r="F393" s="1" t="e">
        <f aca="false">IF(OR(I393=1,J393=1),1,0)</f>
        <v>#N/A</v>
      </c>
      <c r="G393" s="1" t="e">
        <f aca="false">TEXT(H393,"DDD")</f>
        <v>#N/A</v>
      </c>
      <c r="H393" s="150" t="e">
        <f aca="false">IF(H392&gt;='Tallerdata.com'!$X$4,NA(),H392+1)</f>
        <v>#N/A</v>
      </c>
      <c r="I393" s="2" t="n">
        <f aca="false">IFERROR(IF(VLOOKUP(H393,$A$4:$A$33,1,0),1,0),0)</f>
        <v>0</v>
      </c>
      <c r="J393" s="2" t="e">
        <f aca="false">IF(AND($D$4=TRUE(),G393="Sáb"),1,IF(AND($D$5=TRUE(),G393="Dom"),1,0))</f>
        <v>#N/A</v>
      </c>
      <c r="K393" s="2" t="e">
        <f aca="false">IF(L393="No",K392,K392+1)</f>
        <v>#N/A</v>
      </c>
      <c r="L393" s="152" t="e">
        <f aca="false">IF(AND(I393=0,J393=0),H393,"NO")</f>
        <v>#N/A</v>
      </c>
      <c r="N393" s="1" t="n">
        <f aca="false">N392+1</f>
        <v>390</v>
      </c>
      <c r="O393" s="150" t="str">
        <f aca="false">IFERROR(VLOOKUP(N393,$K$4:$L$509,2,0),"")</f>
        <v/>
      </c>
    </row>
    <row r="394" customFormat="false" ht="14.25" hidden="false" customHeight="false" outlineLevel="0" collapsed="false">
      <c r="F394" s="1" t="e">
        <f aca="false">IF(OR(I394=1,J394=1),1,0)</f>
        <v>#N/A</v>
      </c>
      <c r="G394" s="1" t="e">
        <f aca="false">TEXT(H394,"DDD")</f>
        <v>#N/A</v>
      </c>
      <c r="H394" s="150" t="e">
        <f aca="false">IF(H393&gt;='Tallerdata.com'!$X$4,NA(),H393+1)</f>
        <v>#N/A</v>
      </c>
      <c r="I394" s="2" t="n">
        <f aca="false">IFERROR(IF(VLOOKUP(H394,$A$4:$A$33,1,0),1,0),0)</f>
        <v>0</v>
      </c>
      <c r="J394" s="2" t="e">
        <f aca="false">IF(AND($D$4=TRUE(),G394="Sáb"),1,IF(AND($D$5=TRUE(),G394="Dom"),1,0))</f>
        <v>#N/A</v>
      </c>
      <c r="K394" s="2" t="e">
        <f aca="false">IF(L394="No",K393,K393+1)</f>
        <v>#N/A</v>
      </c>
      <c r="L394" s="152" t="e">
        <f aca="false">IF(AND(I394=0,J394=0),H394,"NO")</f>
        <v>#N/A</v>
      </c>
      <c r="N394" s="1" t="n">
        <f aca="false">N393+1</f>
        <v>391</v>
      </c>
      <c r="O394" s="150" t="str">
        <f aca="false">IFERROR(VLOOKUP(N394,$K$4:$L$509,2,0),"")</f>
        <v/>
      </c>
    </row>
    <row r="395" customFormat="false" ht="14.25" hidden="false" customHeight="false" outlineLevel="0" collapsed="false">
      <c r="F395" s="1" t="e">
        <f aca="false">IF(OR(I395=1,J395=1),1,0)</f>
        <v>#N/A</v>
      </c>
      <c r="G395" s="1" t="e">
        <f aca="false">TEXT(H395,"DDD")</f>
        <v>#N/A</v>
      </c>
      <c r="H395" s="150" t="e">
        <f aca="false">IF(H394&gt;='Tallerdata.com'!$X$4,NA(),H394+1)</f>
        <v>#N/A</v>
      </c>
      <c r="I395" s="2" t="n">
        <f aca="false">IFERROR(IF(VLOOKUP(H395,$A$4:$A$33,1,0),1,0),0)</f>
        <v>0</v>
      </c>
      <c r="J395" s="2" t="e">
        <f aca="false">IF(AND($D$4=TRUE(),G395="Sáb"),1,IF(AND($D$5=TRUE(),G395="Dom"),1,0))</f>
        <v>#N/A</v>
      </c>
      <c r="K395" s="2" t="e">
        <f aca="false">IF(L395="No",K394,K394+1)</f>
        <v>#N/A</v>
      </c>
      <c r="L395" s="152" t="e">
        <f aca="false">IF(AND(I395=0,J395=0),H395,"NO")</f>
        <v>#N/A</v>
      </c>
      <c r="N395" s="1" t="n">
        <f aca="false">N394+1</f>
        <v>392</v>
      </c>
      <c r="O395" s="150" t="str">
        <f aca="false">IFERROR(VLOOKUP(N395,$K$4:$L$509,2,0),"")</f>
        <v/>
      </c>
    </row>
    <row r="396" customFormat="false" ht="14.25" hidden="false" customHeight="false" outlineLevel="0" collapsed="false">
      <c r="F396" s="1" t="e">
        <f aca="false">IF(OR(I396=1,J396=1),1,0)</f>
        <v>#N/A</v>
      </c>
      <c r="G396" s="1" t="e">
        <f aca="false">TEXT(H396,"DDD")</f>
        <v>#N/A</v>
      </c>
      <c r="H396" s="150" t="e">
        <f aca="false">IF(H395&gt;='Tallerdata.com'!$X$4,NA(),H395+1)</f>
        <v>#N/A</v>
      </c>
      <c r="I396" s="2" t="n">
        <f aca="false">IFERROR(IF(VLOOKUP(H396,$A$4:$A$33,1,0),1,0),0)</f>
        <v>0</v>
      </c>
      <c r="J396" s="2" t="e">
        <f aca="false">IF(AND($D$4=TRUE(),G396="Sáb"),1,IF(AND($D$5=TRUE(),G396="Dom"),1,0))</f>
        <v>#N/A</v>
      </c>
      <c r="K396" s="2" t="e">
        <f aca="false">IF(L396="No",K395,K395+1)</f>
        <v>#N/A</v>
      </c>
      <c r="L396" s="152" t="e">
        <f aca="false">IF(AND(I396=0,J396=0),H396,"NO")</f>
        <v>#N/A</v>
      </c>
      <c r="N396" s="1" t="n">
        <f aca="false">N395+1</f>
        <v>393</v>
      </c>
      <c r="O396" s="150" t="str">
        <f aca="false">IFERROR(VLOOKUP(N396,$K$4:$L$509,2,0),"")</f>
        <v/>
      </c>
    </row>
    <row r="397" customFormat="false" ht="14.25" hidden="false" customHeight="false" outlineLevel="0" collapsed="false">
      <c r="F397" s="1" t="e">
        <f aca="false">IF(OR(I397=1,J397=1),1,0)</f>
        <v>#N/A</v>
      </c>
      <c r="G397" s="1" t="e">
        <f aca="false">TEXT(H397,"DDD")</f>
        <v>#N/A</v>
      </c>
      <c r="H397" s="150" t="e">
        <f aca="false">IF(H396&gt;='Tallerdata.com'!$X$4,NA(),H396+1)</f>
        <v>#N/A</v>
      </c>
      <c r="I397" s="2" t="n">
        <f aca="false">IFERROR(IF(VLOOKUP(H397,$A$4:$A$33,1,0),1,0),0)</f>
        <v>0</v>
      </c>
      <c r="J397" s="2" t="e">
        <f aca="false">IF(AND($D$4=TRUE(),G397="Sáb"),1,IF(AND($D$5=TRUE(),G397="Dom"),1,0))</f>
        <v>#N/A</v>
      </c>
      <c r="K397" s="2" t="e">
        <f aca="false">IF(L397="No",K396,K396+1)</f>
        <v>#N/A</v>
      </c>
      <c r="L397" s="152" t="e">
        <f aca="false">IF(AND(I397=0,J397=0),H397,"NO")</f>
        <v>#N/A</v>
      </c>
      <c r="N397" s="1" t="n">
        <f aca="false">N396+1</f>
        <v>394</v>
      </c>
      <c r="O397" s="150" t="str">
        <f aca="false">IFERROR(VLOOKUP(N397,$K$4:$L$509,2,0),"")</f>
        <v/>
      </c>
    </row>
    <row r="398" customFormat="false" ht="14.25" hidden="false" customHeight="false" outlineLevel="0" collapsed="false">
      <c r="F398" s="1" t="e">
        <f aca="false">IF(OR(I398=1,J398=1),1,0)</f>
        <v>#N/A</v>
      </c>
      <c r="G398" s="1" t="e">
        <f aca="false">TEXT(H398,"DDD")</f>
        <v>#N/A</v>
      </c>
      <c r="H398" s="150" t="e">
        <f aca="false">IF(H397&gt;='Tallerdata.com'!$X$4,NA(),H397+1)</f>
        <v>#N/A</v>
      </c>
      <c r="I398" s="2" t="n">
        <f aca="false">IFERROR(IF(VLOOKUP(H398,$A$4:$A$33,1,0),1,0),0)</f>
        <v>0</v>
      </c>
      <c r="J398" s="2" t="e">
        <f aca="false">IF(AND($D$4=TRUE(),G398="Sáb"),1,IF(AND($D$5=TRUE(),G398="Dom"),1,0))</f>
        <v>#N/A</v>
      </c>
      <c r="K398" s="2" t="e">
        <f aca="false">IF(L398="No",K397,K397+1)</f>
        <v>#N/A</v>
      </c>
      <c r="L398" s="152" t="e">
        <f aca="false">IF(AND(I398=0,J398=0),H398,"NO")</f>
        <v>#N/A</v>
      </c>
      <c r="N398" s="1" t="n">
        <f aca="false">N397+1</f>
        <v>395</v>
      </c>
      <c r="O398" s="150" t="str">
        <f aca="false">IFERROR(VLOOKUP(N398,$K$4:$L$509,2,0),"")</f>
        <v/>
      </c>
    </row>
    <row r="399" customFormat="false" ht="14.25" hidden="false" customHeight="false" outlineLevel="0" collapsed="false">
      <c r="F399" s="1" t="e">
        <f aca="false">IF(OR(I399=1,J399=1),1,0)</f>
        <v>#N/A</v>
      </c>
      <c r="G399" s="1" t="e">
        <f aca="false">TEXT(H399,"DDD")</f>
        <v>#N/A</v>
      </c>
      <c r="H399" s="150" t="e">
        <f aca="false">IF(H398&gt;='Tallerdata.com'!$X$4,NA(),H398+1)</f>
        <v>#N/A</v>
      </c>
      <c r="I399" s="2" t="n">
        <f aca="false">IFERROR(IF(VLOOKUP(H399,$A$4:$A$33,1,0),1,0),0)</f>
        <v>0</v>
      </c>
      <c r="J399" s="2" t="e">
        <f aca="false">IF(AND($D$4=TRUE(),G399="Sáb"),1,IF(AND($D$5=TRUE(),G399="Dom"),1,0))</f>
        <v>#N/A</v>
      </c>
      <c r="K399" s="2" t="e">
        <f aca="false">IF(L399="No",K398,K398+1)</f>
        <v>#N/A</v>
      </c>
      <c r="L399" s="152" t="e">
        <f aca="false">IF(AND(I399=0,J399=0),H399,"NO")</f>
        <v>#N/A</v>
      </c>
      <c r="N399" s="1" t="n">
        <f aca="false">N398+1</f>
        <v>396</v>
      </c>
      <c r="O399" s="150" t="str">
        <f aca="false">IFERROR(VLOOKUP(N399,$K$4:$L$509,2,0),"")</f>
        <v/>
      </c>
    </row>
    <row r="400" customFormat="false" ht="14.25" hidden="false" customHeight="false" outlineLevel="0" collapsed="false">
      <c r="F400" s="1" t="e">
        <f aca="false">IF(OR(I400=1,J400=1),1,0)</f>
        <v>#N/A</v>
      </c>
      <c r="G400" s="1" t="e">
        <f aca="false">TEXT(H400,"DDD")</f>
        <v>#N/A</v>
      </c>
      <c r="H400" s="150" t="e">
        <f aca="false">IF(H399&gt;='Tallerdata.com'!$X$4,NA(),H399+1)</f>
        <v>#N/A</v>
      </c>
      <c r="I400" s="2" t="n">
        <f aca="false">IFERROR(IF(VLOOKUP(H400,$A$4:$A$33,1,0),1,0),0)</f>
        <v>0</v>
      </c>
      <c r="J400" s="2" t="e">
        <f aca="false">IF(AND($D$4=TRUE(),G400="Sáb"),1,IF(AND($D$5=TRUE(),G400="Dom"),1,0))</f>
        <v>#N/A</v>
      </c>
      <c r="K400" s="2" t="e">
        <f aca="false">IF(L400="No",K399,K399+1)</f>
        <v>#N/A</v>
      </c>
      <c r="L400" s="152" t="e">
        <f aca="false">IF(AND(I400=0,J400=0),H400,"NO")</f>
        <v>#N/A</v>
      </c>
      <c r="N400" s="1" t="n">
        <f aca="false">N399+1</f>
        <v>397</v>
      </c>
      <c r="O400" s="150" t="str">
        <f aca="false">IFERROR(VLOOKUP(N400,$K$4:$L$509,2,0),"")</f>
        <v/>
      </c>
    </row>
    <row r="401" customFormat="false" ht="14.25" hidden="false" customHeight="false" outlineLevel="0" collapsed="false">
      <c r="F401" s="1" t="e">
        <f aca="false">IF(OR(I401=1,J401=1),1,0)</f>
        <v>#N/A</v>
      </c>
      <c r="G401" s="1" t="e">
        <f aca="false">TEXT(H401,"DDD")</f>
        <v>#N/A</v>
      </c>
      <c r="H401" s="150" t="e">
        <f aca="false">IF(H400&gt;='Tallerdata.com'!$X$4,NA(),H400+1)</f>
        <v>#N/A</v>
      </c>
      <c r="I401" s="2" t="n">
        <f aca="false">IFERROR(IF(VLOOKUP(H401,$A$4:$A$33,1,0),1,0),0)</f>
        <v>0</v>
      </c>
      <c r="J401" s="2" t="e">
        <f aca="false">IF(AND($D$4=TRUE(),G401="Sáb"),1,IF(AND($D$5=TRUE(),G401="Dom"),1,0))</f>
        <v>#N/A</v>
      </c>
      <c r="K401" s="2" t="e">
        <f aca="false">IF(L401="No",K400,K400+1)</f>
        <v>#N/A</v>
      </c>
      <c r="L401" s="152" t="e">
        <f aca="false">IF(AND(I401=0,J401=0),H401,"NO")</f>
        <v>#N/A</v>
      </c>
      <c r="N401" s="1" t="n">
        <f aca="false">N400+1</f>
        <v>398</v>
      </c>
      <c r="O401" s="150" t="str">
        <f aca="false">IFERROR(VLOOKUP(N401,$K$4:$L$509,2,0),"")</f>
        <v/>
      </c>
    </row>
    <row r="402" customFormat="false" ht="14.25" hidden="false" customHeight="false" outlineLevel="0" collapsed="false">
      <c r="F402" s="1" t="e">
        <f aca="false">IF(OR(I402=1,J402=1),1,0)</f>
        <v>#N/A</v>
      </c>
      <c r="G402" s="1" t="e">
        <f aca="false">TEXT(H402,"DDD")</f>
        <v>#N/A</v>
      </c>
      <c r="H402" s="150" t="e">
        <f aca="false">IF(H401&gt;='Tallerdata.com'!$X$4,NA(),H401+1)</f>
        <v>#N/A</v>
      </c>
      <c r="I402" s="2" t="n">
        <f aca="false">IFERROR(IF(VLOOKUP(H402,$A$4:$A$33,1,0),1,0),0)</f>
        <v>0</v>
      </c>
      <c r="J402" s="2" t="e">
        <f aca="false">IF(AND($D$4=TRUE(),G402="Sáb"),1,IF(AND($D$5=TRUE(),G402="Dom"),1,0))</f>
        <v>#N/A</v>
      </c>
      <c r="K402" s="2" t="e">
        <f aca="false">IF(L402="No",K401,K401+1)</f>
        <v>#N/A</v>
      </c>
      <c r="L402" s="152" t="e">
        <f aca="false">IF(AND(I402=0,J402=0),H402,"NO")</f>
        <v>#N/A</v>
      </c>
      <c r="N402" s="1" t="n">
        <f aca="false">N401+1</f>
        <v>399</v>
      </c>
      <c r="O402" s="150" t="str">
        <f aca="false">IFERROR(VLOOKUP(N402,$K$4:$L$509,2,0),"")</f>
        <v/>
      </c>
    </row>
    <row r="403" customFormat="false" ht="14.25" hidden="false" customHeight="false" outlineLevel="0" collapsed="false">
      <c r="F403" s="1" t="e">
        <f aca="false">IF(OR(I403=1,J403=1),1,0)</f>
        <v>#N/A</v>
      </c>
      <c r="G403" s="1" t="e">
        <f aca="false">TEXT(H403,"DDD")</f>
        <v>#N/A</v>
      </c>
      <c r="H403" s="150" t="e">
        <f aca="false">IF(H402&gt;='Tallerdata.com'!$X$4,NA(),H402+1)</f>
        <v>#N/A</v>
      </c>
      <c r="I403" s="2" t="n">
        <f aca="false">IFERROR(IF(VLOOKUP(H403,$A$4:$A$33,1,0),1,0),0)</f>
        <v>0</v>
      </c>
      <c r="J403" s="2" t="e">
        <f aca="false">IF(AND($D$4=TRUE(),G403="Sáb"),1,IF(AND($D$5=TRUE(),G403="Dom"),1,0))</f>
        <v>#N/A</v>
      </c>
      <c r="K403" s="2" t="e">
        <f aca="false">IF(L403="No",K402,K402+1)</f>
        <v>#N/A</v>
      </c>
      <c r="L403" s="152" t="e">
        <f aca="false">IF(AND(I403=0,J403=0),H403,"NO")</f>
        <v>#N/A</v>
      </c>
      <c r="N403" s="1" t="n">
        <f aca="false">N402+1</f>
        <v>400</v>
      </c>
      <c r="O403" s="150" t="str">
        <f aca="false">IFERROR(VLOOKUP(N403,$K$4:$L$509,2,0),"")</f>
        <v/>
      </c>
    </row>
    <row r="404" customFormat="false" ht="14.25" hidden="false" customHeight="false" outlineLevel="0" collapsed="false">
      <c r="F404" s="1" t="e">
        <f aca="false">IF(OR(I404=1,J404=1),1,0)</f>
        <v>#N/A</v>
      </c>
      <c r="G404" s="1" t="e">
        <f aca="false">TEXT(H404,"DDD")</f>
        <v>#N/A</v>
      </c>
      <c r="H404" s="150" t="e">
        <f aca="false">IF(H403&gt;='Tallerdata.com'!$X$4,NA(),H403+1)</f>
        <v>#N/A</v>
      </c>
      <c r="I404" s="2" t="n">
        <f aca="false">IFERROR(IF(VLOOKUP(H404,$A$4:$A$33,1,0),1,0),0)</f>
        <v>0</v>
      </c>
      <c r="J404" s="2" t="e">
        <f aca="false">IF(AND($D$4=TRUE(),G404="Sáb"),1,IF(AND($D$5=TRUE(),G404="Dom"),1,0))</f>
        <v>#N/A</v>
      </c>
      <c r="K404" s="2" t="e">
        <f aca="false">IF(L404="No",K403,K403+1)</f>
        <v>#N/A</v>
      </c>
      <c r="L404" s="152" t="e">
        <f aca="false">IF(AND(I404=0,J404=0),H404,"NO")</f>
        <v>#N/A</v>
      </c>
      <c r="N404" s="1" t="n">
        <f aca="false">N403+1</f>
        <v>401</v>
      </c>
      <c r="O404" s="150" t="str">
        <f aca="false">IFERROR(VLOOKUP(N404,$K$4:$L$509,2,0),"")</f>
        <v/>
      </c>
    </row>
    <row r="405" customFormat="false" ht="14.25" hidden="false" customHeight="false" outlineLevel="0" collapsed="false">
      <c r="F405" s="1" t="e">
        <f aca="false">IF(OR(I405=1,J405=1),1,0)</f>
        <v>#N/A</v>
      </c>
      <c r="G405" s="1" t="e">
        <f aca="false">TEXT(H405,"DDD")</f>
        <v>#N/A</v>
      </c>
      <c r="H405" s="150" t="e">
        <f aca="false">IF(H404&gt;='Tallerdata.com'!$X$4,NA(),H404+1)</f>
        <v>#N/A</v>
      </c>
      <c r="I405" s="2" t="n">
        <f aca="false">IFERROR(IF(VLOOKUP(H405,$A$4:$A$33,1,0),1,0),0)</f>
        <v>0</v>
      </c>
      <c r="J405" s="2" t="e">
        <f aca="false">IF(AND($D$4=TRUE(),G405="Sáb"),1,IF(AND($D$5=TRUE(),G405="Dom"),1,0))</f>
        <v>#N/A</v>
      </c>
      <c r="K405" s="2" t="e">
        <f aca="false">IF(L405="No",K404,K404+1)</f>
        <v>#N/A</v>
      </c>
      <c r="L405" s="152" t="e">
        <f aca="false">IF(AND(I405=0,J405=0),H405,"NO")</f>
        <v>#N/A</v>
      </c>
      <c r="N405" s="1" t="n">
        <f aca="false">N404+1</f>
        <v>402</v>
      </c>
      <c r="O405" s="150" t="str">
        <f aca="false">IFERROR(VLOOKUP(N405,$K$4:$L$509,2,0),"")</f>
        <v/>
      </c>
    </row>
    <row r="406" customFormat="false" ht="14.25" hidden="false" customHeight="false" outlineLevel="0" collapsed="false">
      <c r="F406" s="1" t="e">
        <f aca="false">IF(OR(I406=1,J406=1),1,0)</f>
        <v>#N/A</v>
      </c>
      <c r="G406" s="1" t="e">
        <f aca="false">TEXT(H406,"DDD")</f>
        <v>#N/A</v>
      </c>
      <c r="H406" s="150" t="e">
        <f aca="false">IF(H405&gt;='Tallerdata.com'!$X$4,NA(),H405+1)</f>
        <v>#N/A</v>
      </c>
      <c r="I406" s="2" t="n">
        <f aca="false">IFERROR(IF(VLOOKUP(H406,$A$4:$A$33,1,0),1,0),0)</f>
        <v>0</v>
      </c>
      <c r="J406" s="2" t="e">
        <f aca="false">IF(AND($D$4=TRUE(),G406="Sáb"),1,IF(AND($D$5=TRUE(),G406="Dom"),1,0))</f>
        <v>#N/A</v>
      </c>
      <c r="K406" s="2" t="e">
        <f aca="false">IF(L406="No",K405,K405+1)</f>
        <v>#N/A</v>
      </c>
      <c r="L406" s="152" t="e">
        <f aca="false">IF(AND(I406=0,J406=0),H406,"NO")</f>
        <v>#N/A</v>
      </c>
      <c r="N406" s="1" t="n">
        <f aca="false">N405+1</f>
        <v>403</v>
      </c>
      <c r="O406" s="150" t="str">
        <f aca="false">IFERROR(VLOOKUP(N406,$K$4:$L$509,2,0),"")</f>
        <v/>
      </c>
    </row>
    <row r="407" customFormat="false" ht="14.25" hidden="false" customHeight="false" outlineLevel="0" collapsed="false">
      <c r="F407" s="1" t="e">
        <f aca="false">IF(OR(I407=1,J407=1),1,0)</f>
        <v>#N/A</v>
      </c>
      <c r="G407" s="1" t="e">
        <f aca="false">TEXT(H407,"DDD")</f>
        <v>#N/A</v>
      </c>
      <c r="H407" s="150" t="e">
        <f aca="false">IF(H406&gt;='Tallerdata.com'!$X$4,NA(),H406+1)</f>
        <v>#N/A</v>
      </c>
      <c r="I407" s="2" t="n">
        <f aca="false">IFERROR(IF(VLOOKUP(H407,$A$4:$A$33,1,0),1,0),0)</f>
        <v>0</v>
      </c>
      <c r="J407" s="2" t="e">
        <f aca="false">IF(AND($D$4=TRUE(),G407="Sáb"),1,IF(AND($D$5=TRUE(),G407="Dom"),1,0))</f>
        <v>#N/A</v>
      </c>
      <c r="K407" s="2" t="e">
        <f aca="false">IF(L407="No",K406,K406+1)</f>
        <v>#N/A</v>
      </c>
      <c r="L407" s="152" t="e">
        <f aca="false">IF(AND(I407=0,J407=0),H407,"NO")</f>
        <v>#N/A</v>
      </c>
      <c r="N407" s="1" t="n">
        <f aca="false">N406+1</f>
        <v>404</v>
      </c>
      <c r="O407" s="150" t="str">
        <f aca="false">IFERROR(VLOOKUP(N407,$K$4:$L$509,2,0),"")</f>
        <v/>
      </c>
    </row>
    <row r="408" customFormat="false" ht="14.25" hidden="false" customHeight="false" outlineLevel="0" collapsed="false">
      <c r="F408" s="1" t="e">
        <f aca="false">IF(OR(I408=1,J408=1),1,0)</f>
        <v>#N/A</v>
      </c>
      <c r="G408" s="1" t="e">
        <f aca="false">TEXT(H408,"DDD")</f>
        <v>#N/A</v>
      </c>
      <c r="H408" s="150" t="e">
        <f aca="false">IF(H407&gt;='Tallerdata.com'!$X$4,NA(),H407+1)</f>
        <v>#N/A</v>
      </c>
      <c r="I408" s="2" t="n">
        <f aca="false">IFERROR(IF(VLOOKUP(H408,$A$4:$A$33,1,0),1,0),0)</f>
        <v>0</v>
      </c>
      <c r="J408" s="2" t="e">
        <f aca="false">IF(AND($D$4=TRUE(),G408="Sáb"),1,IF(AND($D$5=TRUE(),G408="Dom"),1,0))</f>
        <v>#N/A</v>
      </c>
      <c r="K408" s="2" t="e">
        <f aca="false">IF(L408="No",K407,K407+1)</f>
        <v>#N/A</v>
      </c>
      <c r="L408" s="152" t="e">
        <f aca="false">IF(AND(I408=0,J408=0),H408,"NO")</f>
        <v>#N/A</v>
      </c>
      <c r="N408" s="1" t="n">
        <f aca="false">N407+1</f>
        <v>405</v>
      </c>
      <c r="O408" s="150" t="str">
        <f aca="false">IFERROR(VLOOKUP(N408,$K$4:$L$509,2,0),"")</f>
        <v/>
      </c>
    </row>
    <row r="409" customFormat="false" ht="14.25" hidden="false" customHeight="false" outlineLevel="0" collapsed="false">
      <c r="F409" s="1" t="e">
        <f aca="false">IF(OR(I409=1,J409=1),1,0)</f>
        <v>#N/A</v>
      </c>
      <c r="G409" s="1" t="e">
        <f aca="false">TEXT(H409,"DDD")</f>
        <v>#N/A</v>
      </c>
      <c r="H409" s="150" t="e">
        <f aca="false">IF(H408&gt;='Tallerdata.com'!$X$4,NA(),H408+1)</f>
        <v>#N/A</v>
      </c>
      <c r="I409" s="2" t="n">
        <f aca="false">IFERROR(IF(VLOOKUP(H409,$A$4:$A$33,1,0),1,0),0)</f>
        <v>0</v>
      </c>
      <c r="J409" s="2" t="e">
        <f aca="false">IF(AND($D$4=TRUE(),G409="Sáb"),1,IF(AND($D$5=TRUE(),G409="Dom"),1,0))</f>
        <v>#N/A</v>
      </c>
      <c r="K409" s="2" t="e">
        <f aca="false">IF(L409="No",K408,K408+1)</f>
        <v>#N/A</v>
      </c>
      <c r="L409" s="152" t="e">
        <f aca="false">IF(AND(I409=0,J409=0),H409,"NO")</f>
        <v>#N/A</v>
      </c>
      <c r="N409" s="1" t="n">
        <f aca="false">N408+1</f>
        <v>406</v>
      </c>
      <c r="O409" s="150" t="str">
        <f aca="false">IFERROR(VLOOKUP(N409,$K$4:$L$509,2,0),"")</f>
        <v/>
      </c>
    </row>
    <row r="410" customFormat="false" ht="14.25" hidden="false" customHeight="false" outlineLevel="0" collapsed="false">
      <c r="F410" s="1" t="e">
        <f aca="false">IF(OR(I410=1,J410=1),1,0)</f>
        <v>#N/A</v>
      </c>
      <c r="G410" s="1" t="e">
        <f aca="false">TEXT(H410,"DDD")</f>
        <v>#N/A</v>
      </c>
      <c r="H410" s="150" t="e">
        <f aca="false">IF(H409&gt;='Tallerdata.com'!$X$4,NA(),H409+1)</f>
        <v>#N/A</v>
      </c>
      <c r="I410" s="2" t="n">
        <f aca="false">IFERROR(IF(VLOOKUP(H410,$A$4:$A$33,1,0),1,0),0)</f>
        <v>0</v>
      </c>
      <c r="J410" s="2" t="e">
        <f aca="false">IF(AND($D$4=TRUE(),G410="Sáb"),1,IF(AND($D$5=TRUE(),G410="Dom"),1,0))</f>
        <v>#N/A</v>
      </c>
      <c r="K410" s="2" t="e">
        <f aca="false">IF(L410="No",K409,K409+1)</f>
        <v>#N/A</v>
      </c>
      <c r="L410" s="152" t="e">
        <f aca="false">IF(AND(I410=0,J410=0),H410,"NO")</f>
        <v>#N/A</v>
      </c>
      <c r="N410" s="1" t="n">
        <f aca="false">N409+1</f>
        <v>407</v>
      </c>
      <c r="O410" s="150" t="str">
        <f aca="false">IFERROR(VLOOKUP(N410,$K$4:$L$509,2,0),"")</f>
        <v/>
      </c>
    </row>
    <row r="411" customFormat="false" ht="14.25" hidden="false" customHeight="false" outlineLevel="0" collapsed="false">
      <c r="F411" s="1" t="e">
        <f aca="false">IF(OR(I411=1,J411=1),1,0)</f>
        <v>#N/A</v>
      </c>
      <c r="G411" s="1" t="e">
        <f aca="false">TEXT(H411,"DDD")</f>
        <v>#N/A</v>
      </c>
      <c r="H411" s="150" t="e">
        <f aca="false">IF(H410&gt;='Tallerdata.com'!$X$4,NA(),H410+1)</f>
        <v>#N/A</v>
      </c>
      <c r="I411" s="2" t="n">
        <f aca="false">IFERROR(IF(VLOOKUP(H411,$A$4:$A$33,1,0),1,0),0)</f>
        <v>0</v>
      </c>
      <c r="J411" s="2" t="e">
        <f aca="false">IF(AND($D$4=TRUE(),G411="Sáb"),1,IF(AND($D$5=TRUE(),G411="Dom"),1,0))</f>
        <v>#N/A</v>
      </c>
      <c r="K411" s="2" t="e">
        <f aca="false">IF(L411="No",K410,K410+1)</f>
        <v>#N/A</v>
      </c>
      <c r="L411" s="152" t="e">
        <f aca="false">IF(AND(I411=0,J411=0),H411,"NO")</f>
        <v>#N/A</v>
      </c>
      <c r="N411" s="1" t="n">
        <f aca="false">N410+1</f>
        <v>408</v>
      </c>
      <c r="O411" s="150" t="str">
        <f aca="false">IFERROR(VLOOKUP(N411,$K$4:$L$509,2,0),"")</f>
        <v/>
      </c>
    </row>
    <row r="412" customFormat="false" ht="14.25" hidden="false" customHeight="false" outlineLevel="0" collapsed="false">
      <c r="F412" s="1" t="e">
        <f aca="false">IF(OR(I412=1,J412=1),1,0)</f>
        <v>#N/A</v>
      </c>
      <c r="G412" s="1" t="e">
        <f aca="false">TEXT(H412,"DDD")</f>
        <v>#N/A</v>
      </c>
      <c r="H412" s="150" t="e">
        <f aca="false">IF(H411&gt;='Tallerdata.com'!$X$4,NA(),H411+1)</f>
        <v>#N/A</v>
      </c>
      <c r="I412" s="2" t="n">
        <f aca="false">IFERROR(IF(VLOOKUP(H412,$A$4:$A$33,1,0),1,0),0)</f>
        <v>0</v>
      </c>
      <c r="J412" s="2" t="e">
        <f aca="false">IF(AND($D$4=TRUE(),G412="Sáb"),1,IF(AND($D$5=TRUE(),G412="Dom"),1,0))</f>
        <v>#N/A</v>
      </c>
      <c r="K412" s="2" t="e">
        <f aca="false">IF(L412="No",K411,K411+1)</f>
        <v>#N/A</v>
      </c>
      <c r="L412" s="152" t="e">
        <f aca="false">IF(AND(I412=0,J412=0),H412,"NO")</f>
        <v>#N/A</v>
      </c>
      <c r="N412" s="1" t="n">
        <f aca="false">N411+1</f>
        <v>409</v>
      </c>
      <c r="O412" s="150" t="str">
        <f aca="false">IFERROR(VLOOKUP(N412,$K$4:$L$509,2,0),"")</f>
        <v/>
      </c>
    </row>
    <row r="413" customFormat="false" ht="14.25" hidden="false" customHeight="false" outlineLevel="0" collapsed="false">
      <c r="F413" s="1" t="e">
        <f aca="false">IF(OR(I413=1,J413=1),1,0)</f>
        <v>#N/A</v>
      </c>
      <c r="G413" s="1" t="e">
        <f aca="false">TEXT(H413,"DDD")</f>
        <v>#N/A</v>
      </c>
      <c r="H413" s="150" t="e">
        <f aca="false">IF(H412&gt;='Tallerdata.com'!$X$4,NA(),H412+1)</f>
        <v>#N/A</v>
      </c>
      <c r="I413" s="2" t="n">
        <f aca="false">IFERROR(IF(VLOOKUP(H413,$A$4:$A$33,1,0),1,0),0)</f>
        <v>0</v>
      </c>
      <c r="J413" s="2" t="e">
        <f aca="false">IF(AND($D$4=TRUE(),G413="Sáb"),1,IF(AND($D$5=TRUE(),G413="Dom"),1,0))</f>
        <v>#N/A</v>
      </c>
      <c r="K413" s="2" t="e">
        <f aca="false">IF(L413="No",K412,K412+1)</f>
        <v>#N/A</v>
      </c>
      <c r="L413" s="152" t="e">
        <f aca="false">IF(AND(I413=0,J413=0),H413,"NO")</f>
        <v>#N/A</v>
      </c>
      <c r="N413" s="1" t="n">
        <f aca="false">N412+1</f>
        <v>410</v>
      </c>
      <c r="O413" s="150" t="str">
        <f aca="false">IFERROR(VLOOKUP(N413,$K$4:$L$509,2,0),"")</f>
        <v/>
      </c>
    </row>
    <row r="414" customFormat="false" ht="14.25" hidden="false" customHeight="false" outlineLevel="0" collapsed="false">
      <c r="F414" s="1" t="e">
        <f aca="false">IF(OR(I414=1,J414=1),1,0)</f>
        <v>#N/A</v>
      </c>
      <c r="G414" s="1" t="e">
        <f aca="false">TEXT(H414,"DDD")</f>
        <v>#N/A</v>
      </c>
      <c r="H414" s="150" t="e">
        <f aca="false">IF(H413&gt;='Tallerdata.com'!$X$4,NA(),H413+1)</f>
        <v>#N/A</v>
      </c>
      <c r="I414" s="2" t="n">
        <f aca="false">IFERROR(IF(VLOOKUP(H414,$A$4:$A$33,1,0),1,0),0)</f>
        <v>0</v>
      </c>
      <c r="J414" s="2" t="e">
        <f aca="false">IF(AND($D$4=TRUE(),G414="Sáb"),1,IF(AND($D$5=TRUE(),G414="Dom"),1,0))</f>
        <v>#N/A</v>
      </c>
      <c r="K414" s="2" t="e">
        <f aca="false">IF(L414="No",K413,K413+1)</f>
        <v>#N/A</v>
      </c>
      <c r="L414" s="152" t="e">
        <f aca="false">IF(AND(I414=0,J414=0),H414,"NO")</f>
        <v>#N/A</v>
      </c>
      <c r="N414" s="1" t="n">
        <f aca="false">N413+1</f>
        <v>411</v>
      </c>
      <c r="O414" s="150" t="str">
        <f aca="false">IFERROR(VLOOKUP(N414,$K$4:$L$509,2,0),"")</f>
        <v/>
      </c>
    </row>
    <row r="415" customFormat="false" ht="14.25" hidden="false" customHeight="false" outlineLevel="0" collapsed="false">
      <c r="F415" s="1" t="e">
        <f aca="false">IF(OR(I415=1,J415=1),1,0)</f>
        <v>#N/A</v>
      </c>
      <c r="G415" s="1" t="e">
        <f aca="false">TEXT(H415,"DDD")</f>
        <v>#N/A</v>
      </c>
      <c r="H415" s="150" t="e">
        <f aca="false">IF(H414&gt;='Tallerdata.com'!$X$4,NA(),H414+1)</f>
        <v>#N/A</v>
      </c>
      <c r="I415" s="2" t="n">
        <f aca="false">IFERROR(IF(VLOOKUP(H415,$A$4:$A$33,1,0),1,0),0)</f>
        <v>0</v>
      </c>
      <c r="J415" s="2" t="e">
        <f aca="false">IF(AND($D$4=TRUE(),G415="Sáb"),1,IF(AND($D$5=TRUE(),G415="Dom"),1,0))</f>
        <v>#N/A</v>
      </c>
      <c r="K415" s="2" t="e">
        <f aca="false">IF(L415="No",K414,K414+1)</f>
        <v>#N/A</v>
      </c>
      <c r="L415" s="152" t="e">
        <f aca="false">IF(AND(I415=0,J415=0),H415,"NO")</f>
        <v>#N/A</v>
      </c>
      <c r="N415" s="1" t="n">
        <f aca="false">N414+1</f>
        <v>412</v>
      </c>
      <c r="O415" s="150" t="str">
        <f aca="false">IFERROR(VLOOKUP(N415,$K$4:$L$509,2,0),"")</f>
        <v/>
      </c>
    </row>
    <row r="416" customFormat="false" ht="14.25" hidden="false" customHeight="false" outlineLevel="0" collapsed="false">
      <c r="F416" s="1" t="e">
        <f aca="false">IF(OR(I416=1,J416=1),1,0)</f>
        <v>#N/A</v>
      </c>
      <c r="G416" s="1" t="e">
        <f aca="false">TEXT(H416,"DDD")</f>
        <v>#N/A</v>
      </c>
      <c r="H416" s="150" t="e">
        <f aca="false">IF(H415&gt;='Tallerdata.com'!$X$4,NA(),H415+1)</f>
        <v>#N/A</v>
      </c>
      <c r="I416" s="2" t="n">
        <f aca="false">IFERROR(IF(VLOOKUP(H416,$A$4:$A$33,1,0),1,0),0)</f>
        <v>0</v>
      </c>
      <c r="J416" s="2" t="e">
        <f aca="false">IF(AND($D$4=TRUE(),G416="Sáb"),1,IF(AND($D$5=TRUE(),G416="Dom"),1,0))</f>
        <v>#N/A</v>
      </c>
      <c r="K416" s="2" t="e">
        <f aca="false">IF(L416="No",K415,K415+1)</f>
        <v>#N/A</v>
      </c>
      <c r="L416" s="152" t="e">
        <f aca="false">IF(AND(I416=0,J416=0),H416,"NO")</f>
        <v>#N/A</v>
      </c>
      <c r="N416" s="1" t="n">
        <f aca="false">N415+1</f>
        <v>413</v>
      </c>
      <c r="O416" s="150" t="str">
        <f aca="false">IFERROR(VLOOKUP(N416,$K$4:$L$509,2,0),"")</f>
        <v/>
      </c>
    </row>
    <row r="417" customFormat="false" ht="14.25" hidden="false" customHeight="false" outlineLevel="0" collapsed="false">
      <c r="F417" s="1" t="e">
        <f aca="false">IF(OR(I417=1,J417=1),1,0)</f>
        <v>#N/A</v>
      </c>
      <c r="G417" s="1" t="e">
        <f aca="false">TEXT(H417,"DDD")</f>
        <v>#N/A</v>
      </c>
      <c r="H417" s="150" t="e">
        <f aca="false">IF(H416&gt;='Tallerdata.com'!$X$4,NA(),H416+1)</f>
        <v>#N/A</v>
      </c>
      <c r="I417" s="2" t="n">
        <f aca="false">IFERROR(IF(VLOOKUP(H417,$A$4:$A$33,1,0),1,0),0)</f>
        <v>0</v>
      </c>
      <c r="J417" s="2" t="e">
        <f aca="false">IF(AND($D$4=TRUE(),G417="Sáb"),1,IF(AND($D$5=TRUE(),G417="Dom"),1,0))</f>
        <v>#N/A</v>
      </c>
      <c r="K417" s="2" t="e">
        <f aca="false">IF(L417="No",K416,K416+1)</f>
        <v>#N/A</v>
      </c>
      <c r="L417" s="152" t="e">
        <f aca="false">IF(AND(I417=0,J417=0),H417,"NO")</f>
        <v>#N/A</v>
      </c>
      <c r="N417" s="1" t="n">
        <f aca="false">N416+1</f>
        <v>414</v>
      </c>
      <c r="O417" s="150" t="str">
        <f aca="false">IFERROR(VLOOKUP(N417,$K$4:$L$509,2,0),"")</f>
        <v/>
      </c>
    </row>
    <row r="418" customFormat="false" ht="14.25" hidden="false" customHeight="false" outlineLevel="0" collapsed="false">
      <c r="F418" s="1" t="e">
        <f aca="false">IF(OR(I418=1,J418=1),1,0)</f>
        <v>#N/A</v>
      </c>
      <c r="G418" s="1" t="e">
        <f aca="false">TEXT(H418,"DDD")</f>
        <v>#N/A</v>
      </c>
      <c r="H418" s="150" t="e">
        <f aca="false">IF(H417&gt;='Tallerdata.com'!$X$4,NA(),H417+1)</f>
        <v>#N/A</v>
      </c>
      <c r="I418" s="2" t="n">
        <f aca="false">IFERROR(IF(VLOOKUP(H418,$A$4:$A$33,1,0),1,0),0)</f>
        <v>0</v>
      </c>
      <c r="J418" s="2" t="e">
        <f aca="false">IF(AND($D$4=TRUE(),G418="Sáb"),1,IF(AND($D$5=TRUE(),G418="Dom"),1,0))</f>
        <v>#N/A</v>
      </c>
      <c r="K418" s="2" t="e">
        <f aca="false">IF(L418="No",K417,K417+1)</f>
        <v>#N/A</v>
      </c>
      <c r="L418" s="152" t="e">
        <f aca="false">IF(AND(I418=0,J418=0),H418,"NO")</f>
        <v>#N/A</v>
      </c>
      <c r="N418" s="1" t="n">
        <f aca="false">N417+1</f>
        <v>415</v>
      </c>
      <c r="O418" s="150" t="str">
        <f aca="false">IFERROR(VLOOKUP(N418,$K$4:$L$509,2,0),"")</f>
        <v/>
      </c>
    </row>
    <row r="419" customFormat="false" ht="14.25" hidden="false" customHeight="false" outlineLevel="0" collapsed="false">
      <c r="F419" s="1" t="e">
        <f aca="false">IF(OR(I419=1,J419=1),1,0)</f>
        <v>#N/A</v>
      </c>
      <c r="G419" s="1" t="e">
        <f aca="false">TEXT(H419,"DDD")</f>
        <v>#N/A</v>
      </c>
      <c r="H419" s="150" t="e">
        <f aca="false">IF(H418&gt;='Tallerdata.com'!$X$4,NA(),H418+1)</f>
        <v>#N/A</v>
      </c>
      <c r="I419" s="2" t="n">
        <f aca="false">IFERROR(IF(VLOOKUP(H419,$A$4:$A$33,1,0),1,0),0)</f>
        <v>0</v>
      </c>
      <c r="J419" s="2" t="e">
        <f aca="false">IF(AND($D$4=TRUE(),G419="Sáb"),1,IF(AND($D$5=TRUE(),G419="Dom"),1,0))</f>
        <v>#N/A</v>
      </c>
      <c r="K419" s="2" t="e">
        <f aca="false">IF(L419="No",K418,K418+1)</f>
        <v>#N/A</v>
      </c>
      <c r="L419" s="152" t="e">
        <f aca="false">IF(AND(I419=0,J419=0),H419,"NO")</f>
        <v>#N/A</v>
      </c>
      <c r="N419" s="1" t="n">
        <f aca="false">N418+1</f>
        <v>416</v>
      </c>
      <c r="O419" s="150" t="str">
        <f aca="false">IFERROR(VLOOKUP(N419,$K$4:$L$509,2,0),"")</f>
        <v/>
      </c>
    </row>
    <row r="420" customFormat="false" ht="14.25" hidden="false" customHeight="false" outlineLevel="0" collapsed="false">
      <c r="F420" s="1" t="e">
        <f aca="false">IF(OR(I420=1,J420=1),1,0)</f>
        <v>#N/A</v>
      </c>
      <c r="G420" s="1" t="e">
        <f aca="false">TEXT(H420,"DDD")</f>
        <v>#N/A</v>
      </c>
      <c r="H420" s="150" t="e">
        <f aca="false">IF(H419&gt;='Tallerdata.com'!$X$4,NA(),H419+1)</f>
        <v>#N/A</v>
      </c>
      <c r="I420" s="2" t="n">
        <f aca="false">IFERROR(IF(VLOOKUP(H420,$A$4:$A$33,1,0),1,0),0)</f>
        <v>0</v>
      </c>
      <c r="J420" s="2" t="e">
        <f aca="false">IF(AND($D$4=TRUE(),G420="Sáb"),1,IF(AND($D$5=TRUE(),G420="Dom"),1,0))</f>
        <v>#N/A</v>
      </c>
      <c r="K420" s="2" t="e">
        <f aca="false">IF(L420="No",K419,K419+1)</f>
        <v>#N/A</v>
      </c>
      <c r="L420" s="152" t="e">
        <f aca="false">IF(AND(I420=0,J420=0),H420,"NO")</f>
        <v>#N/A</v>
      </c>
      <c r="N420" s="1" t="n">
        <f aca="false">N419+1</f>
        <v>417</v>
      </c>
      <c r="O420" s="150" t="str">
        <f aca="false">IFERROR(VLOOKUP(N420,$K$4:$L$509,2,0),"")</f>
        <v/>
      </c>
    </row>
    <row r="421" customFormat="false" ht="14.25" hidden="false" customHeight="false" outlineLevel="0" collapsed="false">
      <c r="F421" s="1" t="e">
        <f aca="false">IF(OR(I421=1,J421=1),1,0)</f>
        <v>#N/A</v>
      </c>
      <c r="G421" s="1" t="e">
        <f aca="false">TEXT(H421,"DDD")</f>
        <v>#N/A</v>
      </c>
      <c r="H421" s="150" t="e">
        <f aca="false">IF(H420&gt;='Tallerdata.com'!$X$4,NA(),H420+1)</f>
        <v>#N/A</v>
      </c>
      <c r="I421" s="2" t="n">
        <f aca="false">IFERROR(IF(VLOOKUP(H421,$A$4:$A$33,1,0),1,0),0)</f>
        <v>0</v>
      </c>
      <c r="J421" s="2" t="e">
        <f aca="false">IF(AND($D$4=TRUE(),G421="Sáb"),1,IF(AND($D$5=TRUE(),G421="Dom"),1,0))</f>
        <v>#N/A</v>
      </c>
      <c r="K421" s="2" t="e">
        <f aca="false">IF(L421="No",K420,K420+1)</f>
        <v>#N/A</v>
      </c>
      <c r="L421" s="152" t="e">
        <f aca="false">IF(AND(I421=0,J421=0),H421,"NO")</f>
        <v>#N/A</v>
      </c>
      <c r="N421" s="1" t="n">
        <f aca="false">N420+1</f>
        <v>418</v>
      </c>
      <c r="O421" s="150" t="str">
        <f aca="false">IFERROR(VLOOKUP(N421,$K$4:$L$509,2,0),"")</f>
        <v/>
      </c>
    </row>
    <row r="422" customFormat="false" ht="14.25" hidden="false" customHeight="false" outlineLevel="0" collapsed="false">
      <c r="F422" s="1" t="e">
        <f aca="false">IF(OR(I422=1,J422=1),1,0)</f>
        <v>#N/A</v>
      </c>
      <c r="G422" s="1" t="e">
        <f aca="false">TEXT(H422,"DDD")</f>
        <v>#N/A</v>
      </c>
      <c r="H422" s="150" t="e">
        <f aca="false">IF(H421&gt;='Tallerdata.com'!$X$4,NA(),H421+1)</f>
        <v>#N/A</v>
      </c>
      <c r="I422" s="2" t="n">
        <f aca="false">IFERROR(IF(VLOOKUP(H422,$A$4:$A$33,1,0),1,0),0)</f>
        <v>0</v>
      </c>
      <c r="J422" s="2" t="e">
        <f aca="false">IF(AND($D$4=TRUE(),G422="Sáb"),1,IF(AND($D$5=TRUE(),G422="Dom"),1,0))</f>
        <v>#N/A</v>
      </c>
      <c r="K422" s="2" t="e">
        <f aca="false">IF(L422="No",K421,K421+1)</f>
        <v>#N/A</v>
      </c>
      <c r="L422" s="152" t="e">
        <f aca="false">IF(AND(I422=0,J422=0),H422,"NO")</f>
        <v>#N/A</v>
      </c>
      <c r="N422" s="1" t="n">
        <f aca="false">N421+1</f>
        <v>419</v>
      </c>
      <c r="O422" s="150" t="str">
        <f aca="false">IFERROR(VLOOKUP(N422,$K$4:$L$509,2,0),"")</f>
        <v/>
      </c>
    </row>
    <row r="423" customFormat="false" ht="14.25" hidden="false" customHeight="false" outlineLevel="0" collapsed="false">
      <c r="F423" s="1" t="e">
        <f aca="false">IF(OR(I423=1,J423=1),1,0)</f>
        <v>#N/A</v>
      </c>
      <c r="G423" s="1" t="e">
        <f aca="false">TEXT(H423,"DDD")</f>
        <v>#N/A</v>
      </c>
      <c r="H423" s="150" t="e">
        <f aca="false">IF(H422&gt;='Tallerdata.com'!$X$4,NA(),H422+1)</f>
        <v>#N/A</v>
      </c>
      <c r="I423" s="2" t="n">
        <f aca="false">IFERROR(IF(VLOOKUP(H423,$A$4:$A$33,1,0),1,0),0)</f>
        <v>0</v>
      </c>
      <c r="J423" s="2" t="e">
        <f aca="false">IF(AND($D$4=TRUE(),G423="Sáb"),1,IF(AND($D$5=TRUE(),G423="Dom"),1,0))</f>
        <v>#N/A</v>
      </c>
      <c r="K423" s="2" t="e">
        <f aca="false">IF(L423="No",K422,K422+1)</f>
        <v>#N/A</v>
      </c>
      <c r="L423" s="152" t="e">
        <f aca="false">IF(AND(I423=0,J423=0),H423,"NO")</f>
        <v>#N/A</v>
      </c>
      <c r="N423" s="1" t="n">
        <f aca="false">N422+1</f>
        <v>420</v>
      </c>
      <c r="O423" s="150" t="str">
        <f aca="false">IFERROR(VLOOKUP(N423,$K$4:$L$509,2,0),"")</f>
        <v/>
      </c>
    </row>
    <row r="424" customFormat="false" ht="14.25" hidden="false" customHeight="false" outlineLevel="0" collapsed="false">
      <c r="F424" s="1" t="e">
        <f aca="false">IF(OR(I424=1,J424=1),1,0)</f>
        <v>#N/A</v>
      </c>
      <c r="G424" s="1" t="e">
        <f aca="false">TEXT(H424,"DDD")</f>
        <v>#N/A</v>
      </c>
      <c r="H424" s="150" t="e">
        <f aca="false">IF(H423&gt;='Tallerdata.com'!$X$4,NA(),H423+1)</f>
        <v>#N/A</v>
      </c>
      <c r="I424" s="2" t="n">
        <f aca="false">IFERROR(IF(VLOOKUP(H424,$A$4:$A$33,1,0),1,0),0)</f>
        <v>0</v>
      </c>
      <c r="J424" s="2" t="e">
        <f aca="false">IF(AND($D$4=TRUE(),G424="Sáb"),1,IF(AND($D$5=TRUE(),G424="Dom"),1,0))</f>
        <v>#N/A</v>
      </c>
      <c r="K424" s="2" t="e">
        <f aca="false">IF(L424="No",K423,K423+1)</f>
        <v>#N/A</v>
      </c>
      <c r="L424" s="152" t="e">
        <f aca="false">IF(AND(I424=0,J424=0),H424,"NO")</f>
        <v>#N/A</v>
      </c>
      <c r="N424" s="1" t="n">
        <f aca="false">N423+1</f>
        <v>421</v>
      </c>
      <c r="O424" s="150" t="str">
        <f aca="false">IFERROR(VLOOKUP(N424,$K$4:$L$509,2,0),"")</f>
        <v/>
      </c>
    </row>
    <row r="425" customFormat="false" ht="14.25" hidden="false" customHeight="false" outlineLevel="0" collapsed="false">
      <c r="F425" s="1" t="e">
        <f aca="false">IF(OR(I425=1,J425=1),1,0)</f>
        <v>#N/A</v>
      </c>
      <c r="G425" s="1" t="e">
        <f aca="false">TEXT(H425,"DDD")</f>
        <v>#N/A</v>
      </c>
      <c r="H425" s="150" t="e">
        <f aca="false">IF(H424&gt;='Tallerdata.com'!$X$4,NA(),H424+1)</f>
        <v>#N/A</v>
      </c>
      <c r="I425" s="2" t="n">
        <f aca="false">IFERROR(IF(VLOOKUP(H425,$A$4:$A$33,1,0),1,0),0)</f>
        <v>0</v>
      </c>
      <c r="J425" s="2" t="e">
        <f aca="false">IF(AND($D$4=TRUE(),G425="Sáb"),1,IF(AND($D$5=TRUE(),G425="Dom"),1,0))</f>
        <v>#N/A</v>
      </c>
      <c r="K425" s="2" t="e">
        <f aca="false">IF(L425="No",K424,K424+1)</f>
        <v>#N/A</v>
      </c>
      <c r="L425" s="152" t="e">
        <f aca="false">IF(AND(I425=0,J425=0),H425,"NO")</f>
        <v>#N/A</v>
      </c>
      <c r="N425" s="1" t="n">
        <f aca="false">N424+1</f>
        <v>422</v>
      </c>
      <c r="O425" s="150" t="str">
        <f aca="false">IFERROR(VLOOKUP(N425,$K$4:$L$509,2,0),"")</f>
        <v/>
      </c>
    </row>
    <row r="426" customFormat="false" ht="14.25" hidden="false" customHeight="false" outlineLevel="0" collapsed="false">
      <c r="F426" s="1" t="e">
        <f aca="false">IF(OR(I426=1,J426=1),1,0)</f>
        <v>#N/A</v>
      </c>
      <c r="G426" s="1" t="e">
        <f aca="false">TEXT(H426,"DDD")</f>
        <v>#N/A</v>
      </c>
      <c r="H426" s="150" t="e">
        <f aca="false">IF(H425&gt;='Tallerdata.com'!$X$4,NA(),H425+1)</f>
        <v>#N/A</v>
      </c>
      <c r="I426" s="2" t="n">
        <f aca="false">IFERROR(IF(VLOOKUP(H426,$A$4:$A$33,1,0),1,0),0)</f>
        <v>0</v>
      </c>
      <c r="J426" s="2" t="e">
        <f aca="false">IF(AND($D$4=TRUE(),G426="Sáb"),1,IF(AND($D$5=TRUE(),G426="Dom"),1,0))</f>
        <v>#N/A</v>
      </c>
      <c r="K426" s="2" t="e">
        <f aca="false">IF(L426="No",K425,K425+1)</f>
        <v>#N/A</v>
      </c>
      <c r="L426" s="152" t="e">
        <f aca="false">IF(AND(I426=0,J426=0),H426,"NO")</f>
        <v>#N/A</v>
      </c>
      <c r="N426" s="1" t="n">
        <f aca="false">N425+1</f>
        <v>423</v>
      </c>
      <c r="O426" s="150" t="str">
        <f aca="false">IFERROR(VLOOKUP(N426,$K$4:$L$509,2,0),"")</f>
        <v/>
      </c>
    </row>
    <row r="427" customFormat="false" ht="14.25" hidden="false" customHeight="false" outlineLevel="0" collapsed="false">
      <c r="F427" s="1" t="e">
        <f aca="false">IF(OR(I427=1,J427=1),1,0)</f>
        <v>#N/A</v>
      </c>
      <c r="G427" s="1" t="e">
        <f aca="false">TEXT(H427,"DDD")</f>
        <v>#N/A</v>
      </c>
      <c r="H427" s="150" t="e">
        <f aca="false">IF(H426&gt;='Tallerdata.com'!$X$4,NA(),H426+1)</f>
        <v>#N/A</v>
      </c>
      <c r="I427" s="2" t="n">
        <f aca="false">IFERROR(IF(VLOOKUP(H427,$A$4:$A$33,1,0),1,0),0)</f>
        <v>0</v>
      </c>
      <c r="J427" s="2" t="e">
        <f aca="false">IF(AND($D$4=TRUE(),G427="Sáb"),1,IF(AND($D$5=TRUE(),G427="Dom"),1,0))</f>
        <v>#N/A</v>
      </c>
      <c r="K427" s="2" t="e">
        <f aca="false">IF(L427="No",K426,K426+1)</f>
        <v>#N/A</v>
      </c>
      <c r="L427" s="152" t="e">
        <f aca="false">IF(AND(I427=0,J427=0),H427,"NO")</f>
        <v>#N/A</v>
      </c>
      <c r="N427" s="1" t="n">
        <f aca="false">N426+1</f>
        <v>424</v>
      </c>
      <c r="O427" s="150" t="str">
        <f aca="false">IFERROR(VLOOKUP(N427,$K$4:$L$509,2,0),"")</f>
        <v/>
      </c>
    </row>
    <row r="428" customFormat="false" ht="14.25" hidden="false" customHeight="false" outlineLevel="0" collapsed="false">
      <c r="F428" s="1" t="e">
        <f aca="false">IF(OR(I428=1,J428=1),1,0)</f>
        <v>#N/A</v>
      </c>
      <c r="G428" s="1" t="e">
        <f aca="false">TEXT(H428,"DDD")</f>
        <v>#N/A</v>
      </c>
      <c r="H428" s="150" t="e">
        <f aca="false">IF(H427&gt;='Tallerdata.com'!$X$4,NA(),H427+1)</f>
        <v>#N/A</v>
      </c>
      <c r="I428" s="2" t="n">
        <f aca="false">IFERROR(IF(VLOOKUP(H428,$A$4:$A$33,1,0),1,0),0)</f>
        <v>0</v>
      </c>
      <c r="J428" s="2" t="e">
        <f aca="false">IF(AND($D$4=TRUE(),G428="Sáb"),1,IF(AND($D$5=TRUE(),G428="Dom"),1,0))</f>
        <v>#N/A</v>
      </c>
      <c r="K428" s="2" t="e">
        <f aca="false">IF(L428="No",K427,K427+1)</f>
        <v>#N/A</v>
      </c>
      <c r="L428" s="152" t="e">
        <f aca="false">IF(AND(I428=0,J428=0),H428,"NO")</f>
        <v>#N/A</v>
      </c>
      <c r="N428" s="1" t="n">
        <f aca="false">N427+1</f>
        <v>425</v>
      </c>
      <c r="O428" s="150" t="str">
        <f aca="false">IFERROR(VLOOKUP(N428,$K$4:$L$509,2,0),"")</f>
        <v/>
      </c>
    </row>
    <row r="429" customFormat="false" ht="14.25" hidden="false" customHeight="false" outlineLevel="0" collapsed="false">
      <c r="F429" s="1" t="e">
        <f aca="false">IF(OR(I429=1,J429=1),1,0)</f>
        <v>#N/A</v>
      </c>
      <c r="G429" s="1" t="e">
        <f aca="false">TEXT(H429,"DDD")</f>
        <v>#N/A</v>
      </c>
      <c r="H429" s="150" t="e">
        <f aca="false">IF(H428&gt;='Tallerdata.com'!$X$4,NA(),H428+1)</f>
        <v>#N/A</v>
      </c>
      <c r="I429" s="2" t="n">
        <f aca="false">IFERROR(IF(VLOOKUP(H429,$A$4:$A$33,1,0),1,0),0)</f>
        <v>0</v>
      </c>
      <c r="J429" s="2" t="e">
        <f aca="false">IF(AND($D$4=TRUE(),G429="Sáb"),1,IF(AND($D$5=TRUE(),G429="Dom"),1,0))</f>
        <v>#N/A</v>
      </c>
      <c r="K429" s="2" t="e">
        <f aca="false">IF(L429="No",K428,K428+1)</f>
        <v>#N/A</v>
      </c>
      <c r="L429" s="152" t="e">
        <f aca="false">IF(AND(I429=0,J429=0),H429,"NO")</f>
        <v>#N/A</v>
      </c>
      <c r="N429" s="1" t="n">
        <f aca="false">N428+1</f>
        <v>426</v>
      </c>
      <c r="O429" s="150" t="str">
        <f aca="false">IFERROR(VLOOKUP(N429,$K$4:$L$509,2,0),"")</f>
        <v/>
      </c>
    </row>
    <row r="430" customFormat="false" ht="14.25" hidden="false" customHeight="false" outlineLevel="0" collapsed="false">
      <c r="F430" s="1" t="e">
        <f aca="false">IF(OR(I430=1,J430=1),1,0)</f>
        <v>#N/A</v>
      </c>
      <c r="G430" s="1" t="e">
        <f aca="false">TEXT(H430,"DDD")</f>
        <v>#N/A</v>
      </c>
      <c r="H430" s="150" t="e">
        <f aca="false">IF(H429&gt;='Tallerdata.com'!$X$4,NA(),H429+1)</f>
        <v>#N/A</v>
      </c>
      <c r="I430" s="2" t="n">
        <f aca="false">IFERROR(IF(VLOOKUP(H430,$A$4:$A$33,1,0),1,0),0)</f>
        <v>0</v>
      </c>
      <c r="J430" s="2" t="e">
        <f aca="false">IF(AND($D$4=TRUE(),G430="Sáb"),1,IF(AND($D$5=TRUE(),G430="Dom"),1,0))</f>
        <v>#N/A</v>
      </c>
      <c r="K430" s="2" t="e">
        <f aca="false">IF(L430="No",K429,K429+1)</f>
        <v>#N/A</v>
      </c>
      <c r="L430" s="152" t="e">
        <f aca="false">IF(AND(I430=0,J430=0),H430,"NO")</f>
        <v>#N/A</v>
      </c>
      <c r="N430" s="1" t="n">
        <f aca="false">N429+1</f>
        <v>427</v>
      </c>
      <c r="O430" s="150" t="str">
        <f aca="false">IFERROR(VLOOKUP(N430,$K$4:$L$509,2,0),"")</f>
        <v/>
      </c>
    </row>
    <row r="431" customFormat="false" ht="14.25" hidden="false" customHeight="false" outlineLevel="0" collapsed="false">
      <c r="F431" s="1" t="e">
        <f aca="false">IF(OR(I431=1,J431=1),1,0)</f>
        <v>#N/A</v>
      </c>
      <c r="G431" s="1" t="e">
        <f aca="false">TEXT(H431,"DDD")</f>
        <v>#N/A</v>
      </c>
      <c r="H431" s="150" t="e">
        <f aca="false">IF(H430&gt;='Tallerdata.com'!$X$4,NA(),H430+1)</f>
        <v>#N/A</v>
      </c>
      <c r="I431" s="2" t="n">
        <f aca="false">IFERROR(IF(VLOOKUP(H431,$A$4:$A$33,1,0),1,0),0)</f>
        <v>0</v>
      </c>
      <c r="J431" s="2" t="e">
        <f aca="false">IF(AND($D$4=TRUE(),G431="Sáb"),1,IF(AND($D$5=TRUE(),G431="Dom"),1,0))</f>
        <v>#N/A</v>
      </c>
      <c r="K431" s="2" t="e">
        <f aca="false">IF(L431="No",K430,K430+1)</f>
        <v>#N/A</v>
      </c>
      <c r="L431" s="152" t="e">
        <f aca="false">IF(AND(I431=0,J431=0),H431,"NO")</f>
        <v>#N/A</v>
      </c>
      <c r="N431" s="1" t="n">
        <f aca="false">N430+1</f>
        <v>428</v>
      </c>
      <c r="O431" s="150" t="str">
        <f aca="false">IFERROR(VLOOKUP(N431,$K$4:$L$509,2,0),"")</f>
        <v/>
      </c>
    </row>
    <row r="432" customFormat="false" ht="14.25" hidden="false" customHeight="false" outlineLevel="0" collapsed="false">
      <c r="F432" s="1" t="e">
        <f aca="false">IF(OR(I432=1,J432=1),1,0)</f>
        <v>#N/A</v>
      </c>
      <c r="G432" s="1" t="e">
        <f aca="false">TEXT(H432,"DDD")</f>
        <v>#N/A</v>
      </c>
      <c r="H432" s="150" t="e">
        <f aca="false">IF(H431&gt;='Tallerdata.com'!$X$4,NA(),H431+1)</f>
        <v>#N/A</v>
      </c>
      <c r="I432" s="2" t="n">
        <f aca="false">IFERROR(IF(VLOOKUP(H432,$A$4:$A$33,1,0),1,0),0)</f>
        <v>0</v>
      </c>
      <c r="J432" s="2" t="e">
        <f aca="false">IF(AND($D$4=TRUE(),G432="Sáb"),1,IF(AND($D$5=TRUE(),G432="Dom"),1,0))</f>
        <v>#N/A</v>
      </c>
      <c r="K432" s="2" t="e">
        <f aca="false">IF(L432="No",K431,K431+1)</f>
        <v>#N/A</v>
      </c>
      <c r="L432" s="152" t="e">
        <f aca="false">IF(AND(I432=0,J432=0),H432,"NO")</f>
        <v>#N/A</v>
      </c>
      <c r="N432" s="1" t="n">
        <f aca="false">N431+1</f>
        <v>429</v>
      </c>
      <c r="O432" s="150" t="str">
        <f aca="false">IFERROR(VLOOKUP(N432,$K$4:$L$509,2,0),"")</f>
        <v/>
      </c>
    </row>
    <row r="433" customFormat="false" ht="14.25" hidden="false" customHeight="false" outlineLevel="0" collapsed="false">
      <c r="F433" s="1" t="e">
        <f aca="false">IF(OR(I433=1,J433=1),1,0)</f>
        <v>#N/A</v>
      </c>
      <c r="G433" s="1" t="e">
        <f aca="false">TEXT(H433,"DDD")</f>
        <v>#N/A</v>
      </c>
      <c r="H433" s="150" t="e">
        <f aca="false">IF(H432&gt;='Tallerdata.com'!$X$4,NA(),H432+1)</f>
        <v>#N/A</v>
      </c>
      <c r="I433" s="2" t="n">
        <f aca="false">IFERROR(IF(VLOOKUP(H433,$A$4:$A$33,1,0),1,0),0)</f>
        <v>0</v>
      </c>
      <c r="J433" s="2" t="e">
        <f aca="false">IF(AND($D$4=TRUE(),G433="Sáb"),1,IF(AND($D$5=TRUE(),G433="Dom"),1,0))</f>
        <v>#N/A</v>
      </c>
      <c r="K433" s="2" t="e">
        <f aca="false">IF(L433="No",K432,K432+1)</f>
        <v>#N/A</v>
      </c>
      <c r="L433" s="152" t="e">
        <f aca="false">IF(AND(I433=0,J433=0),H433,"NO")</f>
        <v>#N/A</v>
      </c>
      <c r="N433" s="1" t="n">
        <f aca="false">N432+1</f>
        <v>430</v>
      </c>
      <c r="O433" s="150" t="str">
        <f aca="false">IFERROR(VLOOKUP(N433,$K$4:$L$509,2,0),"")</f>
        <v/>
      </c>
    </row>
    <row r="434" customFormat="false" ht="14.25" hidden="false" customHeight="false" outlineLevel="0" collapsed="false">
      <c r="F434" s="1" t="e">
        <f aca="false">IF(OR(I434=1,J434=1),1,0)</f>
        <v>#N/A</v>
      </c>
      <c r="G434" s="1" t="e">
        <f aca="false">TEXT(H434,"DDD")</f>
        <v>#N/A</v>
      </c>
      <c r="H434" s="150" t="e">
        <f aca="false">IF(H433&gt;='Tallerdata.com'!$X$4,NA(),H433+1)</f>
        <v>#N/A</v>
      </c>
      <c r="I434" s="2" t="n">
        <f aca="false">IFERROR(IF(VLOOKUP(H434,$A$4:$A$33,1,0),1,0),0)</f>
        <v>0</v>
      </c>
      <c r="J434" s="2" t="e">
        <f aca="false">IF(AND($D$4=TRUE(),G434="Sáb"),1,IF(AND($D$5=TRUE(),G434="Dom"),1,0))</f>
        <v>#N/A</v>
      </c>
      <c r="K434" s="2" t="e">
        <f aca="false">IF(L434="No",K433,K433+1)</f>
        <v>#N/A</v>
      </c>
      <c r="L434" s="152" t="e">
        <f aca="false">IF(AND(I434=0,J434=0),H434,"NO")</f>
        <v>#N/A</v>
      </c>
      <c r="N434" s="1" t="n">
        <f aca="false">N433+1</f>
        <v>431</v>
      </c>
      <c r="O434" s="150" t="str">
        <f aca="false">IFERROR(VLOOKUP(N434,$K$4:$L$509,2,0),"")</f>
        <v/>
      </c>
    </row>
    <row r="435" customFormat="false" ht="14.25" hidden="false" customHeight="false" outlineLevel="0" collapsed="false">
      <c r="F435" s="1" t="e">
        <f aca="false">IF(OR(I435=1,J435=1),1,0)</f>
        <v>#N/A</v>
      </c>
      <c r="G435" s="1" t="e">
        <f aca="false">TEXT(H435,"DDD")</f>
        <v>#N/A</v>
      </c>
      <c r="H435" s="150" t="e">
        <f aca="false">IF(H434&gt;='Tallerdata.com'!$X$4,NA(),H434+1)</f>
        <v>#N/A</v>
      </c>
      <c r="I435" s="2" t="n">
        <f aca="false">IFERROR(IF(VLOOKUP(H435,$A$4:$A$33,1,0),1,0),0)</f>
        <v>0</v>
      </c>
      <c r="J435" s="2" t="e">
        <f aca="false">IF(AND($D$4=TRUE(),G435="Sáb"),1,IF(AND($D$5=TRUE(),G435="Dom"),1,0))</f>
        <v>#N/A</v>
      </c>
      <c r="K435" s="2" t="e">
        <f aca="false">IF(L435="No",K434,K434+1)</f>
        <v>#N/A</v>
      </c>
      <c r="L435" s="152" t="e">
        <f aca="false">IF(AND(I435=0,J435=0),H435,"NO")</f>
        <v>#N/A</v>
      </c>
      <c r="N435" s="1" t="n">
        <f aca="false">N434+1</f>
        <v>432</v>
      </c>
      <c r="O435" s="150" t="str">
        <f aca="false">IFERROR(VLOOKUP(N435,$K$4:$L$509,2,0),"")</f>
        <v/>
      </c>
    </row>
    <row r="436" customFormat="false" ht="14.25" hidden="false" customHeight="false" outlineLevel="0" collapsed="false">
      <c r="F436" s="1" t="e">
        <f aca="false">IF(OR(I436=1,J436=1),1,0)</f>
        <v>#N/A</v>
      </c>
      <c r="G436" s="1" t="e">
        <f aca="false">TEXT(H436,"DDD")</f>
        <v>#N/A</v>
      </c>
      <c r="H436" s="150" t="e">
        <f aca="false">IF(H435&gt;='Tallerdata.com'!$X$4,NA(),H435+1)</f>
        <v>#N/A</v>
      </c>
      <c r="I436" s="2" t="n">
        <f aca="false">IFERROR(IF(VLOOKUP(H436,$A$4:$A$33,1,0),1,0),0)</f>
        <v>0</v>
      </c>
      <c r="J436" s="2" t="e">
        <f aca="false">IF(AND($D$4=TRUE(),G436="Sáb"),1,IF(AND($D$5=TRUE(),G436="Dom"),1,0))</f>
        <v>#N/A</v>
      </c>
      <c r="K436" s="2" t="e">
        <f aca="false">IF(L436="No",K435,K435+1)</f>
        <v>#N/A</v>
      </c>
      <c r="L436" s="152" t="e">
        <f aca="false">IF(AND(I436=0,J436=0),H436,"NO")</f>
        <v>#N/A</v>
      </c>
      <c r="N436" s="1" t="n">
        <f aca="false">N435+1</f>
        <v>433</v>
      </c>
      <c r="O436" s="150" t="str">
        <f aca="false">IFERROR(VLOOKUP(N436,$K$4:$L$509,2,0),"")</f>
        <v/>
      </c>
    </row>
    <row r="437" customFormat="false" ht="14.25" hidden="false" customHeight="false" outlineLevel="0" collapsed="false">
      <c r="F437" s="1" t="e">
        <f aca="false">IF(OR(I437=1,J437=1),1,0)</f>
        <v>#N/A</v>
      </c>
      <c r="G437" s="1" t="e">
        <f aca="false">TEXT(H437,"DDD")</f>
        <v>#N/A</v>
      </c>
      <c r="H437" s="150" t="e">
        <f aca="false">IF(H436&gt;='Tallerdata.com'!$X$4,NA(),H436+1)</f>
        <v>#N/A</v>
      </c>
      <c r="I437" s="2" t="n">
        <f aca="false">IFERROR(IF(VLOOKUP(H437,$A$4:$A$33,1,0),1,0),0)</f>
        <v>0</v>
      </c>
      <c r="J437" s="2" t="e">
        <f aca="false">IF(AND($D$4=TRUE(),G437="Sáb"),1,IF(AND($D$5=TRUE(),G437="Dom"),1,0))</f>
        <v>#N/A</v>
      </c>
      <c r="K437" s="2" t="e">
        <f aca="false">IF(L437="No",K436,K436+1)</f>
        <v>#N/A</v>
      </c>
      <c r="L437" s="152" t="e">
        <f aca="false">IF(AND(I437=0,J437=0),H437,"NO")</f>
        <v>#N/A</v>
      </c>
      <c r="N437" s="1" t="n">
        <f aca="false">N436+1</f>
        <v>434</v>
      </c>
      <c r="O437" s="150" t="str">
        <f aca="false">IFERROR(VLOOKUP(N437,$K$4:$L$509,2,0),"")</f>
        <v/>
      </c>
    </row>
    <row r="438" customFormat="false" ht="14.25" hidden="false" customHeight="false" outlineLevel="0" collapsed="false">
      <c r="F438" s="1" t="e">
        <f aca="false">IF(OR(I438=1,J438=1),1,0)</f>
        <v>#N/A</v>
      </c>
      <c r="G438" s="1" t="e">
        <f aca="false">TEXT(H438,"DDD")</f>
        <v>#N/A</v>
      </c>
      <c r="H438" s="150" t="e">
        <f aca="false">IF(H437&gt;='Tallerdata.com'!$X$4,NA(),H437+1)</f>
        <v>#N/A</v>
      </c>
      <c r="I438" s="2" t="n">
        <f aca="false">IFERROR(IF(VLOOKUP(H438,$A$4:$A$33,1,0),1,0),0)</f>
        <v>0</v>
      </c>
      <c r="J438" s="2" t="e">
        <f aca="false">IF(AND($D$4=TRUE(),G438="Sáb"),1,IF(AND($D$5=TRUE(),G438="Dom"),1,0))</f>
        <v>#N/A</v>
      </c>
      <c r="K438" s="2" t="e">
        <f aca="false">IF(L438="No",K437,K437+1)</f>
        <v>#N/A</v>
      </c>
      <c r="L438" s="152" t="e">
        <f aca="false">IF(AND(I438=0,J438=0),H438,"NO")</f>
        <v>#N/A</v>
      </c>
      <c r="N438" s="1" t="n">
        <f aca="false">N437+1</f>
        <v>435</v>
      </c>
      <c r="O438" s="150" t="str">
        <f aca="false">IFERROR(VLOOKUP(N438,$K$4:$L$509,2,0),"")</f>
        <v/>
      </c>
    </row>
    <row r="439" customFormat="false" ht="14.25" hidden="false" customHeight="false" outlineLevel="0" collapsed="false">
      <c r="F439" s="1" t="e">
        <f aca="false">IF(OR(I439=1,J439=1),1,0)</f>
        <v>#N/A</v>
      </c>
      <c r="G439" s="1" t="e">
        <f aca="false">TEXT(H439,"DDD")</f>
        <v>#N/A</v>
      </c>
      <c r="H439" s="150" t="e">
        <f aca="false">IF(H438&gt;='Tallerdata.com'!$X$4,NA(),H438+1)</f>
        <v>#N/A</v>
      </c>
      <c r="I439" s="2" t="n">
        <f aca="false">IFERROR(IF(VLOOKUP(H439,$A$4:$A$33,1,0),1,0),0)</f>
        <v>0</v>
      </c>
      <c r="J439" s="2" t="e">
        <f aca="false">IF(AND($D$4=TRUE(),G439="Sáb"),1,IF(AND($D$5=TRUE(),G439="Dom"),1,0))</f>
        <v>#N/A</v>
      </c>
      <c r="K439" s="2" t="e">
        <f aca="false">IF(L439="No",K438,K438+1)</f>
        <v>#N/A</v>
      </c>
      <c r="L439" s="152" t="e">
        <f aca="false">IF(AND(I439=0,J439=0),H439,"NO")</f>
        <v>#N/A</v>
      </c>
      <c r="N439" s="1" t="n">
        <f aca="false">N438+1</f>
        <v>436</v>
      </c>
      <c r="O439" s="150" t="str">
        <f aca="false">IFERROR(VLOOKUP(N439,$K$4:$L$509,2,0),"")</f>
        <v/>
      </c>
    </row>
    <row r="440" customFormat="false" ht="14.25" hidden="false" customHeight="false" outlineLevel="0" collapsed="false">
      <c r="F440" s="1" t="e">
        <f aca="false">IF(OR(I440=1,J440=1),1,0)</f>
        <v>#N/A</v>
      </c>
      <c r="G440" s="1" t="e">
        <f aca="false">TEXT(H440,"DDD")</f>
        <v>#N/A</v>
      </c>
      <c r="H440" s="150" t="e">
        <f aca="false">IF(H439&gt;='Tallerdata.com'!$X$4,NA(),H439+1)</f>
        <v>#N/A</v>
      </c>
      <c r="I440" s="2" t="n">
        <f aca="false">IFERROR(IF(VLOOKUP(H440,$A$4:$A$33,1,0),1,0),0)</f>
        <v>0</v>
      </c>
      <c r="J440" s="2" t="e">
        <f aca="false">IF(AND($D$4=TRUE(),G440="Sáb"),1,IF(AND($D$5=TRUE(),G440="Dom"),1,0))</f>
        <v>#N/A</v>
      </c>
      <c r="K440" s="2" t="e">
        <f aca="false">IF(L440="No",K439,K439+1)</f>
        <v>#N/A</v>
      </c>
      <c r="L440" s="152" t="e">
        <f aca="false">IF(AND(I440=0,J440=0),H440,"NO")</f>
        <v>#N/A</v>
      </c>
      <c r="N440" s="1" t="n">
        <f aca="false">N439+1</f>
        <v>437</v>
      </c>
      <c r="O440" s="150" t="str">
        <f aca="false">IFERROR(VLOOKUP(N440,$K$4:$L$509,2,0),"")</f>
        <v/>
      </c>
    </row>
    <row r="441" customFormat="false" ht="14.25" hidden="false" customHeight="false" outlineLevel="0" collapsed="false">
      <c r="F441" s="1" t="e">
        <f aca="false">IF(OR(I441=1,J441=1),1,0)</f>
        <v>#N/A</v>
      </c>
      <c r="G441" s="1" t="e">
        <f aca="false">TEXT(H441,"DDD")</f>
        <v>#N/A</v>
      </c>
      <c r="H441" s="150" t="e">
        <f aca="false">IF(H440&gt;='Tallerdata.com'!$X$4,NA(),H440+1)</f>
        <v>#N/A</v>
      </c>
      <c r="I441" s="2" t="n">
        <f aca="false">IFERROR(IF(VLOOKUP(H441,$A$4:$A$33,1,0),1,0),0)</f>
        <v>0</v>
      </c>
      <c r="J441" s="2" t="e">
        <f aca="false">IF(AND($D$4=TRUE(),G441="Sáb"),1,IF(AND($D$5=TRUE(),G441="Dom"),1,0))</f>
        <v>#N/A</v>
      </c>
      <c r="K441" s="2" t="e">
        <f aca="false">IF(L441="No",K440,K440+1)</f>
        <v>#N/A</v>
      </c>
      <c r="L441" s="152" t="e">
        <f aca="false">IF(AND(I441=0,J441=0),H441,"NO")</f>
        <v>#N/A</v>
      </c>
      <c r="N441" s="1" t="n">
        <f aca="false">N440+1</f>
        <v>438</v>
      </c>
      <c r="O441" s="150" t="str">
        <f aca="false">IFERROR(VLOOKUP(N441,$K$4:$L$509,2,0),"")</f>
        <v/>
      </c>
    </row>
    <row r="442" customFormat="false" ht="14.25" hidden="false" customHeight="false" outlineLevel="0" collapsed="false">
      <c r="F442" s="1" t="e">
        <f aca="false">IF(OR(I442=1,J442=1),1,0)</f>
        <v>#N/A</v>
      </c>
      <c r="G442" s="1" t="e">
        <f aca="false">TEXT(H442,"DDD")</f>
        <v>#N/A</v>
      </c>
      <c r="H442" s="150" t="e">
        <f aca="false">IF(H441&gt;='Tallerdata.com'!$X$4,NA(),H441+1)</f>
        <v>#N/A</v>
      </c>
      <c r="I442" s="2" t="n">
        <f aca="false">IFERROR(IF(VLOOKUP(H442,$A$4:$A$33,1,0),1,0),0)</f>
        <v>0</v>
      </c>
      <c r="J442" s="2" t="e">
        <f aca="false">IF(AND($D$4=TRUE(),G442="Sáb"),1,IF(AND($D$5=TRUE(),G442="Dom"),1,0))</f>
        <v>#N/A</v>
      </c>
      <c r="K442" s="2" t="e">
        <f aca="false">IF(L442="No",K441,K441+1)</f>
        <v>#N/A</v>
      </c>
      <c r="L442" s="152" t="e">
        <f aca="false">IF(AND(I442=0,J442=0),H442,"NO")</f>
        <v>#N/A</v>
      </c>
      <c r="N442" s="1" t="n">
        <f aca="false">N441+1</f>
        <v>439</v>
      </c>
      <c r="O442" s="150" t="str">
        <f aca="false">IFERROR(VLOOKUP(N442,$K$4:$L$509,2,0),"")</f>
        <v/>
      </c>
    </row>
    <row r="443" customFormat="false" ht="14.25" hidden="false" customHeight="false" outlineLevel="0" collapsed="false">
      <c r="F443" s="1" t="e">
        <f aca="false">IF(OR(I443=1,J443=1),1,0)</f>
        <v>#N/A</v>
      </c>
      <c r="G443" s="1" t="e">
        <f aca="false">TEXT(H443,"DDD")</f>
        <v>#N/A</v>
      </c>
      <c r="H443" s="150" t="e">
        <f aca="false">IF(H442&gt;='Tallerdata.com'!$X$4,NA(),H442+1)</f>
        <v>#N/A</v>
      </c>
      <c r="I443" s="2" t="n">
        <f aca="false">IFERROR(IF(VLOOKUP(H443,$A$4:$A$33,1,0),1,0),0)</f>
        <v>0</v>
      </c>
      <c r="J443" s="2" t="e">
        <f aca="false">IF(AND($D$4=TRUE(),G443="Sáb"),1,IF(AND($D$5=TRUE(),G443="Dom"),1,0))</f>
        <v>#N/A</v>
      </c>
      <c r="K443" s="2" t="e">
        <f aca="false">IF(L443="No",K442,K442+1)</f>
        <v>#N/A</v>
      </c>
      <c r="L443" s="152" t="e">
        <f aca="false">IF(AND(I443=0,J443=0),H443,"NO")</f>
        <v>#N/A</v>
      </c>
      <c r="N443" s="1" t="n">
        <f aca="false">N442+1</f>
        <v>440</v>
      </c>
      <c r="O443" s="150" t="str">
        <f aca="false">IFERROR(VLOOKUP(N443,$K$4:$L$509,2,0),"")</f>
        <v/>
      </c>
    </row>
    <row r="444" customFormat="false" ht="14.25" hidden="false" customHeight="false" outlineLevel="0" collapsed="false">
      <c r="F444" s="1" t="e">
        <f aca="false">IF(OR(I444=1,J444=1),1,0)</f>
        <v>#N/A</v>
      </c>
      <c r="G444" s="1" t="e">
        <f aca="false">TEXT(H444,"DDD")</f>
        <v>#N/A</v>
      </c>
      <c r="H444" s="150" t="e">
        <f aca="false">IF(H443&gt;='Tallerdata.com'!$X$4,NA(),H443+1)</f>
        <v>#N/A</v>
      </c>
      <c r="I444" s="2" t="n">
        <f aca="false">IFERROR(IF(VLOOKUP(H444,$A$4:$A$33,1,0),1,0),0)</f>
        <v>0</v>
      </c>
      <c r="J444" s="2" t="e">
        <f aca="false">IF(AND($D$4=TRUE(),G444="Sáb"),1,IF(AND($D$5=TRUE(),G444="Dom"),1,0))</f>
        <v>#N/A</v>
      </c>
      <c r="K444" s="2" t="e">
        <f aca="false">IF(L444="No",K443,K443+1)</f>
        <v>#N/A</v>
      </c>
      <c r="L444" s="152" t="e">
        <f aca="false">IF(AND(I444=0,J444=0),H444,"NO")</f>
        <v>#N/A</v>
      </c>
      <c r="N444" s="1" t="n">
        <f aca="false">N443+1</f>
        <v>441</v>
      </c>
      <c r="O444" s="150" t="str">
        <f aca="false">IFERROR(VLOOKUP(N444,$K$4:$L$509,2,0),"")</f>
        <v/>
      </c>
    </row>
    <row r="445" customFormat="false" ht="14.25" hidden="false" customHeight="false" outlineLevel="0" collapsed="false">
      <c r="F445" s="1" t="e">
        <f aca="false">IF(OR(I445=1,J445=1),1,0)</f>
        <v>#N/A</v>
      </c>
      <c r="G445" s="1" t="e">
        <f aca="false">TEXT(H445,"DDD")</f>
        <v>#N/A</v>
      </c>
      <c r="H445" s="150" t="e">
        <f aca="false">IF(H444&gt;='Tallerdata.com'!$X$4,NA(),H444+1)</f>
        <v>#N/A</v>
      </c>
      <c r="I445" s="2" t="n">
        <f aca="false">IFERROR(IF(VLOOKUP(H445,$A$4:$A$33,1,0),1,0),0)</f>
        <v>0</v>
      </c>
      <c r="J445" s="2" t="e">
        <f aca="false">IF(AND($D$4=TRUE(),G445="Sáb"),1,IF(AND($D$5=TRUE(),G445="Dom"),1,0))</f>
        <v>#N/A</v>
      </c>
      <c r="K445" s="2" t="e">
        <f aca="false">IF(L445="No",K444,K444+1)</f>
        <v>#N/A</v>
      </c>
      <c r="L445" s="152" t="e">
        <f aca="false">IF(AND(I445=0,J445=0),H445,"NO")</f>
        <v>#N/A</v>
      </c>
      <c r="N445" s="1" t="n">
        <f aca="false">N444+1</f>
        <v>442</v>
      </c>
      <c r="O445" s="150" t="str">
        <f aca="false">IFERROR(VLOOKUP(N445,$K$4:$L$509,2,0),"")</f>
        <v/>
      </c>
    </row>
    <row r="446" customFormat="false" ht="14.25" hidden="false" customHeight="false" outlineLevel="0" collapsed="false">
      <c r="F446" s="1" t="e">
        <f aca="false">IF(OR(I446=1,J446=1),1,0)</f>
        <v>#N/A</v>
      </c>
      <c r="G446" s="1" t="e">
        <f aca="false">TEXT(H446,"DDD")</f>
        <v>#N/A</v>
      </c>
      <c r="H446" s="150" t="e">
        <f aca="false">IF(H445&gt;='Tallerdata.com'!$X$4,NA(),H445+1)</f>
        <v>#N/A</v>
      </c>
      <c r="I446" s="2" t="n">
        <f aca="false">IFERROR(IF(VLOOKUP(H446,$A$4:$A$33,1,0),1,0),0)</f>
        <v>0</v>
      </c>
      <c r="J446" s="2" t="e">
        <f aca="false">IF(AND($D$4=TRUE(),G446="Sáb"),1,IF(AND($D$5=TRUE(),G446="Dom"),1,0))</f>
        <v>#N/A</v>
      </c>
      <c r="K446" s="2" t="e">
        <f aca="false">IF(L446="No",K445,K445+1)</f>
        <v>#N/A</v>
      </c>
      <c r="L446" s="152" t="e">
        <f aca="false">IF(AND(I446=0,J446=0),H446,"NO")</f>
        <v>#N/A</v>
      </c>
      <c r="N446" s="1" t="n">
        <f aca="false">N445+1</f>
        <v>443</v>
      </c>
      <c r="O446" s="150" t="str">
        <f aca="false">IFERROR(VLOOKUP(N446,$K$4:$L$509,2,0),"")</f>
        <v/>
      </c>
    </row>
    <row r="447" customFormat="false" ht="14.25" hidden="false" customHeight="false" outlineLevel="0" collapsed="false">
      <c r="F447" s="1" t="e">
        <f aca="false">IF(OR(I447=1,J447=1),1,0)</f>
        <v>#N/A</v>
      </c>
      <c r="G447" s="1" t="e">
        <f aca="false">TEXT(H447,"DDD")</f>
        <v>#N/A</v>
      </c>
      <c r="H447" s="150" t="e">
        <f aca="false">IF(H446&gt;='Tallerdata.com'!$X$4,NA(),H446+1)</f>
        <v>#N/A</v>
      </c>
      <c r="I447" s="2" t="n">
        <f aca="false">IFERROR(IF(VLOOKUP(H447,$A$4:$A$33,1,0),1,0),0)</f>
        <v>0</v>
      </c>
      <c r="J447" s="2" t="e">
        <f aca="false">IF(AND($D$4=TRUE(),G447="Sáb"),1,IF(AND($D$5=TRUE(),G447="Dom"),1,0))</f>
        <v>#N/A</v>
      </c>
      <c r="K447" s="2" t="e">
        <f aca="false">IF(L447="No",K446,K446+1)</f>
        <v>#N/A</v>
      </c>
      <c r="L447" s="152" t="e">
        <f aca="false">IF(AND(I447=0,J447=0),H447,"NO")</f>
        <v>#N/A</v>
      </c>
      <c r="N447" s="1" t="n">
        <f aca="false">N446+1</f>
        <v>444</v>
      </c>
      <c r="O447" s="150" t="str">
        <f aca="false">IFERROR(VLOOKUP(N447,$K$4:$L$509,2,0),"")</f>
        <v/>
      </c>
    </row>
    <row r="448" customFormat="false" ht="14.25" hidden="false" customHeight="false" outlineLevel="0" collapsed="false">
      <c r="F448" s="1" t="e">
        <f aca="false">IF(OR(I448=1,J448=1),1,0)</f>
        <v>#N/A</v>
      </c>
      <c r="G448" s="1" t="e">
        <f aca="false">TEXT(H448,"DDD")</f>
        <v>#N/A</v>
      </c>
      <c r="H448" s="150" t="e">
        <f aca="false">IF(H447&gt;='Tallerdata.com'!$X$4,NA(),H447+1)</f>
        <v>#N/A</v>
      </c>
      <c r="I448" s="2" t="n">
        <f aca="false">IFERROR(IF(VLOOKUP(H448,$A$4:$A$33,1,0),1,0),0)</f>
        <v>0</v>
      </c>
      <c r="J448" s="2" t="e">
        <f aca="false">IF(AND($D$4=TRUE(),G448="Sáb"),1,IF(AND($D$5=TRUE(),G448="Dom"),1,0))</f>
        <v>#N/A</v>
      </c>
      <c r="K448" s="2" t="e">
        <f aca="false">IF(L448="No",K447,K447+1)</f>
        <v>#N/A</v>
      </c>
      <c r="L448" s="152" t="e">
        <f aca="false">IF(AND(I448=0,J448=0),H448,"NO")</f>
        <v>#N/A</v>
      </c>
      <c r="N448" s="1" t="n">
        <f aca="false">N447+1</f>
        <v>445</v>
      </c>
      <c r="O448" s="150" t="str">
        <f aca="false">IFERROR(VLOOKUP(N448,$K$4:$L$509,2,0),"")</f>
        <v/>
      </c>
    </row>
    <row r="449" customFormat="false" ht="14.25" hidden="false" customHeight="false" outlineLevel="0" collapsed="false">
      <c r="F449" s="1" t="e">
        <f aca="false">IF(OR(I449=1,J449=1),1,0)</f>
        <v>#N/A</v>
      </c>
      <c r="G449" s="1" t="e">
        <f aca="false">TEXT(H449,"DDD")</f>
        <v>#N/A</v>
      </c>
      <c r="H449" s="150" t="e">
        <f aca="false">IF(H448&gt;='Tallerdata.com'!$X$4,NA(),H448+1)</f>
        <v>#N/A</v>
      </c>
      <c r="I449" s="2" t="n">
        <f aca="false">IFERROR(IF(VLOOKUP(H449,$A$4:$A$33,1,0),1,0),0)</f>
        <v>0</v>
      </c>
      <c r="J449" s="2" t="e">
        <f aca="false">IF(AND($D$4=TRUE(),G449="Sáb"),1,IF(AND($D$5=TRUE(),G449="Dom"),1,0))</f>
        <v>#N/A</v>
      </c>
      <c r="K449" s="2" t="e">
        <f aca="false">IF(L449="No",K448,K448+1)</f>
        <v>#N/A</v>
      </c>
      <c r="L449" s="152" t="e">
        <f aca="false">IF(AND(I449=0,J449=0),H449,"NO")</f>
        <v>#N/A</v>
      </c>
      <c r="N449" s="1" t="n">
        <f aca="false">N448+1</f>
        <v>446</v>
      </c>
      <c r="O449" s="150" t="str">
        <f aca="false">IFERROR(VLOOKUP(N449,$K$4:$L$509,2,0),"")</f>
        <v/>
      </c>
    </row>
    <row r="450" customFormat="false" ht="14.25" hidden="false" customHeight="false" outlineLevel="0" collapsed="false">
      <c r="F450" s="1" t="e">
        <f aca="false">IF(OR(I450=1,J450=1),1,0)</f>
        <v>#N/A</v>
      </c>
      <c r="G450" s="1" t="e">
        <f aca="false">TEXT(H450,"DDD")</f>
        <v>#N/A</v>
      </c>
      <c r="H450" s="150" t="e">
        <f aca="false">IF(H449&gt;='Tallerdata.com'!$X$4,NA(),H449+1)</f>
        <v>#N/A</v>
      </c>
      <c r="I450" s="2" t="n">
        <f aca="false">IFERROR(IF(VLOOKUP(H450,$A$4:$A$33,1,0),1,0),0)</f>
        <v>0</v>
      </c>
      <c r="J450" s="2" t="e">
        <f aca="false">IF(AND($D$4=TRUE(),G450="Sáb"),1,IF(AND($D$5=TRUE(),G450="Dom"),1,0))</f>
        <v>#N/A</v>
      </c>
      <c r="K450" s="2" t="e">
        <f aca="false">IF(L450="No",K449,K449+1)</f>
        <v>#N/A</v>
      </c>
      <c r="L450" s="152" t="e">
        <f aca="false">IF(AND(I450=0,J450=0),H450,"NO")</f>
        <v>#N/A</v>
      </c>
      <c r="N450" s="1" t="n">
        <f aca="false">N449+1</f>
        <v>447</v>
      </c>
      <c r="O450" s="150" t="str">
        <f aca="false">IFERROR(VLOOKUP(N450,$K$4:$L$509,2,0),"")</f>
        <v/>
      </c>
    </row>
    <row r="451" customFormat="false" ht="14.25" hidden="false" customHeight="false" outlineLevel="0" collapsed="false">
      <c r="F451" s="1" t="e">
        <f aca="false">IF(OR(I451=1,J451=1),1,0)</f>
        <v>#N/A</v>
      </c>
      <c r="G451" s="1" t="e">
        <f aca="false">TEXT(H451,"DDD")</f>
        <v>#N/A</v>
      </c>
      <c r="H451" s="150" t="e">
        <f aca="false">IF(H450&gt;='Tallerdata.com'!$X$4,NA(),H450+1)</f>
        <v>#N/A</v>
      </c>
      <c r="I451" s="2" t="n">
        <f aca="false">IFERROR(IF(VLOOKUP(H451,$A$4:$A$33,1,0),1,0),0)</f>
        <v>0</v>
      </c>
      <c r="J451" s="2" t="e">
        <f aca="false">IF(AND($D$4=TRUE(),G451="Sáb"),1,IF(AND($D$5=TRUE(),G451="Dom"),1,0))</f>
        <v>#N/A</v>
      </c>
      <c r="K451" s="2" t="e">
        <f aca="false">IF(L451="No",K450,K450+1)</f>
        <v>#N/A</v>
      </c>
      <c r="L451" s="152" t="e">
        <f aca="false">IF(AND(I451=0,J451=0),H451,"NO")</f>
        <v>#N/A</v>
      </c>
      <c r="N451" s="1" t="n">
        <f aca="false">N450+1</f>
        <v>448</v>
      </c>
      <c r="O451" s="150" t="str">
        <f aca="false">IFERROR(VLOOKUP(N451,$K$4:$L$509,2,0),"")</f>
        <v/>
      </c>
    </row>
    <row r="452" customFormat="false" ht="14.25" hidden="false" customHeight="false" outlineLevel="0" collapsed="false">
      <c r="F452" s="1" t="e">
        <f aca="false">IF(OR(I452=1,J452=1),1,0)</f>
        <v>#N/A</v>
      </c>
      <c r="G452" s="1" t="e">
        <f aca="false">TEXT(H452,"DDD")</f>
        <v>#N/A</v>
      </c>
      <c r="H452" s="150" t="e">
        <f aca="false">IF(H451&gt;='Tallerdata.com'!$X$4,NA(),H451+1)</f>
        <v>#N/A</v>
      </c>
      <c r="I452" s="2" t="n">
        <f aca="false">IFERROR(IF(VLOOKUP(H452,$A$4:$A$33,1,0),1,0),0)</f>
        <v>0</v>
      </c>
      <c r="J452" s="2" t="e">
        <f aca="false">IF(AND($D$4=TRUE(),G452="Sáb"),1,IF(AND($D$5=TRUE(),G452="Dom"),1,0))</f>
        <v>#N/A</v>
      </c>
      <c r="K452" s="2" t="e">
        <f aca="false">IF(L452="No",K451,K451+1)</f>
        <v>#N/A</v>
      </c>
      <c r="L452" s="152" t="e">
        <f aca="false">IF(AND(I452=0,J452=0),H452,"NO")</f>
        <v>#N/A</v>
      </c>
      <c r="N452" s="1" t="n">
        <f aca="false">N451+1</f>
        <v>449</v>
      </c>
      <c r="O452" s="150" t="str">
        <f aca="false">IFERROR(VLOOKUP(N452,$K$4:$L$509,2,0),"")</f>
        <v/>
      </c>
    </row>
    <row r="453" customFormat="false" ht="14.25" hidden="false" customHeight="false" outlineLevel="0" collapsed="false">
      <c r="F453" s="1" t="e">
        <f aca="false">IF(OR(I453=1,J453=1),1,0)</f>
        <v>#N/A</v>
      </c>
      <c r="G453" s="1" t="e">
        <f aca="false">TEXT(H453,"DDD")</f>
        <v>#N/A</v>
      </c>
      <c r="H453" s="150" t="e">
        <f aca="false">IF(H452&gt;='Tallerdata.com'!$X$4,NA(),H452+1)</f>
        <v>#N/A</v>
      </c>
      <c r="I453" s="2" t="n">
        <f aca="false">IFERROR(IF(VLOOKUP(H453,$A$4:$A$33,1,0),1,0),0)</f>
        <v>0</v>
      </c>
      <c r="J453" s="2" t="e">
        <f aca="false">IF(AND($D$4=TRUE(),G453="Sáb"),1,IF(AND($D$5=TRUE(),G453="Dom"),1,0))</f>
        <v>#N/A</v>
      </c>
      <c r="K453" s="2" t="e">
        <f aca="false">IF(L453="No",K452,K452+1)</f>
        <v>#N/A</v>
      </c>
      <c r="L453" s="152" t="e">
        <f aca="false">IF(AND(I453=0,J453=0),H453,"NO")</f>
        <v>#N/A</v>
      </c>
      <c r="N453" s="1" t="n">
        <f aca="false">N452+1</f>
        <v>450</v>
      </c>
      <c r="O453" s="150" t="str">
        <f aca="false">IFERROR(VLOOKUP(N453,$K$4:$L$509,2,0),"")</f>
        <v/>
      </c>
    </row>
    <row r="454" customFormat="false" ht="14.25" hidden="false" customHeight="false" outlineLevel="0" collapsed="false">
      <c r="F454" s="1" t="e">
        <f aca="false">IF(OR(I454=1,J454=1),1,0)</f>
        <v>#N/A</v>
      </c>
      <c r="G454" s="1" t="e">
        <f aca="false">TEXT(H454,"DDD")</f>
        <v>#N/A</v>
      </c>
      <c r="H454" s="150" t="e">
        <f aca="false">IF(H453&gt;='Tallerdata.com'!$X$4,NA(),H453+1)</f>
        <v>#N/A</v>
      </c>
      <c r="I454" s="2" t="n">
        <f aca="false">IFERROR(IF(VLOOKUP(H454,$A$4:$A$33,1,0),1,0),0)</f>
        <v>0</v>
      </c>
      <c r="J454" s="2" t="e">
        <f aca="false">IF(AND($D$4=TRUE(),G454="Sáb"),1,IF(AND($D$5=TRUE(),G454="Dom"),1,0))</f>
        <v>#N/A</v>
      </c>
      <c r="K454" s="2" t="e">
        <f aca="false">IF(L454="No",K453,K453+1)</f>
        <v>#N/A</v>
      </c>
      <c r="L454" s="152" t="e">
        <f aca="false">IF(AND(I454=0,J454=0),H454,"NO")</f>
        <v>#N/A</v>
      </c>
      <c r="N454" s="1" t="n">
        <f aca="false">N453+1</f>
        <v>451</v>
      </c>
      <c r="O454" s="150" t="str">
        <f aca="false">IFERROR(VLOOKUP(N454,$K$4:$L$509,2,0),"")</f>
        <v/>
      </c>
    </row>
    <row r="455" customFormat="false" ht="14.25" hidden="false" customHeight="false" outlineLevel="0" collapsed="false">
      <c r="F455" s="1" t="e">
        <f aca="false">IF(OR(I455=1,J455=1),1,0)</f>
        <v>#N/A</v>
      </c>
      <c r="G455" s="1" t="e">
        <f aca="false">TEXT(H455,"DDD")</f>
        <v>#N/A</v>
      </c>
      <c r="H455" s="150" t="e">
        <f aca="false">IF(H454&gt;='Tallerdata.com'!$X$4,NA(),H454+1)</f>
        <v>#N/A</v>
      </c>
      <c r="I455" s="2" t="n">
        <f aca="false">IFERROR(IF(VLOOKUP(H455,$A$4:$A$33,1,0),1,0),0)</f>
        <v>0</v>
      </c>
      <c r="J455" s="2" t="e">
        <f aca="false">IF(AND($D$4=TRUE(),G455="Sáb"),1,IF(AND($D$5=TRUE(),G455="Dom"),1,0))</f>
        <v>#N/A</v>
      </c>
      <c r="K455" s="2" t="e">
        <f aca="false">IF(L455="No",K454,K454+1)</f>
        <v>#N/A</v>
      </c>
      <c r="L455" s="152" t="e">
        <f aca="false">IF(AND(I455=0,J455=0),H455,"NO")</f>
        <v>#N/A</v>
      </c>
      <c r="N455" s="1" t="n">
        <f aca="false">N454+1</f>
        <v>452</v>
      </c>
      <c r="O455" s="150" t="str">
        <f aca="false">IFERROR(VLOOKUP(N455,$K$4:$L$509,2,0),"")</f>
        <v/>
      </c>
    </row>
    <row r="456" customFormat="false" ht="14.25" hidden="false" customHeight="false" outlineLevel="0" collapsed="false">
      <c r="F456" s="1" t="e">
        <f aca="false">IF(OR(I456=1,J456=1),1,0)</f>
        <v>#N/A</v>
      </c>
      <c r="G456" s="1" t="e">
        <f aca="false">TEXT(H456,"DDD")</f>
        <v>#N/A</v>
      </c>
      <c r="H456" s="150" t="e">
        <f aca="false">IF(H455&gt;='Tallerdata.com'!$X$4,NA(),H455+1)</f>
        <v>#N/A</v>
      </c>
      <c r="I456" s="2" t="n">
        <f aca="false">IFERROR(IF(VLOOKUP(H456,$A$4:$A$33,1,0),1,0),0)</f>
        <v>0</v>
      </c>
      <c r="J456" s="2" t="e">
        <f aca="false">IF(AND($D$4=TRUE(),G456="Sáb"),1,IF(AND($D$5=TRUE(),G456="Dom"),1,0))</f>
        <v>#N/A</v>
      </c>
      <c r="K456" s="2" t="e">
        <f aca="false">IF(L456="No",K455,K455+1)</f>
        <v>#N/A</v>
      </c>
      <c r="L456" s="152" t="e">
        <f aca="false">IF(AND(I456=0,J456=0),H456,"NO")</f>
        <v>#N/A</v>
      </c>
      <c r="N456" s="1" t="n">
        <f aca="false">N455+1</f>
        <v>453</v>
      </c>
      <c r="O456" s="150" t="str">
        <f aca="false">IFERROR(VLOOKUP(N456,$K$4:$L$509,2,0),"")</f>
        <v/>
      </c>
    </row>
    <row r="457" customFormat="false" ht="14.25" hidden="false" customHeight="false" outlineLevel="0" collapsed="false">
      <c r="F457" s="1" t="e">
        <f aca="false">IF(OR(I457=1,J457=1),1,0)</f>
        <v>#N/A</v>
      </c>
      <c r="G457" s="1" t="e">
        <f aca="false">TEXT(H457,"DDD")</f>
        <v>#N/A</v>
      </c>
      <c r="H457" s="150" t="e">
        <f aca="false">IF(H456&gt;='Tallerdata.com'!$X$4,NA(),H456+1)</f>
        <v>#N/A</v>
      </c>
      <c r="I457" s="2" t="n">
        <f aca="false">IFERROR(IF(VLOOKUP(H457,$A$4:$A$33,1,0),1,0),0)</f>
        <v>0</v>
      </c>
      <c r="J457" s="2" t="e">
        <f aca="false">IF(AND($D$4=TRUE(),G457="Sáb"),1,IF(AND($D$5=TRUE(),G457="Dom"),1,0))</f>
        <v>#N/A</v>
      </c>
      <c r="K457" s="2" t="e">
        <f aca="false">IF(L457="No",K456,K456+1)</f>
        <v>#N/A</v>
      </c>
      <c r="L457" s="152" t="e">
        <f aca="false">IF(AND(I457=0,J457=0),H457,"NO")</f>
        <v>#N/A</v>
      </c>
      <c r="N457" s="1" t="n">
        <f aca="false">N456+1</f>
        <v>454</v>
      </c>
      <c r="O457" s="150" t="str">
        <f aca="false">IFERROR(VLOOKUP(N457,$K$4:$L$509,2,0),"")</f>
        <v/>
      </c>
    </row>
    <row r="458" customFormat="false" ht="14.25" hidden="false" customHeight="false" outlineLevel="0" collapsed="false">
      <c r="F458" s="1" t="e">
        <f aca="false">IF(OR(I458=1,J458=1),1,0)</f>
        <v>#N/A</v>
      </c>
      <c r="G458" s="1" t="e">
        <f aca="false">TEXT(H458,"DDD")</f>
        <v>#N/A</v>
      </c>
      <c r="H458" s="150" t="e">
        <f aca="false">IF(H457&gt;='Tallerdata.com'!$X$4,NA(),H457+1)</f>
        <v>#N/A</v>
      </c>
      <c r="I458" s="2" t="n">
        <f aca="false">IFERROR(IF(VLOOKUP(H458,$A$4:$A$33,1,0),1,0),0)</f>
        <v>0</v>
      </c>
      <c r="J458" s="2" t="e">
        <f aca="false">IF(AND($D$4=TRUE(),G458="Sáb"),1,IF(AND($D$5=TRUE(),G458="Dom"),1,0))</f>
        <v>#N/A</v>
      </c>
      <c r="K458" s="2" t="e">
        <f aca="false">IF(L458="No",K457,K457+1)</f>
        <v>#N/A</v>
      </c>
      <c r="L458" s="152" t="e">
        <f aca="false">IF(AND(I458=0,J458=0),H458,"NO")</f>
        <v>#N/A</v>
      </c>
      <c r="N458" s="1" t="n">
        <f aca="false">N457+1</f>
        <v>455</v>
      </c>
      <c r="O458" s="150" t="str">
        <f aca="false">IFERROR(VLOOKUP(N458,$K$4:$L$509,2,0),"")</f>
        <v/>
      </c>
    </row>
    <row r="459" customFormat="false" ht="14.25" hidden="false" customHeight="false" outlineLevel="0" collapsed="false">
      <c r="F459" s="1" t="e">
        <f aca="false">IF(OR(I459=1,J459=1),1,0)</f>
        <v>#N/A</v>
      </c>
      <c r="G459" s="1" t="e">
        <f aca="false">TEXT(H459,"DDD")</f>
        <v>#N/A</v>
      </c>
      <c r="H459" s="150" t="e">
        <f aca="false">IF(H458&gt;='Tallerdata.com'!$X$4,NA(),H458+1)</f>
        <v>#N/A</v>
      </c>
      <c r="I459" s="2" t="n">
        <f aca="false">IFERROR(IF(VLOOKUP(H459,$A$4:$A$33,1,0),1,0),0)</f>
        <v>0</v>
      </c>
      <c r="J459" s="2" t="e">
        <f aca="false">IF(AND($D$4=TRUE(),G459="Sáb"),1,IF(AND($D$5=TRUE(),G459="Dom"),1,0))</f>
        <v>#N/A</v>
      </c>
      <c r="K459" s="2" t="e">
        <f aca="false">IF(L459="No",K458,K458+1)</f>
        <v>#N/A</v>
      </c>
      <c r="L459" s="152" t="e">
        <f aca="false">IF(AND(I459=0,J459=0),H459,"NO")</f>
        <v>#N/A</v>
      </c>
      <c r="N459" s="1" t="n">
        <f aca="false">N458+1</f>
        <v>456</v>
      </c>
      <c r="O459" s="150" t="str">
        <f aca="false">IFERROR(VLOOKUP(N459,$K$4:$L$509,2,0),"")</f>
        <v/>
      </c>
    </row>
    <row r="460" customFormat="false" ht="14.25" hidden="false" customHeight="false" outlineLevel="0" collapsed="false">
      <c r="F460" s="1" t="e">
        <f aca="false">IF(OR(I460=1,J460=1),1,0)</f>
        <v>#N/A</v>
      </c>
      <c r="G460" s="1" t="e">
        <f aca="false">TEXT(H460,"DDD")</f>
        <v>#N/A</v>
      </c>
      <c r="H460" s="150" t="e">
        <f aca="false">IF(H459&gt;='Tallerdata.com'!$X$4,NA(),H459+1)</f>
        <v>#N/A</v>
      </c>
      <c r="I460" s="2" t="n">
        <f aca="false">IFERROR(IF(VLOOKUP(H460,$A$4:$A$33,1,0),1,0),0)</f>
        <v>0</v>
      </c>
      <c r="J460" s="2" t="e">
        <f aca="false">IF(AND($D$4=TRUE(),G460="Sáb"),1,IF(AND($D$5=TRUE(),G460="Dom"),1,0))</f>
        <v>#N/A</v>
      </c>
      <c r="K460" s="2" t="e">
        <f aca="false">IF(L460="No",K459,K459+1)</f>
        <v>#N/A</v>
      </c>
      <c r="L460" s="152" t="e">
        <f aca="false">IF(AND(I460=0,J460=0),H460,"NO")</f>
        <v>#N/A</v>
      </c>
      <c r="N460" s="1" t="n">
        <f aca="false">N459+1</f>
        <v>457</v>
      </c>
      <c r="O460" s="150" t="str">
        <f aca="false">IFERROR(VLOOKUP(N460,$K$4:$L$509,2,0),"")</f>
        <v/>
      </c>
    </row>
    <row r="461" customFormat="false" ht="14.25" hidden="false" customHeight="false" outlineLevel="0" collapsed="false">
      <c r="F461" s="1" t="e">
        <f aca="false">IF(OR(I461=1,J461=1),1,0)</f>
        <v>#N/A</v>
      </c>
      <c r="G461" s="1" t="e">
        <f aca="false">TEXT(H461,"DDD")</f>
        <v>#N/A</v>
      </c>
      <c r="H461" s="150" t="e">
        <f aca="false">IF(H460&gt;='Tallerdata.com'!$X$4,NA(),H460+1)</f>
        <v>#N/A</v>
      </c>
      <c r="I461" s="2" t="n">
        <f aca="false">IFERROR(IF(VLOOKUP(H461,$A$4:$A$33,1,0),1,0),0)</f>
        <v>0</v>
      </c>
      <c r="J461" s="2" t="e">
        <f aca="false">IF(AND($D$4=TRUE(),G461="Sáb"),1,IF(AND($D$5=TRUE(),G461="Dom"),1,0))</f>
        <v>#N/A</v>
      </c>
      <c r="K461" s="2" t="e">
        <f aca="false">IF(L461="No",K460,K460+1)</f>
        <v>#N/A</v>
      </c>
      <c r="L461" s="152" t="e">
        <f aca="false">IF(AND(I461=0,J461=0),H461,"NO")</f>
        <v>#N/A</v>
      </c>
      <c r="N461" s="1" t="n">
        <f aca="false">N460+1</f>
        <v>458</v>
      </c>
      <c r="O461" s="150" t="str">
        <f aca="false">IFERROR(VLOOKUP(N461,$K$4:$L$509,2,0),"")</f>
        <v/>
      </c>
    </row>
    <row r="462" customFormat="false" ht="14.25" hidden="false" customHeight="false" outlineLevel="0" collapsed="false">
      <c r="F462" s="1" t="e">
        <f aca="false">IF(OR(I462=1,J462=1),1,0)</f>
        <v>#N/A</v>
      </c>
      <c r="G462" s="1" t="e">
        <f aca="false">TEXT(H462,"DDD")</f>
        <v>#N/A</v>
      </c>
      <c r="H462" s="150" t="e">
        <f aca="false">IF(H461&gt;='Tallerdata.com'!$X$4,NA(),H461+1)</f>
        <v>#N/A</v>
      </c>
      <c r="I462" s="2" t="n">
        <f aca="false">IFERROR(IF(VLOOKUP(H462,$A$4:$A$33,1,0),1,0),0)</f>
        <v>0</v>
      </c>
      <c r="J462" s="2" t="e">
        <f aca="false">IF(AND($D$4=TRUE(),G462="Sáb"),1,IF(AND($D$5=TRUE(),G462="Dom"),1,0))</f>
        <v>#N/A</v>
      </c>
      <c r="K462" s="2" t="e">
        <f aca="false">IF(L462="No",K461,K461+1)</f>
        <v>#N/A</v>
      </c>
      <c r="L462" s="152" t="e">
        <f aca="false">IF(AND(I462=0,J462=0),H462,"NO")</f>
        <v>#N/A</v>
      </c>
      <c r="N462" s="1" t="n">
        <f aca="false">N461+1</f>
        <v>459</v>
      </c>
      <c r="O462" s="150" t="str">
        <f aca="false">IFERROR(VLOOKUP(N462,$K$4:$L$509,2,0),"")</f>
        <v/>
      </c>
    </row>
    <row r="463" customFormat="false" ht="14.25" hidden="false" customHeight="false" outlineLevel="0" collapsed="false">
      <c r="F463" s="1" t="e">
        <f aca="false">IF(OR(I463=1,J463=1),1,0)</f>
        <v>#N/A</v>
      </c>
      <c r="G463" s="1" t="e">
        <f aca="false">TEXT(H463,"DDD")</f>
        <v>#N/A</v>
      </c>
      <c r="H463" s="150" t="e">
        <f aca="false">IF(H462&gt;='Tallerdata.com'!$X$4,NA(),H462+1)</f>
        <v>#N/A</v>
      </c>
      <c r="I463" s="2" t="n">
        <f aca="false">IFERROR(IF(VLOOKUP(H463,$A$4:$A$33,1,0),1,0),0)</f>
        <v>0</v>
      </c>
      <c r="J463" s="2" t="e">
        <f aca="false">IF(AND($D$4=TRUE(),G463="Sáb"),1,IF(AND($D$5=TRUE(),G463="Dom"),1,0))</f>
        <v>#N/A</v>
      </c>
      <c r="K463" s="2" t="e">
        <f aca="false">IF(L463="No",K462,K462+1)</f>
        <v>#N/A</v>
      </c>
      <c r="L463" s="152" t="e">
        <f aca="false">IF(AND(I463=0,J463=0),H463,"NO")</f>
        <v>#N/A</v>
      </c>
      <c r="N463" s="1" t="n">
        <f aca="false">N462+1</f>
        <v>460</v>
      </c>
      <c r="O463" s="150" t="str">
        <f aca="false">IFERROR(VLOOKUP(N463,$K$4:$L$509,2,0),"")</f>
        <v/>
      </c>
    </row>
    <row r="464" customFormat="false" ht="14.25" hidden="false" customHeight="false" outlineLevel="0" collapsed="false">
      <c r="F464" s="1" t="e">
        <f aca="false">IF(OR(I464=1,J464=1),1,0)</f>
        <v>#N/A</v>
      </c>
      <c r="G464" s="1" t="e">
        <f aca="false">TEXT(H464,"DDD")</f>
        <v>#N/A</v>
      </c>
      <c r="H464" s="150" t="e">
        <f aca="false">IF(H463&gt;='Tallerdata.com'!$X$4,NA(),H463+1)</f>
        <v>#N/A</v>
      </c>
      <c r="I464" s="2" t="n">
        <f aca="false">IFERROR(IF(VLOOKUP(H464,$A$4:$A$33,1,0),1,0),0)</f>
        <v>0</v>
      </c>
      <c r="J464" s="2" t="e">
        <f aca="false">IF(AND($D$4=TRUE(),G464="Sáb"),1,IF(AND($D$5=TRUE(),G464="Dom"),1,0))</f>
        <v>#N/A</v>
      </c>
      <c r="K464" s="2" t="e">
        <f aca="false">IF(L464="No",K463,K463+1)</f>
        <v>#N/A</v>
      </c>
      <c r="L464" s="152" t="e">
        <f aca="false">IF(AND(I464=0,J464=0),H464,"NO")</f>
        <v>#N/A</v>
      </c>
      <c r="N464" s="1" t="n">
        <f aca="false">N463+1</f>
        <v>461</v>
      </c>
      <c r="O464" s="150" t="str">
        <f aca="false">IFERROR(VLOOKUP(N464,$K$4:$L$509,2,0),"")</f>
        <v/>
      </c>
    </row>
    <row r="465" customFormat="false" ht="14.25" hidden="false" customHeight="false" outlineLevel="0" collapsed="false">
      <c r="F465" s="1" t="e">
        <f aca="false">IF(OR(I465=1,J465=1),1,0)</f>
        <v>#N/A</v>
      </c>
      <c r="G465" s="1" t="e">
        <f aca="false">TEXT(H465,"DDD")</f>
        <v>#N/A</v>
      </c>
      <c r="H465" s="150" t="e">
        <f aca="false">IF(H464&gt;='Tallerdata.com'!$X$4,NA(),H464+1)</f>
        <v>#N/A</v>
      </c>
      <c r="I465" s="2" t="n">
        <f aca="false">IFERROR(IF(VLOOKUP(H465,$A$4:$A$33,1,0),1,0),0)</f>
        <v>0</v>
      </c>
      <c r="J465" s="2" t="e">
        <f aca="false">IF(AND($D$4=TRUE(),G465="Sáb"),1,IF(AND($D$5=TRUE(),G465="Dom"),1,0))</f>
        <v>#N/A</v>
      </c>
      <c r="K465" s="2" t="e">
        <f aca="false">IF(L465="No",K464,K464+1)</f>
        <v>#N/A</v>
      </c>
      <c r="L465" s="152" t="e">
        <f aca="false">IF(AND(I465=0,J465=0),H465,"NO")</f>
        <v>#N/A</v>
      </c>
      <c r="N465" s="1" t="n">
        <f aca="false">N464+1</f>
        <v>462</v>
      </c>
      <c r="O465" s="150" t="str">
        <f aca="false">IFERROR(VLOOKUP(N465,$K$4:$L$509,2,0),"")</f>
        <v/>
      </c>
    </row>
    <row r="466" customFormat="false" ht="14.25" hidden="false" customHeight="false" outlineLevel="0" collapsed="false">
      <c r="F466" s="1" t="e">
        <f aca="false">IF(OR(I466=1,J466=1),1,0)</f>
        <v>#N/A</v>
      </c>
      <c r="G466" s="1" t="e">
        <f aca="false">TEXT(H466,"DDD")</f>
        <v>#N/A</v>
      </c>
      <c r="H466" s="150" t="e">
        <f aca="false">IF(H465&gt;='Tallerdata.com'!$X$4,NA(),H465+1)</f>
        <v>#N/A</v>
      </c>
      <c r="I466" s="2" t="n">
        <f aca="false">IFERROR(IF(VLOOKUP(H466,$A$4:$A$33,1,0),1,0),0)</f>
        <v>0</v>
      </c>
      <c r="J466" s="2" t="e">
        <f aca="false">IF(AND($D$4=TRUE(),G466="Sáb"),1,IF(AND($D$5=TRUE(),G466="Dom"),1,0))</f>
        <v>#N/A</v>
      </c>
      <c r="K466" s="2" t="e">
        <f aca="false">IF(L466="No",K465,K465+1)</f>
        <v>#N/A</v>
      </c>
      <c r="L466" s="152" t="e">
        <f aca="false">IF(AND(I466=0,J466=0),H466,"NO")</f>
        <v>#N/A</v>
      </c>
      <c r="N466" s="1" t="n">
        <f aca="false">N465+1</f>
        <v>463</v>
      </c>
      <c r="O466" s="150" t="str">
        <f aca="false">IFERROR(VLOOKUP(N466,$K$4:$L$509,2,0),"")</f>
        <v/>
      </c>
    </row>
    <row r="467" customFormat="false" ht="14.25" hidden="false" customHeight="false" outlineLevel="0" collapsed="false">
      <c r="F467" s="1" t="e">
        <f aca="false">IF(OR(I467=1,J467=1),1,0)</f>
        <v>#N/A</v>
      </c>
      <c r="G467" s="1" t="e">
        <f aca="false">TEXT(H467,"DDD")</f>
        <v>#N/A</v>
      </c>
      <c r="H467" s="150" t="e">
        <f aca="false">IF(H466&gt;='Tallerdata.com'!$X$4,NA(),H466+1)</f>
        <v>#N/A</v>
      </c>
      <c r="I467" s="2" t="n">
        <f aca="false">IFERROR(IF(VLOOKUP(H467,$A$4:$A$33,1,0),1,0),0)</f>
        <v>0</v>
      </c>
      <c r="J467" s="2" t="e">
        <f aca="false">IF(AND($D$4=TRUE(),G467="Sáb"),1,IF(AND($D$5=TRUE(),G467="Dom"),1,0))</f>
        <v>#N/A</v>
      </c>
      <c r="K467" s="2" t="e">
        <f aca="false">IF(L467="No",K466,K466+1)</f>
        <v>#N/A</v>
      </c>
      <c r="L467" s="152" t="e">
        <f aca="false">IF(AND(I467=0,J467=0),H467,"NO")</f>
        <v>#N/A</v>
      </c>
      <c r="N467" s="1" t="n">
        <f aca="false">N466+1</f>
        <v>464</v>
      </c>
      <c r="O467" s="150" t="str">
        <f aca="false">IFERROR(VLOOKUP(N467,$K$4:$L$509,2,0),"")</f>
        <v/>
      </c>
    </row>
    <row r="468" customFormat="false" ht="14.25" hidden="false" customHeight="false" outlineLevel="0" collapsed="false">
      <c r="F468" s="1" t="e">
        <f aca="false">IF(OR(I468=1,J468=1),1,0)</f>
        <v>#N/A</v>
      </c>
      <c r="G468" s="1" t="e">
        <f aca="false">TEXT(H468,"DDD")</f>
        <v>#N/A</v>
      </c>
      <c r="H468" s="150" t="e">
        <f aca="false">IF(H467&gt;='Tallerdata.com'!$X$4,NA(),H467+1)</f>
        <v>#N/A</v>
      </c>
      <c r="I468" s="2" t="n">
        <f aca="false">IFERROR(IF(VLOOKUP(H468,$A$4:$A$33,1,0),1,0),0)</f>
        <v>0</v>
      </c>
      <c r="J468" s="2" t="e">
        <f aca="false">IF(AND($D$4=TRUE(),G468="Sáb"),1,IF(AND($D$5=TRUE(),G468="Dom"),1,0))</f>
        <v>#N/A</v>
      </c>
      <c r="K468" s="2" t="e">
        <f aca="false">IF(L468="No",K467,K467+1)</f>
        <v>#N/A</v>
      </c>
      <c r="L468" s="152" t="e">
        <f aca="false">IF(AND(I468=0,J468=0),H468,"NO")</f>
        <v>#N/A</v>
      </c>
      <c r="N468" s="1" t="n">
        <f aca="false">N467+1</f>
        <v>465</v>
      </c>
      <c r="O468" s="150" t="str">
        <f aca="false">IFERROR(VLOOKUP(N468,$K$4:$L$509,2,0),"")</f>
        <v/>
      </c>
    </row>
    <row r="469" customFormat="false" ht="14.25" hidden="false" customHeight="false" outlineLevel="0" collapsed="false">
      <c r="F469" s="1" t="e">
        <f aca="false">IF(OR(I469=1,J469=1),1,0)</f>
        <v>#N/A</v>
      </c>
      <c r="G469" s="1" t="e">
        <f aca="false">TEXT(H469,"DDD")</f>
        <v>#N/A</v>
      </c>
      <c r="H469" s="150" t="e">
        <f aca="false">IF(H468&gt;='Tallerdata.com'!$X$4,NA(),H468+1)</f>
        <v>#N/A</v>
      </c>
      <c r="I469" s="2" t="n">
        <f aca="false">IFERROR(IF(VLOOKUP(H469,$A$4:$A$33,1,0),1,0),0)</f>
        <v>0</v>
      </c>
      <c r="J469" s="2" t="e">
        <f aca="false">IF(AND($D$4=TRUE(),G469="Sáb"),1,IF(AND($D$5=TRUE(),G469="Dom"),1,0))</f>
        <v>#N/A</v>
      </c>
      <c r="K469" s="2" t="e">
        <f aca="false">IF(L469="No",K468,K468+1)</f>
        <v>#N/A</v>
      </c>
      <c r="L469" s="152" t="e">
        <f aca="false">IF(AND(I469=0,J469=0),H469,"NO")</f>
        <v>#N/A</v>
      </c>
      <c r="N469" s="1" t="n">
        <f aca="false">N468+1</f>
        <v>466</v>
      </c>
      <c r="O469" s="150" t="str">
        <f aca="false">IFERROR(VLOOKUP(N469,$K$4:$L$509,2,0),"")</f>
        <v/>
      </c>
    </row>
    <row r="470" customFormat="false" ht="14.25" hidden="false" customHeight="false" outlineLevel="0" collapsed="false">
      <c r="F470" s="1" t="e">
        <f aca="false">IF(OR(I470=1,J470=1),1,0)</f>
        <v>#N/A</v>
      </c>
      <c r="G470" s="1" t="e">
        <f aca="false">TEXT(H470,"DDD")</f>
        <v>#N/A</v>
      </c>
      <c r="H470" s="150" t="e">
        <f aca="false">IF(H469&gt;='Tallerdata.com'!$X$4,NA(),H469+1)</f>
        <v>#N/A</v>
      </c>
      <c r="I470" s="2" t="n">
        <f aca="false">IFERROR(IF(VLOOKUP(H470,$A$4:$A$33,1,0),1,0),0)</f>
        <v>0</v>
      </c>
      <c r="J470" s="2" t="e">
        <f aca="false">IF(AND($D$4=TRUE(),G470="Sáb"),1,IF(AND($D$5=TRUE(),G470="Dom"),1,0))</f>
        <v>#N/A</v>
      </c>
      <c r="K470" s="2" t="e">
        <f aca="false">IF(L470="No",K469,K469+1)</f>
        <v>#N/A</v>
      </c>
      <c r="L470" s="152" t="e">
        <f aca="false">IF(AND(I470=0,J470=0),H470,"NO")</f>
        <v>#N/A</v>
      </c>
      <c r="N470" s="1" t="n">
        <f aca="false">N469+1</f>
        <v>467</v>
      </c>
      <c r="O470" s="150" t="str">
        <f aca="false">IFERROR(VLOOKUP(N470,$K$4:$L$509,2,0),"")</f>
        <v/>
      </c>
    </row>
    <row r="471" customFormat="false" ht="14.25" hidden="false" customHeight="false" outlineLevel="0" collapsed="false">
      <c r="F471" s="1" t="e">
        <f aca="false">IF(OR(I471=1,J471=1),1,0)</f>
        <v>#N/A</v>
      </c>
      <c r="G471" s="1" t="e">
        <f aca="false">TEXT(H471,"DDD")</f>
        <v>#N/A</v>
      </c>
      <c r="H471" s="150" t="e">
        <f aca="false">IF(H470&gt;='Tallerdata.com'!$X$4,NA(),H470+1)</f>
        <v>#N/A</v>
      </c>
      <c r="I471" s="2" t="n">
        <f aca="false">IFERROR(IF(VLOOKUP(H471,$A$4:$A$33,1,0),1,0),0)</f>
        <v>0</v>
      </c>
      <c r="J471" s="2" t="e">
        <f aca="false">IF(AND($D$4=TRUE(),G471="Sáb"),1,IF(AND($D$5=TRUE(),G471="Dom"),1,0))</f>
        <v>#N/A</v>
      </c>
      <c r="K471" s="2" t="e">
        <f aca="false">IF(L471="No",K470,K470+1)</f>
        <v>#N/A</v>
      </c>
      <c r="L471" s="152" t="e">
        <f aca="false">IF(AND(I471=0,J471=0),H471,"NO")</f>
        <v>#N/A</v>
      </c>
      <c r="N471" s="1" t="n">
        <f aca="false">N470+1</f>
        <v>468</v>
      </c>
      <c r="O471" s="150" t="str">
        <f aca="false">IFERROR(VLOOKUP(N471,$K$4:$L$509,2,0),"")</f>
        <v/>
      </c>
    </row>
    <row r="472" customFormat="false" ht="14.25" hidden="false" customHeight="false" outlineLevel="0" collapsed="false">
      <c r="F472" s="1" t="e">
        <f aca="false">IF(OR(I472=1,J472=1),1,0)</f>
        <v>#N/A</v>
      </c>
      <c r="G472" s="1" t="e">
        <f aca="false">TEXT(H472,"DDD")</f>
        <v>#N/A</v>
      </c>
      <c r="H472" s="150" t="e">
        <f aca="false">IF(H471&gt;='Tallerdata.com'!$X$4,NA(),H471+1)</f>
        <v>#N/A</v>
      </c>
      <c r="I472" s="2" t="n">
        <f aca="false">IFERROR(IF(VLOOKUP(H472,$A$4:$A$33,1,0),1,0),0)</f>
        <v>0</v>
      </c>
      <c r="J472" s="2" t="e">
        <f aca="false">IF(AND($D$4=TRUE(),G472="Sáb"),1,IF(AND($D$5=TRUE(),G472="Dom"),1,0))</f>
        <v>#N/A</v>
      </c>
      <c r="K472" s="2" t="e">
        <f aca="false">IF(L472="No",K471,K471+1)</f>
        <v>#N/A</v>
      </c>
      <c r="L472" s="152" t="e">
        <f aca="false">IF(AND(I472=0,J472=0),H472,"NO")</f>
        <v>#N/A</v>
      </c>
      <c r="N472" s="1" t="n">
        <f aca="false">N471+1</f>
        <v>469</v>
      </c>
      <c r="O472" s="150" t="str">
        <f aca="false">IFERROR(VLOOKUP(N472,$K$4:$L$509,2,0),"")</f>
        <v/>
      </c>
    </row>
    <row r="473" customFormat="false" ht="14.25" hidden="false" customHeight="false" outlineLevel="0" collapsed="false">
      <c r="F473" s="1" t="e">
        <f aca="false">IF(OR(I473=1,J473=1),1,0)</f>
        <v>#N/A</v>
      </c>
      <c r="G473" s="1" t="e">
        <f aca="false">TEXT(H473,"DDD")</f>
        <v>#N/A</v>
      </c>
      <c r="H473" s="150" t="e">
        <f aca="false">IF(H472&gt;='Tallerdata.com'!$X$4,NA(),H472+1)</f>
        <v>#N/A</v>
      </c>
      <c r="I473" s="2" t="n">
        <f aca="false">IFERROR(IF(VLOOKUP(H473,$A$4:$A$33,1,0),1,0),0)</f>
        <v>0</v>
      </c>
      <c r="J473" s="2" t="e">
        <f aca="false">IF(AND($D$4=TRUE(),G473="Sáb"),1,IF(AND($D$5=TRUE(),G473="Dom"),1,0))</f>
        <v>#N/A</v>
      </c>
      <c r="K473" s="2" t="e">
        <f aca="false">IF(L473="No",K472,K472+1)</f>
        <v>#N/A</v>
      </c>
      <c r="L473" s="152" t="e">
        <f aca="false">IF(AND(I473=0,J473=0),H473,"NO")</f>
        <v>#N/A</v>
      </c>
      <c r="N473" s="1" t="n">
        <f aca="false">N472+1</f>
        <v>470</v>
      </c>
      <c r="O473" s="150" t="str">
        <f aca="false">IFERROR(VLOOKUP(N473,$K$4:$L$509,2,0),"")</f>
        <v/>
      </c>
    </row>
    <row r="474" customFormat="false" ht="14.25" hidden="false" customHeight="false" outlineLevel="0" collapsed="false">
      <c r="F474" s="1" t="e">
        <f aca="false">IF(OR(I474=1,J474=1),1,0)</f>
        <v>#N/A</v>
      </c>
      <c r="G474" s="1" t="e">
        <f aca="false">TEXT(H474,"DDD")</f>
        <v>#N/A</v>
      </c>
      <c r="H474" s="150" t="e">
        <f aca="false">IF(H473&gt;='Tallerdata.com'!$X$4,NA(),H473+1)</f>
        <v>#N/A</v>
      </c>
      <c r="I474" s="2" t="n">
        <f aca="false">IFERROR(IF(VLOOKUP(H474,$A$4:$A$33,1,0),1,0),0)</f>
        <v>0</v>
      </c>
      <c r="J474" s="2" t="e">
        <f aca="false">IF(AND($D$4=TRUE(),G474="Sáb"),1,IF(AND($D$5=TRUE(),G474="Dom"),1,0))</f>
        <v>#N/A</v>
      </c>
      <c r="K474" s="2" t="e">
        <f aca="false">IF(L474="No",K473,K473+1)</f>
        <v>#N/A</v>
      </c>
      <c r="L474" s="152" t="e">
        <f aca="false">IF(AND(I474=0,J474=0),H474,"NO")</f>
        <v>#N/A</v>
      </c>
      <c r="N474" s="1" t="n">
        <f aca="false">N473+1</f>
        <v>471</v>
      </c>
      <c r="O474" s="150" t="str">
        <f aca="false">IFERROR(VLOOKUP(N474,$K$4:$L$509,2,0),"")</f>
        <v/>
      </c>
    </row>
    <row r="475" customFormat="false" ht="14.25" hidden="false" customHeight="false" outlineLevel="0" collapsed="false">
      <c r="F475" s="1" t="e">
        <f aca="false">IF(OR(I475=1,J475=1),1,0)</f>
        <v>#N/A</v>
      </c>
      <c r="G475" s="1" t="e">
        <f aca="false">TEXT(H475,"DDD")</f>
        <v>#N/A</v>
      </c>
      <c r="H475" s="150" t="e">
        <f aca="false">IF(H474&gt;='Tallerdata.com'!$X$4,NA(),H474+1)</f>
        <v>#N/A</v>
      </c>
      <c r="I475" s="2" t="n">
        <f aca="false">IFERROR(IF(VLOOKUP(H475,$A$4:$A$33,1,0),1,0),0)</f>
        <v>0</v>
      </c>
      <c r="J475" s="2" t="e">
        <f aca="false">IF(AND($D$4=TRUE(),G475="Sáb"),1,IF(AND($D$5=TRUE(),G475="Dom"),1,0))</f>
        <v>#N/A</v>
      </c>
      <c r="K475" s="2" t="e">
        <f aca="false">IF(L475="No",K474,K474+1)</f>
        <v>#N/A</v>
      </c>
      <c r="L475" s="152" t="e">
        <f aca="false">IF(AND(I475=0,J475=0),H475,"NO")</f>
        <v>#N/A</v>
      </c>
      <c r="N475" s="1" t="n">
        <f aca="false">N474+1</f>
        <v>472</v>
      </c>
      <c r="O475" s="150" t="str">
        <f aca="false">IFERROR(VLOOKUP(N475,$K$4:$L$509,2,0),"")</f>
        <v/>
      </c>
    </row>
    <row r="476" customFormat="false" ht="14.25" hidden="false" customHeight="false" outlineLevel="0" collapsed="false">
      <c r="F476" s="1" t="e">
        <f aca="false">IF(OR(I476=1,J476=1),1,0)</f>
        <v>#N/A</v>
      </c>
      <c r="G476" s="1" t="e">
        <f aca="false">TEXT(H476,"DDD")</f>
        <v>#N/A</v>
      </c>
      <c r="H476" s="150" t="e">
        <f aca="false">IF(H475&gt;='Tallerdata.com'!$X$4,NA(),H475+1)</f>
        <v>#N/A</v>
      </c>
      <c r="I476" s="2" t="n">
        <f aca="false">IFERROR(IF(VLOOKUP(H476,$A$4:$A$33,1,0),1,0),0)</f>
        <v>0</v>
      </c>
      <c r="J476" s="2" t="e">
        <f aca="false">IF(AND($D$4=TRUE(),G476="Sáb"),1,IF(AND($D$5=TRUE(),G476="Dom"),1,0))</f>
        <v>#N/A</v>
      </c>
      <c r="K476" s="2" t="e">
        <f aca="false">IF(L476="No",K475,K475+1)</f>
        <v>#N/A</v>
      </c>
      <c r="L476" s="152" t="e">
        <f aca="false">IF(AND(I476=0,J476=0),H476,"NO")</f>
        <v>#N/A</v>
      </c>
      <c r="N476" s="1" t="n">
        <f aca="false">N475+1</f>
        <v>473</v>
      </c>
      <c r="O476" s="150" t="str">
        <f aca="false">IFERROR(VLOOKUP(N476,$K$4:$L$509,2,0),"")</f>
        <v/>
      </c>
    </row>
    <row r="477" customFormat="false" ht="14.25" hidden="false" customHeight="false" outlineLevel="0" collapsed="false">
      <c r="F477" s="1" t="e">
        <f aca="false">IF(OR(I477=1,J477=1),1,0)</f>
        <v>#N/A</v>
      </c>
      <c r="G477" s="1" t="e">
        <f aca="false">TEXT(H477,"DDD")</f>
        <v>#N/A</v>
      </c>
      <c r="H477" s="150" t="e">
        <f aca="false">IF(H476&gt;='Tallerdata.com'!$X$4,NA(),H476+1)</f>
        <v>#N/A</v>
      </c>
      <c r="I477" s="2" t="n">
        <f aca="false">IFERROR(IF(VLOOKUP(H477,$A$4:$A$33,1,0),1,0),0)</f>
        <v>0</v>
      </c>
      <c r="J477" s="2" t="e">
        <f aca="false">IF(AND($D$4=TRUE(),G477="Sáb"),1,IF(AND($D$5=TRUE(),G477="Dom"),1,0))</f>
        <v>#N/A</v>
      </c>
      <c r="K477" s="2" t="e">
        <f aca="false">IF(L477="No",K476,K476+1)</f>
        <v>#N/A</v>
      </c>
      <c r="L477" s="152" t="e">
        <f aca="false">IF(AND(I477=0,J477=0),H477,"NO")</f>
        <v>#N/A</v>
      </c>
      <c r="N477" s="1" t="n">
        <f aca="false">N476+1</f>
        <v>474</v>
      </c>
      <c r="O477" s="150" t="str">
        <f aca="false">IFERROR(VLOOKUP(N477,$K$4:$L$509,2,0),"")</f>
        <v/>
      </c>
    </row>
    <row r="478" customFormat="false" ht="14.25" hidden="false" customHeight="false" outlineLevel="0" collapsed="false">
      <c r="F478" s="1" t="e">
        <f aca="false">IF(OR(I478=1,J478=1),1,0)</f>
        <v>#N/A</v>
      </c>
      <c r="G478" s="1" t="e">
        <f aca="false">TEXT(H478,"DDD")</f>
        <v>#N/A</v>
      </c>
      <c r="H478" s="150" t="e">
        <f aca="false">IF(H477&gt;='Tallerdata.com'!$X$4,NA(),H477+1)</f>
        <v>#N/A</v>
      </c>
      <c r="I478" s="2" t="n">
        <f aca="false">IFERROR(IF(VLOOKUP(H478,$A$4:$A$33,1,0),1,0),0)</f>
        <v>0</v>
      </c>
      <c r="J478" s="2" t="e">
        <f aca="false">IF(AND($D$4=TRUE(),G478="Sáb"),1,IF(AND($D$5=TRUE(),G478="Dom"),1,0))</f>
        <v>#N/A</v>
      </c>
      <c r="K478" s="2" t="e">
        <f aca="false">IF(L478="No",K477,K477+1)</f>
        <v>#N/A</v>
      </c>
      <c r="L478" s="152" t="e">
        <f aca="false">IF(AND(I478=0,J478=0),H478,"NO")</f>
        <v>#N/A</v>
      </c>
      <c r="N478" s="1" t="n">
        <f aca="false">N477+1</f>
        <v>475</v>
      </c>
      <c r="O478" s="150" t="str">
        <f aca="false">IFERROR(VLOOKUP(N478,$K$4:$L$509,2,0),"")</f>
        <v/>
      </c>
    </row>
    <row r="479" customFormat="false" ht="14.25" hidden="false" customHeight="false" outlineLevel="0" collapsed="false">
      <c r="F479" s="1" t="e">
        <f aca="false">IF(OR(I479=1,J479=1),1,0)</f>
        <v>#N/A</v>
      </c>
      <c r="G479" s="1" t="e">
        <f aca="false">TEXT(H479,"DDD")</f>
        <v>#N/A</v>
      </c>
      <c r="H479" s="150" t="e">
        <f aca="false">IF(H478&gt;='Tallerdata.com'!$X$4,NA(),H478+1)</f>
        <v>#N/A</v>
      </c>
      <c r="I479" s="2" t="n">
        <f aca="false">IFERROR(IF(VLOOKUP(H479,$A$4:$A$33,1,0),1,0),0)</f>
        <v>0</v>
      </c>
      <c r="J479" s="2" t="e">
        <f aca="false">IF(AND($D$4=TRUE(),G479="Sáb"),1,IF(AND($D$5=TRUE(),G479="Dom"),1,0))</f>
        <v>#N/A</v>
      </c>
      <c r="K479" s="2" t="e">
        <f aca="false">IF(L479="No",K478,K478+1)</f>
        <v>#N/A</v>
      </c>
      <c r="L479" s="152" t="e">
        <f aca="false">IF(AND(I479=0,J479=0),H479,"NO")</f>
        <v>#N/A</v>
      </c>
      <c r="N479" s="1" t="n">
        <f aca="false">N478+1</f>
        <v>476</v>
      </c>
      <c r="O479" s="150" t="str">
        <f aca="false">IFERROR(VLOOKUP(N479,$K$4:$L$509,2,0),"")</f>
        <v/>
      </c>
    </row>
    <row r="480" customFormat="false" ht="14.25" hidden="false" customHeight="false" outlineLevel="0" collapsed="false">
      <c r="F480" s="1" t="e">
        <f aca="false">IF(OR(I480=1,J480=1),1,0)</f>
        <v>#N/A</v>
      </c>
      <c r="G480" s="1" t="e">
        <f aca="false">TEXT(H480,"DDD")</f>
        <v>#N/A</v>
      </c>
      <c r="H480" s="150" t="e">
        <f aca="false">IF(H479&gt;='Tallerdata.com'!$X$4,NA(),H479+1)</f>
        <v>#N/A</v>
      </c>
      <c r="I480" s="2" t="n">
        <f aca="false">IFERROR(IF(VLOOKUP(H480,$A$4:$A$33,1,0),1,0),0)</f>
        <v>0</v>
      </c>
      <c r="J480" s="2" t="e">
        <f aca="false">IF(AND($D$4=TRUE(),G480="Sáb"),1,IF(AND($D$5=TRUE(),G480="Dom"),1,0))</f>
        <v>#N/A</v>
      </c>
      <c r="K480" s="2" t="e">
        <f aca="false">IF(L480="No",K479,K479+1)</f>
        <v>#N/A</v>
      </c>
      <c r="L480" s="152" t="e">
        <f aca="false">IF(AND(I480=0,J480=0),H480,"NO")</f>
        <v>#N/A</v>
      </c>
      <c r="N480" s="1" t="n">
        <f aca="false">N479+1</f>
        <v>477</v>
      </c>
      <c r="O480" s="150" t="str">
        <f aca="false">IFERROR(VLOOKUP(N480,$K$4:$L$509,2,0),"")</f>
        <v/>
      </c>
    </row>
    <row r="481" customFormat="false" ht="14.25" hidden="false" customHeight="false" outlineLevel="0" collapsed="false">
      <c r="F481" s="1" t="e">
        <f aca="false">IF(OR(I481=1,J481=1),1,0)</f>
        <v>#N/A</v>
      </c>
      <c r="G481" s="1" t="e">
        <f aca="false">TEXT(H481,"DDD")</f>
        <v>#N/A</v>
      </c>
      <c r="H481" s="150" t="e">
        <f aca="false">IF(H480&gt;='Tallerdata.com'!$X$4,NA(),H480+1)</f>
        <v>#N/A</v>
      </c>
      <c r="I481" s="2" t="n">
        <f aca="false">IFERROR(IF(VLOOKUP(H481,$A$4:$A$33,1,0),1,0),0)</f>
        <v>0</v>
      </c>
      <c r="J481" s="2" t="e">
        <f aca="false">IF(AND($D$4=TRUE(),G481="Sáb"),1,IF(AND($D$5=TRUE(),G481="Dom"),1,0))</f>
        <v>#N/A</v>
      </c>
      <c r="K481" s="2" t="e">
        <f aca="false">IF(L481="No",K480,K480+1)</f>
        <v>#N/A</v>
      </c>
      <c r="L481" s="152" t="e">
        <f aca="false">IF(AND(I481=0,J481=0),H481,"NO")</f>
        <v>#N/A</v>
      </c>
      <c r="N481" s="1" t="n">
        <f aca="false">N480+1</f>
        <v>478</v>
      </c>
      <c r="O481" s="150" t="str">
        <f aca="false">IFERROR(VLOOKUP(N481,$K$4:$L$509,2,0),"")</f>
        <v/>
      </c>
    </row>
    <row r="482" customFormat="false" ht="14.25" hidden="false" customHeight="false" outlineLevel="0" collapsed="false">
      <c r="F482" s="1" t="e">
        <f aca="false">IF(OR(I482=1,J482=1),1,0)</f>
        <v>#N/A</v>
      </c>
      <c r="G482" s="1" t="e">
        <f aca="false">TEXT(H482,"DDD")</f>
        <v>#N/A</v>
      </c>
      <c r="H482" s="150" t="e">
        <f aca="false">IF(H481&gt;='Tallerdata.com'!$X$4,NA(),H481+1)</f>
        <v>#N/A</v>
      </c>
      <c r="I482" s="2" t="n">
        <f aca="false">IFERROR(IF(VLOOKUP(H482,$A$4:$A$33,1,0),1,0),0)</f>
        <v>0</v>
      </c>
      <c r="J482" s="2" t="e">
        <f aca="false">IF(AND($D$4=TRUE(),G482="Sáb"),1,IF(AND($D$5=TRUE(),G482="Dom"),1,0))</f>
        <v>#N/A</v>
      </c>
      <c r="K482" s="2" t="e">
        <f aca="false">IF(L482="No",K481,K481+1)</f>
        <v>#N/A</v>
      </c>
      <c r="L482" s="152" t="e">
        <f aca="false">IF(AND(I482=0,J482=0),H482,"NO")</f>
        <v>#N/A</v>
      </c>
      <c r="N482" s="1" t="n">
        <f aca="false">N481+1</f>
        <v>479</v>
      </c>
      <c r="O482" s="150" t="str">
        <f aca="false">IFERROR(VLOOKUP(N482,$K$4:$L$509,2,0),"")</f>
        <v/>
      </c>
    </row>
    <row r="483" customFormat="false" ht="14.25" hidden="false" customHeight="false" outlineLevel="0" collapsed="false">
      <c r="F483" s="1" t="e">
        <f aca="false">IF(OR(I483=1,J483=1),1,0)</f>
        <v>#N/A</v>
      </c>
      <c r="G483" s="1" t="e">
        <f aca="false">TEXT(H483,"DDD")</f>
        <v>#N/A</v>
      </c>
      <c r="H483" s="150" t="e">
        <f aca="false">IF(H482&gt;='Tallerdata.com'!$X$4,NA(),H482+1)</f>
        <v>#N/A</v>
      </c>
      <c r="I483" s="2" t="n">
        <f aca="false">IFERROR(IF(VLOOKUP(H483,$A$4:$A$33,1,0),1,0),0)</f>
        <v>0</v>
      </c>
      <c r="J483" s="2" t="e">
        <f aca="false">IF(AND($D$4=TRUE(),G483="Sáb"),1,IF(AND($D$5=TRUE(),G483="Dom"),1,0))</f>
        <v>#N/A</v>
      </c>
      <c r="K483" s="2" t="e">
        <f aca="false">IF(L483="No",K482,K482+1)</f>
        <v>#N/A</v>
      </c>
      <c r="L483" s="152" t="e">
        <f aca="false">IF(AND(I483=0,J483=0),H483,"NO")</f>
        <v>#N/A</v>
      </c>
      <c r="N483" s="1" t="n">
        <f aca="false">N482+1</f>
        <v>480</v>
      </c>
      <c r="O483" s="150" t="str">
        <f aca="false">IFERROR(VLOOKUP(N483,$K$4:$L$509,2,0),"")</f>
        <v/>
      </c>
    </row>
    <row r="484" customFormat="false" ht="14.25" hidden="false" customHeight="false" outlineLevel="0" collapsed="false">
      <c r="F484" s="1" t="e">
        <f aca="false">IF(OR(I484=1,J484=1),1,0)</f>
        <v>#N/A</v>
      </c>
      <c r="G484" s="1" t="e">
        <f aca="false">TEXT(H484,"DDD")</f>
        <v>#N/A</v>
      </c>
      <c r="H484" s="150" t="e">
        <f aca="false">IF(H483&gt;='Tallerdata.com'!$X$4,NA(),H483+1)</f>
        <v>#N/A</v>
      </c>
      <c r="I484" s="2" t="n">
        <f aca="false">IFERROR(IF(VLOOKUP(H484,$A$4:$A$33,1,0),1,0),0)</f>
        <v>0</v>
      </c>
      <c r="J484" s="2" t="e">
        <f aca="false">IF(AND($D$4=TRUE(),G484="Sáb"),1,IF(AND($D$5=TRUE(),G484="Dom"),1,0))</f>
        <v>#N/A</v>
      </c>
      <c r="K484" s="2" t="e">
        <f aca="false">IF(L484="No",K483,K483+1)</f>
        <v>#N/A</v>
      </c>
      <c r="L484" s="152" t="e">
        <f aca="false">IF(AND(I484=0,J484=0),H484,"NO")</f>
        <v>#N/A</v>
      </c>
      <c r="N484" s="1" t="n">
        <f aca="false">N483+1</f>
        <v>481</v>
      </c>
      <c r="O484" s="150" t="str">
        <f aca="false">IFERROR(VLOOKUP(N484,$K$4:$L$509,2,0),"")</f>
        <v/>
      </c>
    </row>
    <row r="485" customFormat="false" ht="14.25" hidden="false" customHeight="false" outlineLevel="0" collapsed="false">
      <c r="F485" s="1" t="e">
        <f aca="false">IF(OR(I485=1,J485=1),1,0)</f>
        <v>#N/A</v>
      </c>
      <c r="G485" s="1" t="e">
        <f aca="false">TEXT(H485,"DDD")</f>
        <v>#N/A</v>
      </c>
      <c r="H485" s="150" t="e">
        <f aca="false">IF(H484&gt;='Tallerdata.com'!$X$4,NA(),H484+1)</f>
        <v>#N/A</v>
      </c>
      <c r="I485" s="2" t="n">
        <f aca="false">IFERROR(IF(VLOOKUP(H485,$A$4:$A$33,1,0),1,0),0)</f>
        <v>0</v>
      </c>
      <c r="J485" s="2" t="e">
        <f aca="false">IF(AND($D$4=TRUE(),G485="Sáb"),1,IF(AND($D$5=TRUE(),G485="Dom"),1,0))</f>
        <v>#N/A</v>
      </c>
      <c r="K485" s="2" t="e">
        <f aca="false">IF(L485="No",K484,K484+1)</f>
        <v>#N/A</v>
      </c>
      <c r="L485" s="152" t="e">
        <f aca="false">IF(AND(I485=0,J485=0),H485,"NO")</f>
        <v>#N/A</v>
      </c>
      <c r="N485" s="1" t="n">
        <f aca="false">N484+1</f>
        <v>482</v>
      </c>
      <c r="O485" s="150" t="str">
        <f aca="false">IFERROR(VLOOKUP(N485,$K$4:$L$509,2,0),"")</f>
        <v/>
      </c>
    </row>
    <row r="486" customFormat="false" ht="14.25" hidden="false" customHeight="false" outlineLevel="0" collapsed="false">
      <c r="F486" s="1" t="e">
        <f aca="false">IF(OR(I486=1,J486=1),1,0)</f>
        <v>#N/A</v>
      </c>
      <c r="G486" s="1" t="e">
        <f aca="false">TEXT(H486,"DDD")</f>
        <v>#N/A</v>
      </c>
      <c r="H486" s="150" t="e">
        <f aca="false">IF(H485&gt;='Tallerdata.com'!$X$4,NA(),H485+1)</f>
        <v>#N/A</v>
      </c>
      <c r="I486" s="2" t="n">
        <f aca="false">IFERROR(IF(VLOOKUP(H486,$A$4:$A$33,1,0),1,0),0)</f>
        <v>0</v>
      </c>
      <c r="J486" s="2" t="e">
        <f aca="false">IF(AND($D$4=TRUE(),G486="Sáb"),1,IF(AND($D$5=TRUE(),G486="Dom"),1,0))</f>
        <v>#N/A</v>
      </c>
      <c r="K486" s="2" t="e">
        <f aca="false">IF(L486="No",K485,K485+1)</f>
        <v>#N/A</v>
      </c>
      <c r="L486" s="152" t="e">
        <f aca="false">IF(AND(I486=0,J486=0),H486,"NO")</f>
        <v>#N/A</v>
      </c>
      <c r="N486" s="1" t="n">
        <f aca="false">N485+1</f>
        <v>483</v>
      </c>
      <c r="O486" s="150" t="str">
        <f aca="false">IFERROR(VLOOKUP(N486,$K$4:$L$509,2,0),"")</f>
        <v/>
      </c>
    </row>
    <row r="487" customFormat="false" ht="14.25" hidden="false" customHeight="false" outlineLevel="0" collapsed="false">
      <c r="F487" s="1" t="e">
        <f aca="false">IF(OR(I487=1,J487=1),1,0)</f>
        <v>#N/A</v>
      </c>
      <c r="G487" s="1" t="e">
        <f aca="false">TEXT(H487,"DDD")</f>
        <v>#N/A</v>
      </c>
      <c r="H487" s="150" t="e">
        <f aca="false">IF(H486&gt;='Tallerdata.com'!$X$4,NA(),H486+1)</f>
        <v>#N/A</v>
      </c>
      <c r="I487" s="2" t="n">
        <f aca="false">IFERROR(IF(VLOOKUP(H487,$A$4:$A$33,1,0),1,0),0)</f>
        <v>0</v>
      </c>
      <c r="J487" s="2" t="e">
        <f aca="false">IF(AND($D$4=TRUE(),G487="Sáb"),1,IF(AND($D$5=TRUE(),G487="Dom"),1,0))</f>
        <v>#N/A</v>
      </c>
      <c r="K487" s="2" t="e">
        <f aca="false">IF(L487="No",K486,K486+1)</f>
        <v>#N/A</v>
      </c>
      <c r="L487" s="152" t="e">
        <f aca="false">IF(AND(I487=0,J487=0),H487,"NO")</f>
        <v>#N/A</v>
      </c>
      <c r="N487" s="1" t="n">
        <f aca="false">N486+1</f>
        <v>484</v>
      </c>
      <c r="O487" s="150" t="str">
        <f aca="false">IFERROR(VLOOKUP(N487,$K$4:$L$509,2,0),"")</f>
        <v/>
      </c>
    </row>
    <row r="488" customFormat="false" ht="14.25" hidden="false" customHeight="false" outlineLevel="0" collapsed="false">
      <c r="F488" s="1" t="e">
        <f aca="false">IF(OR(I488=1,J488=1),1,0)</f>
        <v>#N/A</v>
      </c>
      <c r="G488" s="1" t="e">
        <f aca="false">TEXT(H488,"DDD")</f>
        <v>#N/A</v>
      </c>
      <c r="H488" s="150" t="e">
        <f aca="false">IF(H487&gt;='Tallerdata.com'!$X$4,NA(),H487+1)</f>
        <v>#N/A</v>
      </c>
      <c r="I488" s="2" t="n">
        <f aca="false">IFERROR(IF(VLOOKUP(H488,$A$4:$A$33,1,0),1,0),0)</f>
        <v>0</v>
      </c>
      <c r="J488" s="2" t="e">
        <f aca="false">IF(AND($D$4=TRUE(),G488="Sáb"),1,IF(AND($D$5=TRUE(),G488="Dom"),1,0))</f>
        <v>#N/A</v>
      </c>
      <c r="K488" s="2" t="e">
        <f aca="false">IF(L488="No",K487,K487+1)</f>
        <v>#N/A</v>
      </c>
      <c r="L488" s="152" t="e">
        <f aca="false">IF(AND(I488=0,J488=0),H488,"NO")</f>
        <v>#N/A</v>
      </c>
      <c r="N488" s="1" t="n">
        <f aca="false">N487+1</f>
        <v>485</v>
      </c>
      <c r="O488" s="150" t="str">
        <f aca="false">IFERROR(VLOOKUP(N488,$K$4:$L$509,2,0),"")</f>
        <v/>
      </c>
    </row>
    <row r="489" customFormat="false" ht="14.25" hidden="false" customHeight="false" outlineLevel="0" collapsed="false">
      <c r="F489" s="1" t="e">
        <f aca="false">IF(OR(I489=1,J489=1),1,0)</f>
        <v>#N/A</v>
      </c>
      <c r="G489" s="1" t="e">
        <f aca="false">TEXT(H489,"DDD")</f>
        <v>#N/A</v>
      </c>
      <c r="H489" s="150" t="e">
        <f aca="false">IF(H488&gt;='Tallerdata.com'!$X$4,NA(),H488+1)</f>
        <v>#N/A</v>
      </c>
      <c r="I489" s="2" t="n">
        <f aca="false">IFERROR(IF(VLOOKUP(H489,$A$4:$A$33,1,0),1,0),0)</f>
        <v>0</v>
      </c>
      <c r="J489" s="2" t="e">
        <f aca="false">IF(AND($D$4=TRUE(),G489="Sáb"),1,IF(AND($D$5=TRUE(),G489="Dom"),1,0))</f>
        <v>#N/A</v>
      </c>
      <c r="K489" s="2" t="e">
        <f aca="false">IF(L489="No",K488,K488+1)</f>
        <v>#N/A</v>
      </c>
      <c r="L489" s="152" t="e">
        <f aca="false">IF(AND(I489=0,J489=0),H489,"NO")</f>
        <v>#N/A</v>
      </c>
      <c r="N489" s="1" t="n">
        <f aca="false">N488+1</f>
        <v>486</v>
      </c>
      <c r="O489" s="150" t="str">
        <f aca="false">IFERROR(VLOOKUP(N489,$K$4:$L$509,2,0),"")</f>
        <v/>
      </c>
    </row>
    <row r="490" customFormat="false" ht="14.25" hidden="false" customHeight="false" outlineLevel="0" collapsed="false">
      <c r="F490" s="1" t="e">
        <f aca="false">IF(OR(I490=1,J490=1),1,0)</f>
        <v>#N/A</v>
      </c>
      <c r="G490" s="1" t="e">
        <f aca="false">TEXT(H490,"DDD")</f>
        <v>#N/A</v>
      </c>
      <c r="H490" s="150" t="e">
        <f aca="false">IF(H489&gt;='Tallerdata.com'!$X$4,NA(),H489+1)</f>
        <v>#N/A</v>
      </c>
      <c r="I490" s="2" t="n">
        <f aca="false">IFERROR(IF(VLOOKUP(H490,$A$4:$A$33,1,0),1,0),0)</f>
        <v>0</v>
      </c>
      <c r="J490" s="2" t="e">
        <f aca="false">IF(AND($D$4=TRUE(),G490="Sáb"),1,IF(AND($D$5=TRUE(),G490="Dom"),1,0))</f>
        <v>#N/A</v>
      </c>
      <c r="K490" s="2" t="e">
        <f aca="false">IF(L490="No",K489,K489+1)</f>
        <v>#N/A</v>
      </c>
      <c r="L490" s="152" t="e">
        <f aca="false">IF(AND(I490=0,J490=0),H490,"NO")</f>
        <v>#N/A</v>
      </c>
      <c r="N490" s="1" t="n">
        <f aca="false">N489+1</f>
        <v>487</v>
      </c>
      <c r="O490" s="150" t="str">
        <f aca="false">IFERROR(VLOOKUP(N490,$K$4:$L$509,2,0),"")</f>
        <v/>
      </c>
    </row>
    <row r="491" customFormat="false" ht="14.25" hidden="false" customHeight="false" outlineLevel="0" collapsed="false">
      <c r="F491" s="1" t="e">
        <f aca="false">IF(OR(I491=1,J491=1),1,0)</f>
        <v>#N/A</v>
      </c>
      <c r="G491" s="1" t="e">
        <f aca="false">TEXT(H491,"DDD")</f>
        <v>#N/A</v>
      </c>
      <c r="H491" s="150" t="e">
        <f aca="false">IF(H490&gt;='Tallerdata.com'!$X$4,NA(),H490+1)</f>
        <v>#N/A</v>
      </c>
      <c r="I491" s="2" t="n">
        <f aca="false">IFERROR(IF(VLOOKUP(H491,$A$4:$A$33,1,0),1,0),0)</f>
        <v>0</v>
      </c>
      <c r="J491" s="2" t="e">
        <f aca="false">IF(AND($D$4=TRUE(),G491="Sáb"),1,IF(AND($D$5=TRUE(),G491="Dom"),1,0))</f>
        <v>#N/A</v>
      </c>
      <c r="K491" s="2" t="e">
        <f aca="false">IF(L491="No",K490,K490+1)</f>
        <v>#N/A</v>
      </c>
      <c r="L491" s="152" t="e">
        <f aca="false">IF(AND(I491=0,J491=0),H491,"NO")</f>
        <v>#N/A</v>
      </c>
      <c r="N491" s="1" t="n">
        <f aca="false">N490+1</f>
        <v>488</v>
      </c>
      <c r="O491" s="150" t="str">
        <f aca="false">IFERROR(VLOOKUP(N491,$K$4:$L$509,2,0),"")</f>
        <v/>
      </c>
    </row>
    <row r="492" customFormat="false" ht="14.25" hidden="false" customHeight="false" outlineLevel="0" collapsed="false">
      <c r="F492" s="1" t="e">
        <f aca="false">IF(OR(I492=1,J492=1),1,0)</f>
        <v>#N/A</v>
      </c>
      <c r="G492" s="1" t="e">
        <f aca="false">TEXT(H492,"DDD")</f>
        <v>#N/A</v>
      </c>
      <c r="H492" s="150" t="e">
        <f aca="false">IF(H491&gt;='Tallerdata.com'!$X$4,NA(),H491+1)</f>
        <v>#N/A</v>
      </c>
      <c r="I492" s="2" t="n">
        <f aca="false">IFERROR(IF(VLOOKUP(H492,$A$4:$A$33,1,0),1,0),0)</f>
        <v>0</v>
      </c>
      <c r="J492" s="2" t="e">
        <f aca="false">IF(AND($D$4=TRUE(),G492="Sáb"),1,IF(AND($D$5=TRUE(),G492="Dom"),1,0))</f>
        <v>#N/A</v>
      </c>
      <c r="K492" s="2" t="e">
        <f aca="false">IF(L492="No",K491,K491+1)</f>
        <v>#N/A</v>
      </c>
      <c r="L492" s="152" t="e">
        <f aca="false">IF(AND(I492=0,J492=0),H492,"NO")</f>
        <v>#N/A</v>
      </c>
      <c r="N492" s="1" t="n">
        <f aca="false">N491+1</f>
        <v>489</v>
      </c>
      <c r="O492" s="150" t="str">
        <f aca="false">IFERROR(VLOOKUP(N492,$K$4:$L$509,2,0),"")</f>
        <v/>
      </c>
    </row>
    <row r="493" customFormat="false" ht="14.25" hidden="false" customHeight="false" outlineLevel="0" collapsed="false">
      <c r="F493" s="1" t="e">
        <f aca="false">IF(OR(I493=1,J493=1),1,0)</f>
        <v>#N/A</v>
      </c>
      <c r="G493" s="1" t="e">
        <f aca="false">TEXT(H493,"DDD")</f>
        <v>#N/A</v>
      </c>
      <c r="H493" s="150" t="e">
        <f aca="false">IF(H492&gt;='Tallerdata.com'!$X$4,NA(),H492+1)</f>
        <v>#N/A</v>
      </c>
      <c r="I493" s="2" t="n">
        <f aca="false">IFERROR(IF(VLOOKUP(H493,$A$4:$A$33,1,0),1,0),0)</f>
        <v>0</v>
      </c>
      <c r="J493" s="2" t="e">
        <f aca="false">IF(AND($D$4=TRUE(),G493="Sáb"),1,IF(AND($D$5=TRUE(),G493="Dom"),1,0))</f>
        <v>#N/A</v>
      </c>
      <c r="K493" s="2" t="e">
        <f aca="false">IF(L493="No",K492,K492+1)</f>
        <v>#N/A</v>
      </c>
      <c r="L493" s="152" t="e">
        <f aca="false">IF(AND(I493=0,J493=0),H493,"NO")</f>
        <v>#N/A</v>
      </c>
      <c r="N493" s="1" t="n">
        <f aca="false">N492+1</f>
        <v>490</v>
      </c>
      <c r="O493" s="150" t="str">
        <f aca="false">IFERROR(VLOOKUP(N493,$K$4:$L$509,2,0),"")</f>
        <v/>
      </c>
    </row>
    <row r="494" customFormat="false" ht="14.25" hidden="false" customHeight="false" outlineLevel="0" collapsed="false">
      <c r="F494" s="1" t="e">
        <f aca="false">IF(OR(I494=1,J494=1),1,0)</f>
        <v>#N/A</v>
      </c>
      <c r="G494" s="1" t="e">
        <f aca="false">TEXT(H494,"DDD")</f>
        <v>#N/A</v>
      </c>
      <c r="H494" s="150" t="e">
        <f aca="false">IF(H493&gt;='Tallerdata.com'!$X$4,NA(),H493+1)</f>
        <v>#N/A</v>
      </c>
      <c r="I494" s="2" t="n">
        <f aca="false">IFERROR(IF(VLOOKUP(H494,$A$4:$A$33,1,0),1,0),0)</f>
        <v>0</v>
      </c>
      <c r="J494" s="2" t="e">
        <f aca="false">IF(AND($D$4=TRUE(),G494="Sáb"),1,IF(AND($D$5=TRUE(),G494="Dom"),1,0))</f>
        <v>#N/A</v>
      </c>
      <c r="K494" s="2" t="e">
        <f aca="false">IF(L494="No",K493,K493+1)</f>
        <v>#N/A</v>
      </c>
      <c r="L494" s="152" t="e">
        <f aca="false">IF(AND(I494=0,J494=0),H494,"NO")</f>
        <v>#N/A</v>
      </c>
      <c r="N494" s="1" t="n">
        <f aca="false">N493+1</f>
        <v>491</v>
      </c>
      <c r="O494" s="150" t="str">
        <f aca="false">IFERROR(VLOOKUP(N494,$K$4:$L$509,2,0),"")</f>
        <v/>
      </c>
    </row>
    <row r="495" customFormat="false" ht="14.25" hidden="false" customHeight="false" outlineLevel="0" collapsed="false">
      <c r="F495" s="1" t="e">
        <f aca="false">IF(OR(I495=1,J495=1),1,0)</f>
        <v>#N/A</v>
      </c>
      <c r="G495" s="1" t="e">
        <f aca="false">TEXT(H495,"DDD")</f>
        <v>#N/A</v>
      </c>
      <c r="H495" s="150" t="e">
        <f aca="false">IF(H494&gt;='Tallerdata.com'!$X$4,NA(),H494+1)</f>
        <v>#N/A</v>
      </c>
      <c r="I495" s="2" t="n">
        <f aca="false">IFERROR(IF(VLOOKUP(H495,$A$4:$A$33,1,0),1,0),0)</f>
        <v>0</v>
      </c>
      <c r="J495" s="2" t="e">
        <f aca="false">IF(AND($D$4=TRUE(),G495="Sáb"),1,IF(AND($D$5=TRUE(),G495="Dom"),1,0))</f>
        <v>#N/A</v>
      </c>
      <c r="K495" s="2" t="e">
        <f aca="false">IF(L495="No",K494,K494+1)</f>
        <v>#N/A</v>
      </c>
      <c r="L495" s="152" t="e">
        <f aca="false">IF(AND(I495=0,J495=0),H495,"NO")</f>
        <v>#N/A</v>
      </c>
      <c r="N495" s="1" t="n">
        <f aca="false">N494+1</f>
        <v>492</v>
      </c>
      <c r="O495" s="150" t="str">
        <f aca="false">IFERROR(VLOOKUP(N495,$K$4:$L$509,2,0),"")</f>
        <v/>
      </c>
    </row>
    <row r="496" customFormat="false" ht="14.25" hidden="false" customHeight="false" outlineLevel="0" collapsed="false">
      <c r="F496" s="1" t="e">
        <f aca="false">IF(OR(I496=1,J496=1),1,0)</f>
        <v>#N/A</v>
      </c>
      <c r="G496" s="1" t="e">
        <f aca="false">TEXT(H496,"DDD")</f>
        <v>#N/A</v>
      </c>
      <c r="H496" s="150" t="e">
        <f aca="false">IF(H495&gt;='Tallerdata.com'!$X$4,NA(),H495+1)</f>
        <v>#N/A</v>
      </c>
      <c r="I496" s="2" t="n">
        <f aca="false">IFERROR(IF(VLOOKUP(H496,$A$4:$A$33,1,0),1,0),0)</f>
        <v>0</v>
      </c>
      <c r="J496" s="2" t="e">
        <f aca="false">IF(AND($D$4=TRUE(),G496="Sáb"),1,IF(AND($D$5=TRUE(),G496="Dom"),1,0))</f>
        <v>#N/A</v>
      </c>
      <c r="K496" s="2" t="e">
        <f aca="false">IF(L496="No",K495,K495+1)</f>
        <v>#N/A</v>
      </c>
      <c r="L496" s="152" t="e">
        <f aca="false">IF(AND(I496=0,J496=0),H496,"NO")</f>
        <v>#N/A</v>
      </c>
      <c r="N496" s="1" t="n">
        <f aca="false">N495+1</f>
        <v>493</v>
      </c>
      <c r="O496" s="150" t="str">
        <f aca="false">IFERROR(VLOOKUP(N496,$K$4:$L$509,2,0),"")</f>
        <v/>
      </c>
    </row>
    <row r="497" customFormat="false" ht="14.25" hidden="false" customHeight="false" outlineLevel="0" collapsed="false">
      <c r="F497" s="1" t="e">
        <f aca="false">IF(OR(I497=1,J497=1),1,0)</f>
        <v>#N/A</v>
      </c>
      <c r="G497" s="1" t="e">
        <f aca="false">TEXT(H497,"DDD")</f>
        <v>#N/A</v>
      </c>
      <c r="H497" s="150" t="e">
        <f aca="false">IF(H496&gt;='Tallerdata.com'!$X$4,NA(),H496+1)</f>
        <v>#N/A</v>
      </c>
      <c r="I497" s="2" t="n">
        <f aca="false">IFERROR(IF(VLOOKUP(H497,$A$4:$A$33,1,0),1,0),0)</f>
        <v>0</v>
      </c>
      <c r="J497" s="2" t="e">
        <f aca="false">IF(AND($D$4=TRUE(),G497="Sáb"),1,IF(AND($D$5=TRUE(),G497="Dom"),1,0))</f>
        <v>#N/A</v>
      </c>
      <c r="K497" s="2" t="e">
        <f aca="false">IF(L497="No",K496,K496+1)</f>
        <v>#N/A</v>
      </c>
      <c r="L497" s="152" t="e">
        <f aca="false">IF(AND(I497=0,J497=0),H497,"NO")</f>
        <v>#N/A</v>
      </c>
      <c r="N497" s="1" t="n">
        <f aca="false">N496+1</f>
        <v>494</v>
      </c>
      <c r="O497" s="150" t="str">
        <f aca="false">IFERROR(VLOOKUP(N497,$K$4:$L$509,2,0),"")</f>
        <v/>
      </c>
    </row>
    <row r="498" customFormat="false" ht="14.25" hidden="false" customHeight="false" outlineLevel="0" collapsed="false">
      <c r="F498" s="1" t="e">
        <f aca="false">IF(OR(I498=1,J498=1),1,0)</f>
        <v>#N/A</v>
      </c>
      <c r="G498" s="1" t="e">
        <f aca="false">TEXT(H498,"DDD")</f>
        <v>#N/A</v>
      </c>
      <c r="H498" s="150" t="e">
        <f aca="false">IF(H497&gt;='Tallerdata.com'!$X$4,NA(),H497+1)</f>
        <v>#N/A</v>
      </c>
      <c r="I498" s="2" t="n">
        <f aca="false">IFERROR(IF(VLOOKUP(H498,$A$4:$A$33,1,0),1,0),0)</f>
        <v>0</v>
      </c>
      <c r="J498" s="2" t="e">
        <f aca="false">IF(AND($D$4=TRUE(),G498="Sáb"),1,IF(AND($D$5=TRUE(),G498="Dom"),1,0))</f>
        <v>#N/A</v>
      </c>
      <c r="K498" s="2" t="e">
        <f aca="false">IF(L498="No",K497,K497+1)</f>
        <v>#N/A</v>
      </c>
      <c r="L498" s="152" t="e">
        <f aca="false">IF(AND(I498=0,J498=0),H498,"NO")</f>
        <v>#N/A</v>
      </c>
      <c r="N498" s="1" t="n">
        <f aca="false">N497+1</f>
        <v>495</v>
      </c>
      <c r="O498" s="150" t="str">
        <f aca="false">IFERROR(VLOOKUP(N498,$K$4:$L$509,2,0),"")</f>
        <v/>
      </c>
    </row>
    <row r="499" customFormat="false" ht="14.25" hidden="false" customHeight="false" outlineLevel="0" collapsed="false">
      <c r="F499" s="1" t="e">
        <f aca="false">IF(OR(I499=1,J499=1),1,0)</f>
        <v>#N/A</v>
      </c>
      <c r="G499" s="1" t="e">
        <f aca="false">TEXT(H499,"DDD")</f>
        <v>#N/A</v>
      </c>
      <c r="H499" s="150" t="e">
        <f aca="false">IF(H498&gt;='Tallerdata.com'!$X$4,NA(),H498+1)</f>
        <v>#N/A</v>
      </c>
      <c r="I499" s="2" t="n">
        <f aca="false">IFERROR(IF(VLOOKUP(H499,$A$4:$A$33,1,0),1,0),0)</f>
        <v>0</v>
      </c>
      <c r="J499" s="2" t="e">
        <f aca="false">IF(AND($D$4=TRUE(),G499="Sáb"),1,IF(AND($D$5=TRUE(),G499="Dom"),1,0))</f>
        <v>#N/A</v>
      </c>
      <c r="K499" s="2" t="e">
        <f aca="false">IF(L499="No",K498,K498+1)</f>
        <v>#N/A</v>
      </c>
      <c r="L499" s="152" t="e">
        <f aca="false">IF(AND(I499=0,J499=0),H499,"NO")</f>
        <v>#N/A</v>
      </c>
      <c r="N499" s="1" t="n">
        <f aca="false">N498+1</f>
        <v>496</v>
      </c>
      <c r="O499" s="150" t="str">
        <f aca="false">IFERROR(VLOOKUP(N499,$K$4:$L$509,2,0),"")</f>
        <v/>
      </c>
    </row>
    <row r="500" customFormat="false" ht="14.25" hidden="false" customHeight="false" outlineLevel="0" collapsed="false">
      <c r="F500" s="1" t="e">
        <f aca="false">IF(OR(I500=1,J500=1),1,0)</f>
        <v>#N/A</v>
      </c>
      <c r="G500" s="1" t="e">
        <f aca="false">TEXT(H500,"DDD")</f>
        <v>#N/A</v>
      </c>
      <c r="H500" s="150" t="e">
        <f aca="false">IF(H499&gt;='Tallerdata.com'!$X$4,NA(),H499+1)</f>
        <v>#N/A</v>
      </c>
      <c r="I500" s="2" t="n">
        <f aca="false">IFERROR(IF(VLOOKUP(H500,$A$4:$A$33,1,0),1,0),0)</f>
        <v>0</v>
      </c>
      <c r="J500" s="2" t="e">
        <f aca="false">IF(AND($D$4=TRUE(),G500="Sáb"),1,IF(AND($D$5=TRUE(),G500="Dom"),1,0))</f>
        <v>#N/A</v>
      </c>
      <c r="K500" s="2" t="e">
        <f aca="false">IF(L500="No",K499,K499+1)</f>
        <v>#N/A</v>
      </c>
      <c r="L500" s="152" t="e">
        <f aca="false">IF(AND(I500=0,J500=0),H500,"NO")</f>
        <v>#N/A</v>
      </c>
      <c r="N500" s="1" t="n">
        <f aca="false">N499+1</f>
        <v>497</v>
      </c>
      <c r="O500" s="150" t="str">
        <f aca="false">IFERROR(VLOOKUP(N500,$K$4:$L$509,2,0),"")</f>
        <v/>
      </c>
    </row>
    <row r="501" customFormat="false" ht="14.25" hidden="false" customHeight="false" outlineLevel="0" collapsed="false">
      <c r="F501" s="1" t="e">
        <f aca="false">IF(OR(I501=1,J501=1),1,0)</f>
        <v>#N/A</v>
      </c>
      <c r="G501" s="1" t="e">
        <f aca="false">TEXT(H501,"DDD")</f>
        <v>#N/A</v>
      </c>
      <c r="H501" s="150" t="e">
        <f aca="false">IF(H500&gt;='Tallerdata.com'!$X$4,NA(),H500+1)</f>
        <v>#N/A</v>
      </c>
      <c r="I501" s="2" t="n">
        <f aca="false">IFERROR(IF(VLOOKUP(H501,$A$4:$A$33,1,0),1,0),0)</f>
        <v>0</v>
      </c>
      <c r="J501" s="2" t="e">
        <f aca="false">IF(AND($D$4=TRUE(),G501="Sáb"),1,IF(AND($D$5=TRUE(),G501="Dom"),1,0))</f>
        <v>#N/A</v>
      </c>
      <c r="K501" s="2" t="e">
        <f aca="false">IF(L501="No",K500,K500+1)</f>
        <v>#N/A</v>
      </c>
      <c r="L501" s="152" t="e">
        <f aca="false">IF(AND(I501=0,J501=0),H501,"NO")</f>
        <v>#N/A</v>
      </c>
      <c r="N501" s="1" t="n">
        <f aca="false">N500+1</f>
        <v>498</v>
      </c>
      <c r="O501" s="150" t="str">
        <f aca="false">IFERROR(VLOOKUP(N501,$K$4:$L$509,2,0),"")</f>
        <v/>
      </c>
    </row>
    <row r="502" customFormat="false" ht="14.25" hidden="false" customHeight="false" outlineLevel="0" collapsed="false">
      <c r="F502" s="1" t="e">
        <f aca="false">IF(OR(I502=1,J502=1),1,0)</f>
        <v>#N/A</v>
      </c>
      <c r="G502" s="1" t="e">
        <f aca="false">TEXT(H502,"DDD")</f>
        <v>#N/A</v>
      </c>
      <c r="H502" s="150" t="e">
        <f aca="false">IF(H501&gt;='Tallerdata.com'!$X$4,NA(),H501+1)</f>
        <v>#N/A</v>
      </c>
      <c r="I502" s="2" t="n">
        <f aca="false">IFERROR(IF(VLOOKUP(H502,$A$4:$A$33,1,0),1,0),0)</f>
        <v>0</v>
      </c>
      <c r="J502" s="2" t="e">
        <f aca="false">IF(AND($D$4=TRUE(),G502="Sáb"),1,IF(AND($D$5=TRUE(),G502="Dom"),1,0))</f>
        <v>#N/A</v>
      </c>
      <c r="K502" s="2" t="e">
        <f aca="false">IF(L502="No",K501,K501+1)</f>
        <v>#N/A</v>
      </c>
      <c r="L502" s="152" t="e">
        <f aca="false">IF(AND(I502=0,J502=0),H502,"NO")</f>
        <v>#N/A</v>
      </c>
      <c r="N502" s="1" t="n">
        <f aca="false">N501+1</f>
        <v>499</v>
      </c>
      <c r="O502" s="150" t="str">
        <f aca="false">IFERROR(VLOOKUP(N502,$K$4:$L$509,2,0),"")</f>
        <v/>
      </c>
    </row>
    <row r="503" customFormat="false" ht="14.25" hidden="false" customHeight="false" outlineLevel="0" collapsed="false">
      <c r="F503" s="1" t="e">
        <f aca="false">IF(OR(I503=1,J503=1),1,0)</f>
        <v>#N/A</v>
      </c>
      <c r="G503" s="1" t="e">
        <f aca="false">TEXT(H503,"DDD")</f>
        <v>#N/A</v>
      </c>
      <c r="H503" s="150" t="e">
        <f aca="false">IF(H502&gt;='Tallerdata.com'!$X$4,NA(),H502+1)</f>
        <v>#N/A</v>
      </c>
      <c r="I503" s="2" t="n">
        <f aca="false">IFERROR(IF(VLOOKUP(H503,$A$4:$A$33,1,0),1,0),0)</f>
        <v>0</v>
      </c>
      <c r="J503" s="2" t="e">
        <f aca="false">IF(AND($D$4=TRUE(),G503="Sáb"),1,IF(AND($D$5=TRUE(),G503="Dom"),1,0))</f>
        <v>#N/A</v>
      </c>
      <c r="K503" s="2" t="e">
        <f aca="false">IF(L503="No",K502,K502+1)</f>
        <v>#N/A</v>
      </c>
      <c r="L503" s="152" t="e">
        <f aca="false">IF(AND(I503=0,J503=0),H503,"NO")</f>
        <v>#N/A</v>
      </c>
      <c r="N503" s="1" t="n">
        <f aca="false">N502+1</f>
        <v>500</v>
      </c>
      <c r="O503" s="150" t="str">
        <f aca="false">IFERROR(VLOOKUP(N503,$K$4:$L$509,2,0),"")</f>
        <v/>
      </c>
    </row>
    <row r="504" customFormat="false" ht="14.25" hidden="false" customHeight="false" outlineLevel="0" collapsed="false">
      <c r="F504" s="1" t="e">
        <f aca="false">IF(OR(I504=1,J504=1),1,0)</f>
        <v>#N/A</v>
      </c>
      <c r="G504" s="1" t="e">
        <f aca="false">TEXT(H504,"DDD")</f>
        <v>#N/A</v>
      </c>
      <c r="H504" s="150" t="e">
        <f aca="false">IF(H503&gt;='Tallerdata.com'!$X$4,NA(),H503+1)</f>
        <v>#N/A</v>
      </c>
      <c r="I504" s="2" t="n">
        <f aca="false">IFERROR(IF(VLOOKUP(H504,$A$4:$A$33,1,0),1,0),0)</f>
        <v>0</v>
      </c>
      <c r="J504" s="2" t="e">
        <f aca="false">IF(AND($D$4=TRUE(),G504="Sáb"),1,IF(AND($D$5=TRUE(),G504="Dom"),1,0))</f>
        <v>#N/A</v>
      </c>
      <c r="K504" s="2" t="e">
        <f aca="false">IF(L504="No",K503,K503+1)</f>
        <v>#N/A</v>
      </c>
      <c r="L504" s="152" t="e">
        <f aca="false">IF(AND(I504=0,J504=0),H504,"NO")</f>
        <v>#N/A</v>
      </c>
      <c r="N504" s="1" t="n">
        <f aca="false">N503+1</f>
        <v>501</v>
      </c>
      <c r="O504" s="150" t="str">
        <f aca="false">IFERROR(VLOOKUP(N504,$K$4:$L$509,2,0),"")</f>
        <v/>
      </c>
    </row>
    <row r="505" customFormat="false" ht="14.25" hidden="false" customHeight="false" outlineLevel="0" collapsed="false">
      <c r="F505" s="1" t="e">
        <f aca="false">IF(OR(I505=1,J505=1),1,0)</f>
        <v>#N/A</v>
      </c>
      <c r="G505" s="1" t="e">
        <f aca="false">TEXT(H505,"DDD")</f>
        <v>#N/A</v>
      </c>
      <c r="H505" s="150" t="e">
        <f aca="false">IF(H504&gt;='Tallerdata.com'!$X$4,NA(),H504+1)</f>
        <v>#N/A</v>
      </c>
      <c r="I505" s="2" t="n">
        <f aca="false">IFERROR(IF(VLOOKUP(H505,$A$4:$A$33,1,0),1,0),0)</f>
        <v>0</v>
      </c>
      <c r="J505" s="2" t="e">
        <f aca="false">IF(AND($D$4=TRUE(),G505="Sáb"),1,IF(AND($D$5=TRUE(),G505="Dom"),1,0))</f>
        <v>#N/A</v>
      </c>
      <c r="K505" s="2" t="e">
        <f aca="false">IF(L505="No",K504,K504+1)</f>
        <v>#N/A</v>
      </c>
      <c r="L505" s="152" t="e">
        <f aca="false">IF(AND(I505=0,J505=0),H505,"NO")</f>
        <v>#N/A</v>
      </c>
      <c r="N505" s="1" t="n">
        <f aca="false">N504+1</f>
        <v>502</v>
      </c>
      <c r="O505" s="150" t="str">
        <f aca="false">IFERROR(VLOOKUP(N505,$K$4:$L$509,2,0),"")</f>
        <v/>
      </c>
    </row>
    <row r="506" customFormat="false" ht="14.25" hidden="false" customHeight="false" outlineLevel="0" collapsed="false">
      <c r="F506" s="1" t="e">
        <f aca="false">IF(OR(I506=1,J506=1),1,0)</f>
        <v>#N/A</v>
      </c>
      <c r="G506" s="1" t="e">
        <f aca="false">TEXT(H506,"DDD")</f>
        <v>#N/A</v>
      </c>
      <c r="H506" s="150" t="e">
        <f aca="false">IF(H505&gt;='Tallerdata.com'!$X$4,NA(),H505+1)</f>
        <v>#N/A</v>
      </c>
      <c r="I506" s="2" t="n">
        <f aca="false">IFERROR(IF(VLOOKUP(H506,$A$4:$A$33,1,0),1,0),0)</f>
        <v>0</v>
      </c>
      <c r="J506" s="2" t="e">
        <f aca="false">IF(AND($D$4=TRUE(),G506="Sáb"),1,IF(AND($D$5=TRUE(),G506="Dom"),1,0))</f>
        <v>#N/A</v>
      </c>
      <c r="K506" s="2" t="e">
        <f aca="false">IF(L506="No",K505,K505+1)</f>
        <v>#N/A</v>
      </c>
      <c r="L506" s="152" t="e">
        <f aca="false">IF(AND(I506=0,J506=0),H506,"NO")</f>
        <v>#N/A</v>
      </c>
      <c r="N506" s="1" t="n">
        <f aca="false">N505+1</f>
        <v>503</v>
      </c>
      <c r="O506" s="150" t="str">
        <f aca="false">IFERROR(VLOOKUP(N506,$K$4:$L$509,2,0),"")</f>
        <v/>
      </c>
    </row>
    <row r="507" customFormat="false" ht="14.25" hidden="false" customHeight="false" outlineLevel="0" collapsed="false">
      <c r="F507" s="1" t="e">
        <f aca="false">IF(OR(I507=1,J507=1),1,0)</f>
        <v>#N/A</v>
      </c>
      <c r="G507" s="1" t="e">
        <f aca="false">TEXT(H507,"DDD")</f>
        <v>#N/A</v>
      </c>
      <c r="H507" s="150" t="e">
        <f aca="false">IF(H506&gt;='Tallerdata.com'!$X$4,NA(),H506+1)</f>
        <v>#N/A</v>
      </c>
      <c r="I507" s="2" t="n">
        <f aca="false">IFERROR(IF(VLOOKUP(H507,$A$4:$A$33,1,0),1,0),0)</f>
        <v>0</v>
      </c>
      <c r="J507" s="2" t="e">
        <f aca="false">IF(AND($D$4=TRUE(),G507="Sáb"),1,IF(AND($D$5=TRUE(),G507="Dom"),1,0))</f>
        <v>#N/A</v>
      </c>
      <c r="K507" s="2" t="e">
        <f aca="false">IF(L507="No",K506,K506+1)</f>
        <v>#N/A</v>
      </c>
      <c r="L507" s="152" t="e">
        <f aca="false">IF(AND(I507=0,J507=0),H507,"NO")</f>
        <v>#N/A</v>
      </c>
      <c r="N507" s="1" t="n">
        <f aca="false">N506+1</f>
        <v>504</v>
      </c>
      <c r="O507" s="150" t="str">
        <f aca="false">IFERROR(VLOOKUP(N507,$K$4:$L$509,2,0),"")</f>
        <v/>
      </c>
    </row>
    <row r="508" customFormat="false" ht="14.25" hidden="false" customHeight="false" outlineLevel="0" collapsed="false">
      <c r="F508" s="1" t="e">
        <f aca="false">IF(OR(I508=1,J508=1),1,0)</f>
        <v>#N/A</v>
      </c>
      <c r="G508" s="1" t="e">
        <f aca="false">TEXT(H508,"DDD")</f>
        <v>#N/A</v>
      </c>
      <c r="H508" s="150" t="e">
        <f aca="false">IF(H507&gt;='Tallerdata.com'!$X$4,NA(),H507+1)</f>
        <v>#N/A</v>
      </c>
      <c r="I508" s="2" t="n">
        <f aca="false">IFERROR(IF(VLOOKUP(H508,$A$4:$A$33,1,0),1,0),0)</f>
        <v>0</v>
      </c>
      <c r="J508" s="2" t="e">
        <f aca="false">IF(AND($D$4=TRUE(),G508="Sáb"),1,IF(AND($D$5=TRUE(),G508="Dom"),1,0))</f>
        <v>#N/A</v>
      </c>
      <c r="K508" s="2" t="e">
        <f aca="false">IF(L508="No",K507,K507+1)</f>
        <v>#N/A</v>
      </c>
      <c r="L508" s="152" t="e">
        <f aca="false">IF(AND(I508=0,J508=0),H508,"NO")</f>
        <v>#N/A</v>
      </c>
      <c r="N508" s="1" t="n">
        <f aca="false">N507+1</f>
        <v>505</v>
      </c>
      <c r="O508" s="150" t="str">
        <f aca="false">IFERROR(VLOOKUP(N508,$K$4:$L$509,2,0),"")</f>
        <v/>
      </c>
    </row>
    <row r="509" customFormat="false" ht="14.25" hidden="false" customHeight="false" outlineLevel="0" collapsed="false">
      <c r="F509" s="1" t="e">
        <f aca="false">IF(OR(I509=1,J509=1),1,0)</f>
        <v>#N/A</v>
      </c>
      <c r="G509" s="1" t="e">
        <f aca="false">TEXT(H509,"DDD")</f>
        <v>#N/A</v>
      </c>
      <c r="H509" s="150" t="e">
        <f aca="false">IF(H508&gt;='Tallerdata.com'!$X$4,NA(),H508+1)</f>
        <v>#N/A</v>
      </c>
      <c r="I509" s="2" t="n">
        <f aca="false">IFERROR(IF(VLOOKUP(H509,$A$4:$A$33,1,0),1,0),0)</f>
        <v>0</v>
      </c>
      <c r="J509" s="2" t="e">
        <f aca="false">IF(AND($D$4=TRUE(),G509="Sáb"),1,IF(AND($D$5=TRUE(),G509="Dom"),1,0))</f>
        <v>#N/A</v>
      </c>
      <c r="K509" s="2" t="e">
        <f aca="false">IF(L509="No",K508,K508+1)</f>
        <v>#N/A</v>
      </c>
      <c r="L509" s="152" t="e">
        <f aca="false">IF(AND(I509=0,J509=0),H509,"NO")</f>
        <v>#N/A</v>
      </c>
      <c r="N509" s="1" t="n">
        <f aca="false">N508+1</f>
        <v>506</v>
      </c>
      <c r="O509" s="150" t="str">
        <f aca="false">IFERROR(VLOOKUP(N509,$K$4:$L$509,2,0),"")</f>
        <v/>
      </c>
    </row>
    <row r="510" customFormat="false" ht="14.25" hidden="false" customHeight="false" outlineLevel="0" collapsed="false">
      <c r="H510" s="15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admin</dc:creator>
  <dc:description/>
  <dc:language>en-US</dc:language>
  <cp:lastModifiedBy/>
  <cp:lastPrinted>2020-11-04T07:43:42Z</cp:lastPrinted>
  <dcterms:modified xsi:type="dcterms:W3CDTF">2026-04-29T10:03:09Z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